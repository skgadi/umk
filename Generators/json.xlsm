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58562480-C95E-4743-AACC-2D517B1832A8}" xr6:coauthVersionLast="44" xr6:coauthVersionMax="44" xr10:uidLastSave="{00000000-0000-0000-0000-000000000000}"/>
  <bookViews>
    <workbookView xWindow="-108" yWindow="-108" windowWidth="23256" windowHeight="12576" firstSheet="8" activeTab="14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constsNvars" sheetId="16" r:id="rId15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40" i="11" l="1"/>
  <c r="J40" i="11"/>
  <c r="K40" i="11"/>
  <c r="I41" i="11"/>
  <c r="J41" i="11"/>
  <c r="K41" i="11"/>
  <c r="I42" i="11"/>
  <c r="J42" i="11"/>
  <c r="K42" i="11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K127" i="10"/>
  <c r="L127" i="10"/>
  <c r="K128" i="10"/>
  <c r="L128" i="10"/>
  <c r="K129" i="10"/>
  <c r="L129" i="10"/>
  <c r="K130" i="10"/>
  <c r="L130" i="10"/>
  <c r="K131" i="10"/>
  <c r="L131" i="10"/>
  <c r="K132" i="10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L2" i="10"/>
  <c r="K2" i="10"/>
  <c r="J1" i="10" l="1"/>
  <c r="I18" i="11"/>
  <c r="J18" i="11"/>
  <c r="K18" i="11"/>
  <c r="M3" i="13" l="1"/>
  <c r="M4" i="13"/>
  <c r="M5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L1" i="13"/>
  <c r="E6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H2" i="13"/>
  <c r="I2" i="13"/>
  <c r="I6" i="13"/>
  <c r="I14" i="13"/>
  <c r="I22" i="13"/>
  <c r="I30" i="13"/>
  <c r="I38" i="13"/>
  <c r="I46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1" i="13"/>
  <c r="K4" i="11"/>
  <c r="I4" i="13" s="1"/>
  <c r="K5" i="11"/>
  <c r="I5" i="13" s="1"/>
  <c r="K6" i="11"/>
  <c r="K7" i="11"/>
  <c r="I7" i="13" s="1"/>
  <c r="K8" i="11"/>
  <c r="I8" i="13" s="1"/>
  <c r="K9" i="11"/>
  <c r="I9" i="13" s="1"/>
  <c r="K10" i="11"/>
  <c r="I10" i="13" s="1"/>
  <c r="K11" i="11"/>
  <c r="I11" i="13" s="1"/>
  <c r="K12" i="11"/>
  <c r="I12" i="13" s="1"/>
  <c r="K13" i="11"/>
  <c r="I13" i="13" s="1"/>
  <c r="K14" i="11"/>
  <c r="K15" i="11"/>
  <c r="I15" i="13" s="1"/>
  <c r="K16" i="11"/>
  <c r="I16" i="13" s="1"/>
  <c r="K17" i="11"/>
  <c r="I17" i="13" s="1"/>
  <c r="K19" i="11"/>
  <c r="I18" i="13" s="1"/>
  <c r="K20" i="11"/>
  <c r="I19" i="13" s="1"/>
  <c r="K21" i="11"/>
  <c r="I20" i="13" s="1"/>
  <c r="K22" i="11"/>
  <c r="I21" i="13" s="1"/>
  <c r="K23" i="11"/>
  <c r="K24" i="11"/>
  <c r="I23" i="13" s="1"/>
  <c r="K25" i="11"/>
  <c r="I24" i="13" s="1"/>
  <c r="K26" i="11"/>
  <c r="I25" i="13" s="1"/>
  <c r="K27" i="11"/>
  <c r="I26" i="13" s="1"/>
  <c r="K28" i="11"/>
  <c r="I27" i="13" s="1"/>
  <c r="K29" i="11"/>
  <c r="I28" i="13" s="1"/>
  <c r="K30" i="11"/>
  <c r="I29" i="13" s="1"/>
  <c r="K31" i="11"/>
  <c r="K32" i="11"/>
  <c r="I31" i="13" s="1"/>
  <c r="K33" i="11"/>
  <c r="I32" i="13" s="1"/>
  <c r="K34" i="11"/>
  <c r="I33" i="13" s="1"/>
  <c r="K35" i="11"/>
  <c r="I34" i="13" s="1"/>
  <c r="K36" i="11"/>
  <c r="I35" i="13" s="1"/>
  <c r="K37" i="11"/>
  <c r="I36" i="13" s="1"/>
  <c r="K38" i="11"/>
  <c r="I37" i="13" s="1"/>
  <c r="K39" i="11"/>
  <c r="I39" i="13"/>
  <c r="I40" i="13"/>
  <c r="I41" i="13"/>
  <c r="K43" i="11"/>
  <c r="I42" i="13" s="1"/>
  <c r="K44" i="11"/>
  <c r="I43" i="13" s="1"/>
  <c r="K45" i="11"/>
  <c r="I44" i="13" s="1"/>
  <c r="K46" i="11"/>
  <c r="I45" i="13" s="1"/>
  <c r="K47" i="11"/>
  <c r="K48" i="11"/>
  <c r="I47" i="13" s="1"/>
  <c r="K3" i="11"/>
  <c r="I3" i="13" s="1"/>
  <c r="E3" i="13"/>
  <c r="F3" i="13"/>
  <c r="E4" i="13"/>
  <c r="F4" i="13"/>
  <c r="E5" i="13"/>
  <c r="F5" i="13"/>
  <c r="F6" i="13"/>
  <c r="E7" i="13"/>
  <c r="F7" i="13"/>
  <c r="E8" i="13"/>
  <c r="F8" i="13"/>
  <c r="E9" i="13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I29" i="11" l="1"/>
  <c r="J29" i="11"/>
  <c r="J4" i="11" l="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9" i="11"/>
  <c r="J20" i="11"/>
  <c r="J21" i="11"/>
  <c r="J22" i="11"/>
  <c r="J23" i="11"/>
  <c r="J24" i="11"/>
  <c r="J25" i="11"/>
  <c r="J26" i="11"/>
  <c r="J27" i="11"/>
  <c r="J28" i="11"/>
  <c r="J30" i="11"/>
  <c r="J31" i="11"/>
  <c r="J32" i="11"/>
  <c r="J33" i="11"/>
  <c r="J34" i="11"/>
  <c r="J35" i="11"/>
  <c r="J36" i="11"/>
  <c r="J37" i="11"/>
  <c r="J38" i="11"/>
  <c r="J39" i="11"/>
  <c r="J43" i="11"/>
  <c r="J44" i="11"/>
  <c r="J45" i="11"/>
  <c r="J46" i="11"/>
  <c r="J47" i="11"/>
  <c r="J48" i="11"/>
  <c r="J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9" i="11"/>
  <c r="I20" i="11"/>
  <c r="I21" i="11"/>
  <c r="I22" i="11"/>
  <c r="I23" i="11"/>
  <c r="I24" i="11"/>
  <c r="I25" i="11"/>
  <c r="I26" i="11"/>
  <c r="I27" i="11"/>
  <c r="I28" i="11"/>
  <c r="I30" i="11"/>
  <c r="I31" i="11"/>
  <c r="I32" i="11"/>
  <c r="I33" i="11"/>
  <c r="I34" i="11"/>
  <c r="I35" i="11"/>
  <c r="I36" i="11"/>
  <c r="I37" i="11"/>
  <c r="I38" i="11"/>
  <c r="I39" i="11"/>
  <c r="I43" i="11"/>
  <c r="I44" i="11"/>
  <c r="I45" i="11"/>
  <c r="I46" i="11"/>
  <c r="I47" i="11"/>
  <c r="I48" i="11"/>
  <c r="I3" i="11"/>
  <c r="L1" i="10" l="1"/>
  <c r="K1" i="10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<sst xmlns="http://schemas.openxmlformats.org/spreadsheetml/2006/main" count="1595" uniqueCount="854">
  <si>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</si>
  <si>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</si>
  <si>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</si>
  <si>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</si>
  <si>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</si>
  <si>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</si>
  <si>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</si>
  <si>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</si>
  <si>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</si>
  <si>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</si>
  <si>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</si>
  <si>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</si>
  <si>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</si>
  <si>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</si>
  <si>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</si>
  <si>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</si>
  <si>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</si>
  <si>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</si>
  <si>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</si>
  <si>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</si>
  <si>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</si>
  <si>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</si>
  <si>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</si>
  <si>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</si>
  <si>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</si>
  <si>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</si>
  <si>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</si>
  <si>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</si>
  <si>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</si>
  <si>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</si>
  <si>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</si>
  <si>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</si>
  <si>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</si>
  <si>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</si>
  <si>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</si>
  <si>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</si>
  <si>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</si>
  <si>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</si>
  <si>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</si>
  <si>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</si>
  <si>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</si>
  <si>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</si>
  <si>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</si>
  <si>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</si>
  <si>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</si>
  <si>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</si>
  <si>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</si>
  <si>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</si>
  <si>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</si>
  <si>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</si>
  <si>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</si>
  <si>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</si>
  <si>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</si>
  <si>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</si>
  <si>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</si>
  <si>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</si>
  <si>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</si>
  <si>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</si>
  <si>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</si>
  <si>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</si>
  <si>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</si>
  <si>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</si>
  <si>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</si>
  <si>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</si>
  <si>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</si>
  <si>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</si>
  <si>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</si>
  <si>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</si>
  <si>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</si>
  <si>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</si>
  <si>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</si>
  <si>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</si>
  <si>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</si>
  <si>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</si>
  <si>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</si>
  <si>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</si>
  <si>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</si>
  <si>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</si>
  <si>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</si>
  <si>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</si>
  <si>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</si>
  <si>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</si>
  <si>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</si>
  <si>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</si>
  <si>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</si>
  <si>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</si>
  <si>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</si>
  <si>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</si>
  <si>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</si>
  <si>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</si>
  <si>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</si>
  <si>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</si>
  <si>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</si>
  <si>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</si>
  <si>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</si>
  <si>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</si>
  <si>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</si>
  <si>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</si>
  <si>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</si>
  <si>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</si>
  <si>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</si>
  <si>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</si>
  <si>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</si>
  <si>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</si>
  <si>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</si>
  <si>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</si>
  <si>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</si>
  <si>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</si>
  <si>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</si>
  <si>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</si>
  <si>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</si>
  <si>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</si>
  <si>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</si>
  <si>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</si>
  <si>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</si>
  <si>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</si>
  <si>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</si>
  <si>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</si>
  <si>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</si>
  <si>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</si>
  <si>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</si>
  <si>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</si>
  <si>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</si>
  <si>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</si>
  <si>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</si>
  <si>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</si>
  <si>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</si>
  <si>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</si>
  <si>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</si>
  <si>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</si>
  <si>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</si>
  <si>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</si>
  <si>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</si>
  <si>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</si>
  <si>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</si>
  <si>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</si>
  <si>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</si>
  <si>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</si>
  <si>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</si>
  <si>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</si>
  <si>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</si>
  <si>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</si>
  <si>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</si>
  <si>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</si>
  <si>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</si>
  <si>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</si>
  <si>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</si>
  <si>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</si>
  <si>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</si>
  <si>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</si>
  <si>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</si>
  <si>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</si>
  <si>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</si>
  <si>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</si>
  <si>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</si>
  <si>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</si>
  <si>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</si>
  <si>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</si>
  <si>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</si>
  <si>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</si>
  <si>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</si>
  <si>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</si>
  <si>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</si>
  <si>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</si>
  <si>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</si>
  <si>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</si>
  <si>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</si>
  <si>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</si>
  <si>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</si>
  <si>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</si>
  <si>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</si>
  <si>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</si>
  <si>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</si>
  <si>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</si>
  <si>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</si>
  <si>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</si>
  <si>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</si>
  <si>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</si>
  <si>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</si>
  <si>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</si>
  <si>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</si>
  <si>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</si>
  <si>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</si>
  <si>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</si>
  <si>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</si>
  <si>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</si>
  <si>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</si>
  <si>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</si>
  <si>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</si>
  <si>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</si>
  <si>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</si>
  <si>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</si>
  <si>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</si>
  <si>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</si>
  <si>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</si>
  <si>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</si>
  <si>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</si>
  <si>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</si>
  <si>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</si>
  <si>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</si>
  <si>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</si>
  <si>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</si>
  <si>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</si>
  <si>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</si>
  <si>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</si>
  <si>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</si>
  <si>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</si>
  <si>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</si>
  <si>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</si>
  <si>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</si>
  <si>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</si>
  <si>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</si>
  <si>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</si>
  <si>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</si>
  <si>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</si>
  <si>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</si>
  <si>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</si>
  <si>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</si>
  <si>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</si>
  <si>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</si>
  <si>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</si>
  <si>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</si>
  <si>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</si>
  <si>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</si>
  <si>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</si>
  <si>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</si>
  <si>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</si>
  <si>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</si>
  <si>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</si>
  <si>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</si>
  <si>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</si>
  <si>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</si>
  <si>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</si>
  <si>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</si>
  <si>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</si>
  <si>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</si>
  <si>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</si>
  <si>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</si>
  <si>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</si>
  <si>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</si>
  <si>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</si>
  <si>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</si>
  <si>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</si>
  <si>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</si>
  <si>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</si>
  <si>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</si>
  <si>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</si>
  <si>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</si>
  <si>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</si>
  <si>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</si>
  <si>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</si>
  <si>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</si>
  <si>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</si>
  <si>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</si>
  <si>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</si>
  <si>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</si>
  <si>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</si>
  <si>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</si>
  <si>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</si>
  <si>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</si>
  <si>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</si>
  <si>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</si>
  <si>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</si>
  <si>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</si>
  <si>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</si>
  <si>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</si>
  <si>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</si>
  <si>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</si>
  <si>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</si>
  <si>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</si>
  <si>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</si>
  <si>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</si>
  <si>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</si>
  <si>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</si>
  <si>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</si>
  <si>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</si>
  <si>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</si>
  <si>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</si>
  <si>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</si>
  <si>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</si>
  <si>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</si>
  <si>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</si>
  <si>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</si>
  <si>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</si>
  <si>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</si>
  <si>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</si>
  <si>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</si>
  <si>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</si>
  <si>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</si>
  <si>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</si>
  <si>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</si>
  <si>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</si>
  <si>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</si>
  <si>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</si>
  <si>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</si>
  <si>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</si>
  <si>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</si>
  <si>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</si>
  <si>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</si>
  <si>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</si>
  <si>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</si>
  <si>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</si>
  <si>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</si>
  <si>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</si>
  <si>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</si>
  <si>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</si>
  <si>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</si>
  <si>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</si>
  <si>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</si>
  <si>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</si>
  <si>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</si>
  <si>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</si>
  <si>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</si>
  <si>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</si>
  <si>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</si>
  <si>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</si>
  <si>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</si>
  <si>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</si>
  <si>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</si>
  <si>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</si>
  <si>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</si>
  <si>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</si>
  <si>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</si>
  <si>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</si>
  <si>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</si>
  <si>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</si>
  <si>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</si>
  <si>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</si>
  <si>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</si>
  <si>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</si>
  <si>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</si>
  <si>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</si>
  <si>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</si>
  <si>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</si>
  <si>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</si>
  <si>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</si>
  <si>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</si>
  <si>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</si>
  <si>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</si>
  <si>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</si>
  <si>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</si>
  <si>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</si>
  <si>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</si>
  <si>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</si>
  <si>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</si>
  <si>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</si>
  <si>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</si>
  <si>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</si>
  <si>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</si>
  <si>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</si>
  <si>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</si>
  <si>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</si>
  <si>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</si>
  <si>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</si>
  <si>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</si>
  <si>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</si>
  <si>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</si>
  <si>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</si>
  <si>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</si>
  <si>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</si>
  <si>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</si>
  <si>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</si>
  <si>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</si>
  <si>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</si>
  <si>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</si>
  <si>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</si>
  <si>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</si>
  <si>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</si>
  <si>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</si>
  <si>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</si>
  <si>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</si>
  <si>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</si>
  <si>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</si>
  <si>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</si>
  <si>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</si>
  <si>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</si>
  <si>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</si>
  <si>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</si>
  <si>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</si>
  <si>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</si>
  <si>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</si>
  <si>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</si>
  <si>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</si>
  <si>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</si>
  <si>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</si>
  <si>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</si>
  <si>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</si>
  <si>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</si>
  <si>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</si>
  <si>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</si>
  <si>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</si>
  <si>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</si>
  <si>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</si>
  <si>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</si>
  <si>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</si>
  <si>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</si>
  <si>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</si>
  <si>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</si>
  <si>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</si>
  <si>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</si>
  <si>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</si>
  <si>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</si>
  <si>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</si>
  <si>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</si>
  <si>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</si>
  <si>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</si>
  <si>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</si>
  <si>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</si>
  <si>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</si>
  <si>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</si>
  <si>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</si>
  <si>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</si>
  <si>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</si>
  <si>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</si>
  <si>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</si>
  <si>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</si>
  <si>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</si>
  <si>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</si>
  <si>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</si>
  <si>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</si>
  <si>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</si>
  <si>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</si>
  <si>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</si>
  <si>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</si>
  <si>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</si>
  <si>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</si>
  <si>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</si>
  <si>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</si>
  <si>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</si>
  <si>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</si>
  <si>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</si>
  <si>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</si>
  <si>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</si>
  <si>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co</t>
  </si>
  <si>
    <t>partBelow</t>
  </si>
  <si>
    <t>sl</t>
  </si>
  <si>
    <t>lo</t>
  </si>
  <si>
    <t>sp</t>
  </si>
  <si>
    <t>mp</t>
  </si>
  <si>
    <t>pr</t>
  </si>
  <si>
    <t>sys</t>
  </si>
  <si>
    <t>fl</t>
  </si>
  <si>
    <t>fa</t>
  </si>
  <si>
    <t>sm</t>
  </si>
  <si>
    <t>ss</t>
  </si>
  <si>
    <t>sv</t>
  </si>
  <si>
    <t>cs</t>
  </si>
  <si>
    <t>ds</t>
  </si>
  <si>
    <t>isTop</t>
  </si>
  <si>
    <t>ed</t>
  </si>
  <si>
    <t>sa</t>
  </si>
  <si>
    <t>sn</t>
  </si>
  <si>
    <t>cu</t>
  </si>
  <si>
    <t>pa</t>
  </si>
  <si>
    <t>cl</t>
  </si>
  <si>
    <t>de</t>
  </si>
  <si>
    <t>un</t>
  </si>
  <si>
    <t>re</t>
  </si>
  <si>
    <t>vw</t>
  </si>
  <si>
    <t>zi</t>
  </si>
  <si>
    <t>zo</t>
  </si>
  <si>
    <t>os</t>
  </si>
  <si>
    <t>mi</t>
  </si>
  <si>
    <t>ma</t>
  </si>
  <si>
    <t>ex</t>
  </si>
  <si>
    <t>so</t>
  </si>
  <si>
    <t>gl</t>
  </si>
  <si>
    <t>sg</t>
  </si>
  <si>
    <t>ac</t>
  </si>
  <si>
    <t>do</t>
  </si>
  <si>
    <t>ch</t>
  </si>
  <si>
    <t>ab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</si>
  <si>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</si>
  <si>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</si>
  <si>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</si>
  <si>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</si>
  <si>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</si>
  <si>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</si>
  <si>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</si>
  <si>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</si>
  <si>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</si>
  <si>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</si>
  <si>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</si>
  <si>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</si>
  <si>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</si>
  <si>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</si>
  <si>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Mostrar administrador de variables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</si>
  <si>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</si>
  <si>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</si>
  <si>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</si>
  <si>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</si>
  <si>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</si>
  <si>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</si>
  <si>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</si>
  <si>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</si>
  <si>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</si>
  <si>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</si>
  <si>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</si>
  <si>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</si>
  <si>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</si>
  <si>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</si>
  <si>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</si>
  <si>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</si>
  <si>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</si>
  <si>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</si>
  <si>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</si>
  <si>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</si>
  <si>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</si>
  <si>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Mostrar / Ocultar líneas de cuadrícula</t>
  </si>
  <si>
    <t>Alternar ajuste a la cuadrícula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</si>
  <si>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</si>
  <si>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</si>
  <si>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</si>
  <si>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</si>
  <si>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</si>
  <si>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</si>
  <si>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</si>
  <si>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</si>
  <si>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</si>
  <si>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</si>
  <si>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Descargue el sistema Uyamak en su dispositivo local como un archivo</t>
  </si>
  <si>
    <t>Cargue un sistema Uyamak desde su dispositivo local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</si>
  <si>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</si>
  <si>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</si>
  <si>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</si>
  <si>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</si>
  <si>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</si>
  <si>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</si>
  <si>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</si>
  <si>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Muestra el administrador de variables donde puede agregar, editar o eliminar las variables de Uyamak.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</si>
  <si>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</si>
  <si>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</si>
  <si>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</si>
  <si>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</si>
  <si>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</si>
  <si>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</si>
  <si>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</si>
  <si>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</si>
  <si>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</si>
  <si>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</si>
  <si>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</si>
  <si>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</si>
  <si>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</si>
  <si>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</si>
  <si>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</si>
  <si>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</si>
  <si>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</si>
  <si>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</si>
  <si>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</si>
  <si>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</si>
  <si>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</si>
  <si>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Muestra u oculta las líneas de la cuadrícula.</t>
  </si>
  <si>
    <t>Cuando se activa el ajuste a la cuadrícula, los bloques se mueven por pasos en lugar de suavemente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</si>
  <si>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</si>
  <si>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</si>
  <si>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</si>
  <si>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</si>
  <si>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</si>
  <si>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</si>
  <si>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</si>
  <si>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</si>
  <si>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</si>
  <si>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</si>
  <si>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</si>
  <si>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</si>
  <si>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</si>
  <si>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</si>
  <si>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</si>
  <si>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</si>
  <si>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</si>
  <si>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</si>
  <si>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</si>
  <si>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</si>
  <si>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</si>
  <si>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</si>
  <si>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</si>
  <si>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</si>
  <si>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</si>
  <si>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</si>
  <si>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</si>
  <si>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</si>
  <si>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</si>
  <si>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</si>
  <si>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</si>
  <si>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</si>
  <si>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</si>
  <si>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</si>
  <si>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</si>
  <si>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</si>
  <si>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</si>
  <si>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</si>
  <si>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</si>
  <si>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</si>
  <si>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</si>
  <si>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</si>
  <si>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</si>
  <si>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</si>
  <si>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</si>
  <si>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</si>
  <si>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</si>
  <si>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</si>
  <si>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</si>
  <si>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</si>
  <si>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</si>
  <si>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</si>
  <si>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</si>
  <si>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</si>
  <si>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</si>
  <si>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</si>
  <si>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</si>
  <si>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</si>
  <si>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</si>
  <si>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</si>
  <si>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</si>
  <si>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</si>
  <si>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</si>
  <si>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</si>
  <si>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</si>
  <si>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</si>
  <si>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</si>
  <si>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</si>
  <si>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</si>
  <si>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</si>
  <si>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</si>
  <si>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</si>
  <si>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</si>
  <si>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</si>
  <si>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</si>
  <si>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</si>
  <si>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</si>
  <si>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</si>
  <si>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</si>
  <si>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</si>
  <si>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</si>
  <si>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</si>
  <si>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</si>
  <si>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</si>
  <si>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</si>
  <si>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</si>
  <si>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</si>
  <si>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</si>
  <si>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</si>
  <si>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</si>
  <si>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</si>
  <si>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</si>
  <si>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</si>
  <si>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</si>
  <si>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</si>
  <si>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</si>
  <si>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</si>
  <si>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</si>
  <si>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</si>
  <si>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</si>
  <si>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</si>
  <si>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</si>
  <si>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</si>
  <si>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</si>
  <si>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</si>
  <si>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</si>
  <si>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</si>
  <si>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</si>
  <si>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</si>
  <si>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</si>
  <si>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</si>
  <si>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</si>
  <si>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</si>
  <si>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</si>
  <si>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</si>
  <si>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</si>
  <si>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</si>
  <si>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</si>
  <si>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</si>
  <si>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</si>
  <si>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</si>
  <si>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</si>
  <si>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</si>
  <si>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</si>
  <si>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</si>
  <si>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</si>
  <si>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</si>
  <si>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</si>
  <si>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</si>
  <si>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</si>
  <si>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</si>
  <si>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</si>
  <si>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</si>
  <si>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</si>
  <si>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</si>
  <si>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</si>
  <si>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</si>
  <si>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</si>
  <si>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</si>
  <si>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</si>
  <si>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</si>
  <si>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</si>
  <si>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</si>
  <si>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</si>
  <si>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</si>
  <si>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</si>
  <si>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</si>
  <si>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</si>
  <si>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</si>
  <si>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</si>
  <si>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</si>
  <si>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</si>
  <si>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</si>
  <si>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</si>
  <si>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</si>
  <si>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</si>
  <si>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</si>
  <si>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</si>
  <si>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</si>
  <si>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</si>
  <si>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</si>
  <si>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</si>
  <si>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</si>
  <si>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</si>
  <si>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</si>
  <si>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</si>
  <si>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</si>
  <si>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</si>
  <si>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</si>
  <si>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</si>
  <si>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</si>
  <si>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</si>
  <si>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</si>
  <si>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</si>
  <si>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</si>
  <si>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</si>
  <si>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Changes the theme from dark mode to light mode vice versa</t>
  </si>
  <si>
    <t>Cambiar tema de color</t>
  </si>
  <si>
    <t>Cambia el tema del modo oscuro al modo claro, viceversa.</t>
  </si>
  <si>
    <t>fs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</si>
  <si>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</si>
  <si>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</si>
  <si>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</si>
  <si>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</si>
  <si>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</si>
  <si>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</si>
  <si>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</si>
  <si>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</si>
  <si>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</si>
  <si>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</si>
  <si>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</si>
  <si>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</si>
  <si>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</si>
  <si>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</si>
  <si>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</si>
  <si>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</si>
  <si>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</si>
  <si>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</si>
  <si>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</si>
  <si>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</si>
  <si>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</si>
  <si>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</si>
  <si>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</si>
  <si>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</si>
  <si>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</si>
  <si>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</si>
  <si>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</si>
  <si>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</si>
  <si>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</si>
  <si>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Se dan operaciones matematicas basicas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</si>
  <si>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</si>
  <si>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</si>
  <si>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</si>
  <si>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</si>
  <si>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</si>
  <si>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</si>
  <si>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</si>
  <si>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</si>
  <si>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</si>
  <si>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</si>
  <si>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</si>
  <si>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</si>
  <si>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</si>
  <si>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</si>
  <si>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</si>
  <si>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</si>
  <si>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</si>
  <si>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</si>
  <si>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</si>
  <si>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</si>
  <si>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</si>
  <si>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</si>
  <si>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</si>
  <si>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</si>
  <si>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</si>
  <si>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</si>
  <si>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</si>
  <si>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</si>
  <si>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categories:[{"id":"sources","icon":"","name":{"en-us":"Sources","es-mx":"Fuentes"},"desc":{"en-us":"Sources generate the signals to feed to the model.","es-mx":"Las fuentes generan las señales para alimentar al modelo."}},{"id":"sinks","icon":"","name":{"en-us":"Sinks","es-mx":"Fregaderos"},"desc":{"en-us":"Sinks output the information. They can be graphs or file download","es-mx":"Los sumideros generan la información. Pueden ser gráficos o descarga de archivos"}},{"id":"basics","icon":"","name":{"en-us":"Basic operations","es-mx":"Operaciones básicas"},"desc":{"en-us":"Basic mathematical operations are given","es-mx":"Se dan operaciones matematicas basicas"}},{"id":"logics","icon":"","name":{"en-us":"Logical operations","es-mx":"Operaciones lógicas"},"desc":{"en-us":"Logical operations are available in this section","es-mx":"Las operaciones lógicas están disponibles en esta sección."}},{"id":"continuous","icon":"","name":{"en-us":"Continuous time","es-mx":"Tiempo continuo"},"desc":{"en-us":"Dynamic operations are available here for continuous time operations","es-mx":"Las operaciones dinámicas están disponibles aquí para operaciones de tiempo continuo"}},{"id":"discrete","icon":"","name":{"en-us":"Discrete time","es-mx":"Tiempo discreto"},"desc":{"en-us":"Dynamic operations are available here for discrete time operations","es-mx":"Las operaciones dinámicas están disponibles aquí para operaciones de tiempo discreto"}},{"id":"hardware","icon":"","name":{"en-us":"Hardware tools","es-mx":"Herramientas de hardware"},"desc":{"en-us":"Hardware i/o blocks are available here","es-mx":"Los bloques de E / S de hardware están disponibles aquí"}}],</t>
  </si>
  <si>
    <t>blocks:{"umk_1585601356516":{"icon":"&lt;line x1='20' y1='50' x2='80' y2='50' /&gt;&lt;line x1='50' y1='20' x2='50' y2='80'/&gt;","bg":"#1595C8","fg":"#ffffff","width":50,"height":50,"keywords":"sum add addition summation sumar aggregar plus","category":["basics","hardware"],"name":{"en-us":"Sum","es-mx":"Suma"},"desc":{"en-us":"Adds two number, vectors, or matrices.","es-mx":"Agrega dos números, vectores o matrices."}}},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</si>
  <si>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</si>
  <si>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</si>
  <si>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</si>
  <si>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</si>
  <si>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</si>
  <si>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</si>
  <si>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</si>
  <si>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</si>
  <si>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</si>
  <si>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</si>
  <si>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</si>
  <si>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</si>
  <si>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</si>
  <si>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</si>
  <si>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</si>
  <si>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</si>
  <si>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</si>
  <si>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</si>
  <si>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</si>
  <si>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</si>
  <si>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</si>
  <si>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</si>
  <si>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</si>
  <si>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</si>
  <si>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</si>
  <si>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</si>
  <si>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</si>
  <si>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</si>
  <si>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</si>
  <si>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</si>
  <si>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</si>
  <si>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</si>
  <si>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vm</t>
  </si>
  <si>
    <t>fab fa-vine</t>
  </si>
  <si>
    <t>Variable manager</t>
  </si>
  <si>
    <t>varManagerVue.showGUI()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</si>
  <si>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fa-folder","kbShort":{"ctrl":true,"alt":false,"shift":true,"key":"l","keycode":"76","langCode":"key_l"},"text":{"en-us":"Cloud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nube"},"prtBelow":true,"func":"alert()"},{"icon":"fas fa-download","kbShort":{"ctrl":true,"alt":false,"shift":false,"key":"s","keycode":"83","langCode":"key_s"},"text":{"en-us":"Save to local machine","es-mx":"Guardar en máquina local"},"moreInfo":{"en-us":"Download the Uyamak system to your local device as a file","es-mx":"Descargue el sistema Uyamak en su dispositivo local como un archivo"},"prtBelow":false,"func":"alert()"},{"icon":"fas fa-upload","kbShort":{"ctrl":true,"alt":false,"shift":false,"key":"l","keycode":"76","langCode":"key_l"},"text":{"en-us":"Load from local machine","es-mx":"Cargar desde máquina local"},"moreInfo":{"en-us":"Load a Uyamak system from your local device","es-mx":"Cargue un sistema Uyamak desde su dispositivo local"},"prtBelow":true,"func":"alert()"},{"icon":"fas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Uyamak"},"prtBelow":false,"func":"alert()"},{"icon":"fas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modelo"},"prtBelow":false,"func":"alert()"},{"icon":"fas fa-play","kbShort":{"ctrl":true,"alt":false,"shift":true,"key":"s","keycode":"83","langCode":"key_s"},"text":{"en-us":"Show Simulation drawer","es-mx":"Mostrar cajón de simulación"},"moreInfo":{"en-us":"Displays the simulation drawer where you can execute the Uyamak system","es-mx":"Muestra el cajón de simulación donde puede ejecutar el sistema Uyamak"},"prtBelow":false,"func":"alert()"},{"icon":"fas fa-equals","kbShort":{"ctrl":true,"alt":false,"shift":true,"key":"v","keycode":"86","langCode":"key_v"},"text":{"en-us":"Show Variable manager","es-mx":"Mostrar administrador de variables"},"moreInfo":{"en-us":"Displays the Variable manager where you can add, edit or delete the Uyamak variables.","es-mx":"Muestra el administrador de variables donde puede agregar, editar o eliminar las variables de Uyamak."},"prtBelow":true,"func":"alert()"},{"icon":"far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seleccionados."},"prtBelow":false,"func":"alert()"},{"icon":"far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seleccionados."},"prtBelow":false,"func":"alert()"}]},{"icon":"fas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bloques"},"prtBelow":false,"func":"alert()"},{"icon":"far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bloques."},"prtBelow":true,"func":"alert()"},{"icon":"fas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originales."},"prtBelow":false,"func":"alert()"},{"icon":"fas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portapapeles"},"prtBelow":false,"func":"alert()"},{"icon":"fas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actual"},"prtBelow":false,"func":"alert()"},{"icon":"fas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seleccionados"},"prtBelow":false,"func":"alert()"},{"icon":"fas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seleccionados"},"prtBelow":true,"func":"alert()"},{"icon":"fas fa-undo","kbShort":{"ctrl":true,"alt":false,"shift":false,"key":"z","keycode":"90","langCode":"key_z"},"text":{"en-us":"Undo","es-mx":"Deshacer"},"moreInfo":{"en-us":"Undo the recent changes","es-mx":"Deshacer los cambios recientes"},"prtBelow":false,"func":"alert()"},{"icon":"fas fa-redo","kbShort":{"ctrl":true,"alt":false,"shift":true,"key":"z","keycode":"90","langCode":"key_z"},"text":{"en-us":"Redo","es-mx":"Rehacer"},"moreInfo":{"en-us":"Redo the recent changes","es-mx":"Rehacer los cambios recientes"},"prtBelow":false,"func":"alert()"}]},{"icon":"fas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fa-desktop","kbShort":{"ctrl":true,"alt":false,"shift":true,"key":"f","keycode":"70","langCode":"key_f"},"text":{"en-us":"Full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fa-search-plus","kbShort":{"ctrl":true,"alt":false,"shift":false,"key":"add","keycode":"107","langCode":"key_add"},"text":{"en-us":"Zoom in","es-mx":"Acercarse"},"moreInfo":{"en-us":"Zooms in","es-mx":"Se acerca"},"prtBelow":false,"func":"alert()"},{"icon":"fas fa-search-minus","kbShort":{"ctrl":true,"alt":false,"shift":false,"key":"subtract","keycode":"109","langCode":"key_sub"},"text":{"en-us":"Zoom out","es-mx":"Disminuir el zoom"},"moreInfo":{"en-us":"Zooms out","es-mx":"Se aleja"},"prtBelow":false,"func":"alert()"},{"icon":"fas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desplazándote"},"prtBelow":false,"func":"alert()"},{"icon":"fas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completo."},"prtBelow":true,"func":"alert()"},{"icon":"fas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minimizarán."},"prtBelow":false,"func":"alert()"},{"icon":"fas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maximizarán"},"prtBelow":true,"func":"alert()"},{"icon":"fas fa-sort-numeric-up-alt","kbShort":{"ctrl":true,"alt":false,"shift":false,"key":"r","keycode":"82","langCode":"key_r"},"text":{"en-us":"Execution order","es-mx":"Orden de ejecución"},"moreInfo":{"en-us":"Shows simulation order and errors","es-mx":"Muestra el orden de simulación y los errores."},"prtBelow":true,"func":"alert()"},{"icon":"fas fa-image","kbShort":{"ctrl":true,"alt":false,"shift":false,"key":"f","keycode":"70","langCode":"key_f"},"text":{"en-us":"System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derecha"},"prtBelow":false,"func":"alert()"},{"icon":"fas fa-border-all","kbShort":{"ctrl":true,"alt":false,"shift":false,"key":"g","keycode":"71","langCode":"key_g"},"text":{"en-us":"Show/Hide Grid lines","es-mx":"Mostrar / Ocultar líneas de cuadrícula"},"moreInfo":{"en-us":"Shows or hide the grid lines","es-mx":"Muestra u oculta las líneas de la cuadrícula."},"prtBelow":false,"func":"alert()"},{"icon":"fas fa-magnet","kbShort":{"ctrl":true,"alt":false,"shift":false,"key":"t","keycode":"84","langCode":"key_t"},"text":{"en-us":"Toggle snap to grid","es-mx":"Alternar ajuste a la cuadrícula"},"moreInfo":{"en-us":"When snap to grid is activated, the blocks are moved at a steps instead of smoothly","es-mx":"Cuando se activa el ajuste a la cuadrícula, los bloques se mueven por pasos en lugar de suavemente"},"prtBelow":false,"func":"alert()"},{"icon":"fab fa-vine","kbShort":{"ctrl":true,"alt":true,"shift":true,"key":"a","keycode":"65","langCode":"key_a"},"text":{"en-us":"Variable manager","es-mx":"Cambiar tema de color"},"moreInfo":{"en-us":"Changes the theme from dark mode to light mode vice versa","es-mx":"Cambia el tema del modo oscuro al modo claro, viceversa."},"prtBelow":false,"func":"varManagerVue.showGUI()"}]},{"icon":"fas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fa-ticket-alt","kbShort":{"ctrl":true,"alt":false,"shift":false,"key":"b","keycode":"66","langCode":"key_b"},"text":{"en-us":"Extend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seleccionado."},"prtBelow":false,"func":"alert()"}]}];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</si>
  <si>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</si>
  <si>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</si>
  <si>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</si>
  <si>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</si>
  <si>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</si>
  <si>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</si>
  <si>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</si>
  <si>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</si>
  <si>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</si>
  <si>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</si>
  <si>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</si>
  <si>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Cannot connect to the same block</t>
  </si>
  <si>
    <t>Input cannot be connected to another input</t>
  </si>
  <si>
    <t>Output cannot be connected to another output</t>
  </si>
  <si>
    <t>Only one input can be connected per terminal</t>
  </si>
  <si>
    <t>No se puede conectar al mismo bloque.</t>
  </si>
  <si>
    <t>La entrada no se puede conectar a otra entrada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</si>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</sst>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4</xdr:row>
          <xdr:rowOff>152400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5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4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5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E1" sqref="E1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145"/>
  <sheetViews>
    <sheetView topLeftCell="A104" workbookViewId="0">
      <selection activeCell="A125" sqref="A125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manager","constants":"Constants","variables":"Variables","var":"Variable","value":"Value","errSameBlkConn":"Cannot connect to the same block","errInpInpConn":"Input cannot be connected to another input","errOutOutConn":"Output cannot be connected to another output","errOnlyOneInp":"Only one input can be connected per terminal"},"es-mx":{"hide":"Esconder","hide_left_desc":"Hides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variables","constants":"Constantes","variables":"Variables","var":"Variable","value":"Valor","errSameBlkConn":"No se puede conectar al mismo bloque.","errInpInpConn":"La entrada no se puede conectar a otra entrada","errOutOutConn":"La salida no se puede conectar a otra salida","errOnlyOneInp":"Solo se puede conectar una entrada por terminal"}};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775</v>
      </c>
      <c r="B3" t="s">
        <v>777</v>
      </c>
      <c r="C3" t="s">
        <v>777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776</v>
      </c>
      <c r="B4" t="s">
        <v>778</v>
      </c>
      <c r="C4" t="s">
        <v>778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561</v>
      </c>
      <c r="B7" t="s">
        <v>656</v>
      </c>
      <c r="C7" t="s">
        <v>656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562</v>
      </c>
      <c r="B8" t="s">
        <v>657</v>
      </c>
      <c r="C8" t="s">
        <v>657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563</v>
      </c>
      <c r="B9" t="s">
        <v>658</v>
      </c>
      <c r="C9" t="s">
        <v>658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564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565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566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567</v>
      </c>
      <c r="B13" t="s">
        <v>659</v>
      </c>
      <c r="C13" t="s">
        <v>659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568</v>
      </c>
      <c r="B14" t="s">
        <v>680</v>
      </c>
      <c r="C14" t="s">
        <v>680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569</v>
      </c>
      <c r="B15" t="s">
        <v>660</v>
      </c>
      <c r="C15" t="s">
        <v>660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570</v>
      </c>
      <c r="B16" t="s">
        <v>679</v>
      </c>
      <c r="C16" t="s">
        <v>679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571</v>
      </c>
      <c r="B17" t="s">
        <v>681</v>
      </c>
      <c r="C17" t="s">
        <v>681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572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573</v>
      </c>
      <c r="B19" t="s">
        <v>661</v>
      </c>
      <c r="C19" t="s">
        <v>661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574</v>
      </c>
      <c r="B20" t="s">
        <v>682</v>
      </c>
      <c r="C20" t="s">
        <v>682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575</v>
      </c>
      <c r="B21" t="s">
        <v>683</v>
      </c>
      <c r="C21" t="s">
        <v>683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576</v>
      </c>
      <c r="B22" t="s">
        <v>684</v>
      </c>
      <c r="C22" t="s">
        <v>684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577</v>
      </c>
      <c r="B23" t="s">
        <v>685</v>
      </c>
      <c r="C23" t="s">
        <v>685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578</v>
      </c>
      <c r="B24" t="s">
        <v>662</v>
      </c>
      <c r="C24" t="s">
        <v>662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579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580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581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582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583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584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585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586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587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588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589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590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591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592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593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594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595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596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597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598</v>
      </c>
      <c r="B44" t="s">
        <v>663</v>
      </c>
      <c r="C44" t="s">
        <v>663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599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600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601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602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603</v>
      </c>
      <c r="B49" t="s">
        <v>664</v>
      </c>
      <c r="C49" t="s">
        <v>664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604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605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606</v>
      </c>
      <c r="B52" t="s">
        <v>665</v>
      </c>
      <c r="C52" t="s">
        <v>665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607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608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609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610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611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612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613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614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615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616</v>
      </c>
      <c r="B62" t="s">
        <v>715</v>
      </c>
      <c r="C62" t="s">
        <v>715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617</v>
      </c>
      <c r="B63" t="s">
        <v>716</v>
      </c>
      <c r="C63" t="s">
        <v>716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618</v>
      </c>
      <c r="B64" t="s">
        <v>666</v>
      </c>
      <c r="C64" t="s">
        <v>666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619</v>
      </c>
      <c r="B65" t="s">
        <v>686</v>
      </c>
      <c r="C65" t="s">
        <v>686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620</v>
      </c>
      <c r="B66" t="s">
        <v>687</v>
      </c>
      <c r="C66" t="s">
        <v>687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621</v>
      </c>
      <c r="B67" t="s">
        <v>688</v>
      </c>
      <c r="C67" t="s">
        <v>688</v>
      </c>
      <c r="K67" t="str">
        <f t="shared" ref="K67:K130" si="2">IF(ISBLANK($A67),"",""""&amp;$A67&amp;""":"""&amp;B67&amp;""""&amp;IF(ISBLANK(A68),"}",","))</f>
        <v>"key_num_2":"Num 2",</v>
      </c>
      <c r="L67" t="str">
        <f t="shared" ref="L67:L130" si="3">IF(ISBLANK($A67),"",""""&amp;$A67&amp;""":"""&amp;C67&amp;""""&amp;IF(ISBLANK(B68),"}",","))</f>
        <v>"key_num_2":"Num 2",</v>
      </c>
    </row>
    <row r="68" spans="1:12" x14ac:dyDescent="0.3">
      <c r="A68" t="s">
        <v>622</v>
      </c>
      <c r="B68" t="s">
        <v>689</v>
      </c>
      <c r="C68" t="s">
        <v>689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623</v>
      </c>
      <c r="B69" t="s">
        <v>690</v>
      </c>
      <c r="C69" t="s">
        <v>690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624</v>
      </c>
      <c r="B70" t="s">
        <v>691</v>
      </c>
      <c r="C70" t="s">
        <v>691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625</v>
      </c>
      <c r="B71" t="s">
        <v>692</v>
      </c>
      <c r="C71" t="s">
        <v>692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626</v>
      </c>
      <c r="B72" t="s">
        <v>693</v>
      </c>
      <c r="C72" t="s">
        <v>693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627</v>
      </c>
      <c r="B73" t="s">
        <v>694</v>
      </c>
      <c r="C73" t="s">
        <v>694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628</v>
      </c>
      <c r="B74" t="s">
        <v>695</v>
      </c>
      <c r="C74" t="s">
        <v>695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629</v>
      </c>
      <c r="B75" t="s">
        <v>710</v>
      </c>
      <c r="C75" t="s">
        <v>710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630</v>
      </c>
      <c r="B76" t="s">
        <v>711</v>
      </c>
      <c r="C76" t="s">
        <v>711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631</v>
      </c>
      <c r="B77" t="s">
        <v>712</v>
      </c>
      <c r="C77" t="s">
        <v>712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632</v>
      </c>
      <c r="B78" t="s">
        <v>713</v>
      </c>
      <c r="C78" t="s">
        <v>713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633</v>
      </c>
      <c r="B79" t="s">
        <v>714</v>
      </c>
      <c r="C79" t="s">
        <v>714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634</v>
      </c>
      <c r="B80" t="s">
        <v>667</v>
      </c>
      <c r="C80" t="s">
        <v>667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635</v>
      </c>
      <c r="B81" t="s">
        <v>668</v>
      </c>
      <c r="C81" t="s">
        <v>668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636</v>
      </c>
      <c r="B82" t="s">
        <v>669</v>
      </c>
      <c r="C82" t="s">
        <v>669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637</v>
      </c>
      <c r="B83" t="s">
        <v>670</v>
      </c>
      <c r="C83" t="s">
        <v>670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638</v>
      </c>
      <c r="B84" t="s">
        <v>671</v>
      </c>
      <c r="C84" t="s">
        <v>671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639</v>
      </c>
      <c r="B85" t="s">
        <v>672</v>
      </c>
      <c r="C85" t="s">
        <v>672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640</v>
      </c>
      <c r="B86" t="s">
        <v>673</v>
      </c>
      <c r="C86" t="s">
        <v>673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641</v>
      </c>
      <c r="B87" t="s">
        <v>674</v>
      </c>
      <c r="C87" t="s">
        <v>674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642</v>
      </c>
      <c r="B88" t="s">
        <v>675</v>
      </c>
      <c r="C88" t="s">
        <v>675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643</v>
      </c>
      <c r="B89" t="s">
        <v>676</v>
      </c>
      <c r="C89" t="s">
        <v>676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644</v>
      </c>
      <c r="B90" t="s">
        <v>677</v>
      </c>
      <c r="C90" t="s">
        <v>677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645</v>
      </c>
      <c r="B91" t="s">
        <v>678</v>
      </c>
      <c r="C91" t="s">
        <v>678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646</v>
      </c>
      <c r="B92" t="s">
        <v>708</v>
      </c>
      <c r="C92" t="s">
        <v>708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647</v>
      </c>
      <c r="B93" t="s">
        <v>709</v>
      </c>
      <c r="C93" t="s">
        <v>709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648</v>
      </c>
      <c r="B94" t="s">
        <v>697</v>
      </c>
      <c r="C94" t="s">
        <v>697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649</v>
      </c>
      <c r="B95" t="s">
        <v>698</v>
      </c>
      <c r="C95" t="s">
        <v>698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696</v>
      </c>
      <c r="B96" t="s">
        <v>699</v>
      </c>
      <c r="C96" t="s">
        <v>699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700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701</v>
      </c>
      <c r="B98" t="s">
        <v>702</v>
      </c>
      <c r="C98" t="s">
        <v>702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650</v>
      </c>
      <c r="B99" s="1" t="s">
        <v>703</v>
      </c>
      <c r="C99" s="1" t="s">
        <v>703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651</v>
      </c>
      <c r="B100" t="s">
        <v>704</v>
      </c>
      <c r="C100" t="s">
        <v>704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652</v>
      </c>
      <c r="B101" t="s">
        <v>705</v>
      </c>
      <c r="C101" t="s">
        <v>705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653</v>
      </c>
      <c r="B102" s="8" t="s">
        <v>717</v>
      </c>
      <c r="C102" s="8" t="s">
        <v>717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654</v>
      </c>
      <c r="B103" t="s">
        <v>706</v>
      </c>
      <c r="C103" t="s">
        <v>706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655</v>
      </c>
      <c r="B104" s="1" t="s">
        <v>707</v>
      </c>
      <c r="C104" s="1" t="s">
        <v>707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739</v>
      </c>
      <c r="B105" t="s">
        <v>740</v>
      </c>
      <c r="C105" t="s">
        <v>741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743</v>
      </c>
      <c r="B106" t="s">
        <v>742</v>
      </c>
      <c r="C106" t="s">
        <v>750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756</v>
      </c>
      <c r="B107" t="s">
        <v>744</v>
      </c>
      <c r="C107" t="s">
        <v>751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755</v>
      </c>
      <c r="B108" t="s">
        <v>745</v>
      </c>
      <c r="C108" t="s">
        <v>752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746</v>
      </c>
      <c r="B109" t="s">
        <v>747</v>
      </c>
      <c r="C109" t="s">
        <v>753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748</v>
      </c>
      <c r="C110" t="s">
        <v>754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749</v>
      </c>
      <c r="C111" t="s">
        <v>749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779</v>
      </c>
      <c r="B112" t="s">
        <v>780</v>
      </c>
      <c r="C112" t="s">
        <v>781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793</v>
      </c>
      <c r="B113" t="s">
        <v>794</v>
      </c>
      <c r="C113" t="s">
        <v>795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796</v>
      </c>
      <c r="B114" t="s">
        <v>797</v>
      </c>
      <c r="C114" t="s">
        <v>798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799</v>
      </c>
      <c r="B115" t="s">
        <v>809</v>
      </c>
      <c r="C115" t="s">
        <v>806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800</v>
      </c>
      <c r="B116" t="s">
        <v>805</v>
      </c>
      <c r="C116" t="s">
        <v>807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801</v>
      </c>
      <c r="B117" t="s">
        <v>803</v>
      </c>
      <c r="C117" t="s">
        <v>808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802</v>
      </c>
      <c r="B118" t="s">
        <v>804</v>
      </c>
      <c r="C118" t="s">
        <v>804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810</v>
      </c>
      <c r="B119" t="s">
        <v>811</v>
      </c>
      <c r="C119" t="s">
        <v>812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813</v>
      </c>
      <c r="B120" t="s">
        <v>815</v>
      </c>
      <c r="C120" t="s">
        <v>821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814</v>
      </c>
      <c r="B121" t="s">
        <v>816</v>
      </c>
      <c r="C121" t="s">
        <v>822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820</v>
      </c>
      <c r="B122" t="s">
        <v>817</v>
      </c>
      <c r="C122" t="s">
        <v>823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818</v>
      </c>
      <c r="B123" t="s">
        <v>819</v>
      </c>
      <c r="C123" t="s">
        <v>824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830</v>
      </c>
      <c r="B124" t="s">
        <v>827</v>
      </c>
      <c r="C124" t="s">
        <v>835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849</v>
      </c>
      <c r="B125" t="s">
        <v>851</v>
      </c>
      <c r="C125" t="s">
        <v>853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850</v>
      </c>
      <c r="B126" t="s">
        <v>852</v>
      </c>
      <c r="C126" t="s">
        <v>852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831</v>
      </c>
      <c r="B127" t="s">
        <v>833</v>
      </c>
      <c r="C127" t="s">
        <v>833</v>
      </c>
      <c r="K127" t="str">
        <f t="shared" si="2"/>
        <v>"var":"Variable",</v>
      </c>
      <c r="L127" t="str">
        <f t="shared" si="3"/>
        <v>"var":"Variable",</v>
      </c>
    </row>
    <row r="128" spans="1:12" x14ac:dyDescent="0.3">
      <c r="A128" t="s">
        <v>832</v>
      </c>
      <c r="B128" t="s">
        <v>834</v>
      </c>
      <c r="C128" t="s">
        <v>836</v>
      </c>
      <c r="K128" t="str">
        <f t="shared" si="2"/>
        <v>"value":"Value",</v>
      </c>
      <c r="L128" t="str">
        <f t="shared" si="3"/>
        <v>"value":"Valor",</v>
      </c>
    </row>
    <row r="129" spans="1:12" x14ac:dyDescent="0.3">
      <c r="A129" t="s">
        <v>837</v>
      </c>
      <c r="B129" t="s">
        <v>841</v>
      </c>
      <c r="C129" t="s">
        <v>845</v>
      </c>
      <c r="K129" t="str">
        <f t="shared" si="2"/>
        <v>"errSameBlkConn":"Cannot connect to the same block",</v>
      </c>
      <c r="L129" t="str">
        <f t="shared" si="3"/>
        <v>"errSameBlkConn":"No se puede conectar al mismo bloque.",</v>
      </c>
    </row>
    <row r="130" spans="1:12" x14ac:dyDescent="0.3">
      <c r="A130" t="s">
        <v>839</v>
      </c>
      <c r="B130" t="s">
        <v>842</v>
      </c>
      <c r="C130" t="s">
        <v>846</v>
      </c>
      <c r="K130" t="str">
        <f t="shared" si="2"/>
        <v>"errInpInpConn":"Input cannot be connected to another input",</v>
      </c>
      <c r="L130" t="str">
        <f t="shared" si="3"/>
        <v>"errInpInpConn":"La entrada no se puede conectar a otra entrada",</v>
      </c>
    </row>
    <row r="131" spans="1:12" x14ac:dyDescent="0.3">
      <c r="A131" t="s">
        <v>838</v>
      </c>
      <c r="B131" t="s">
        <v>843</v>
      </c>
      <c r="C131" t="s">
        <v>847</v>
      </c>
      <c r="K131" t="str">
        <f t="shared" ref="K131:K145" si="4">IF(ISBLANK($A131),"",""""&amp;$A131&amp;""":"""&amp;B131&amp;""""&amp;IF(ISBLANK(A132),"}",","))</f>
        <v>"errOutOutConn":"Output cannot be connected to another output",</v>
      </c>
      <c r="L131" t="str">
        <f t="shared" ref="L131:L145" si="5">IF(ISBLANK($A131),"",""""&amp;$A131&amp;""":"""&amp;C131&amp;""""&amp;IF(ISBLANK(B132),"}",","))</f>
        <v>"errOutOutConn":"La salida no se puede conectar a otra salida",</v>
      </c>
    </row>
    <row r="132" spans="1:12" x14ac:dyDescent="0.3">
      <c r="A132" t="s">
        <v>840</v>
      </c>
      <c r="B132" t="s">
        <v>844</v>
      </c>
      <c r="C132" t="s">
        <v>848</v>
      </c>
      <c r="K132" t="str">
        <f t="shared" si="4"/>
        <v>"errOnlyOneInp":"Only one input can be connected per terminal"}</v>
      </c>
      <c r="L132" t="str">
        <f t="shared" si="5"/>
        <v>"errOnlyOneInp":"Solo se puede conectar una entrada por terminal"}</v>
      </c>
    </row>
    <row r="133" spans="1:12" x14ac:dyDescent="0.3">
      <c r="K133" t="str">
        <f t="shared" si="4"/>
        <v/>
      </c>
      <c r="L133" t="str">
        <f t="shared" si="5"/>
        <v/>
      </c>
    </row>
    <row r="134" spans="1:12" x14ac:dyDescent="0.3">
      <c r="K134" t="str">
        <f t="shared" si="4"/>
        <v/>
      </c>
      <c r="L134" t="str">
        <f t="shared" si="5"/>
        <v/>
      </c>
    </row>
    <row r="135" spans="1:12" x14ac:dyDescent="0.3">
      <c r="K135" t="str">
        <f t="shared" si="4"/>
        <v/>
      </c>
      <c r="L135" t="str">
        <f t="shared" si="5"/>
        <v/>
      </c>
    </row>
    <row r="136" spans="1:12" x14ac:dyDescent="0.3">
      <c r="K136" t="str">
        <f t="shared" si="4"/>
        <v/>
      </c>
      <c r="L136" t="str">
        <f t="shared" si="5"/>
        <v/>
      </c>
    </row>
    <row r="137" spans="1:12" x14ac:dyDescent="0.3">
      <c r="K137" t="str">
        <f t="shared" si="4"/>
        <v/>
      </c>
      <c r="L137" t="str">
        <f t="shared" si="5"/>
        <v/>
      </c>
    </row>
    <row r="138" spans="1:12" x14ac:dyDescent="0.3">
      <c r="K138" t="str">
        <f t="shared" si="4"/>
        <v/>
      </c>
      <c r="L138" t="str">
        <f t="shared" si="5"/>
        <v/>
      </c>
    </row>
    <row r="139" spans="1:12" x14ac:dyDescent="0.3">
      <c r="K139" t="str">
        <f t="shared" si="4"/>
        <v/>
      </c>
      <c r="L139" t="str">
        <f t="shared" si="5"/>
        <v/>
      </c>
    </row>
    <row r="140" spans="1:12" x14ac:dyDescent="0.3">
      <c r="K140" t="str">
        <f t="shared" si="4"/>
        <v/>
      </c>
      <c r="L140" t="str">
        <f t="shared" si="5"/>
        <v/>
      </c>
    </row>
    <row r="141" spans="1:12" x14ac:dyDescent="0.3">
      <c r="K141" t="str">
        <f t="shared" si="4"/>
        <v/>
      </c>
      <c r="L141" t="str">
        <f t="shared" si="5"/>
        <v/>
      </c>
    </row>
    <row r="142" spans="1:12" x14ac:dyDescent="0.3">
      <c r="K142" t="str">
        <f t="shared" si="4"/>
        <v/>
      </c>
      <c r="L142" t="str">
        <f t="shared" si="5"/>
        <v/>
      </c>
    </row>
    <row r="143" spans="1:12" x14ac:dyDescent="0.3">
      <c r="K143" t="str">
        <f t="shared" si="4"/>
        <v/>
      </c>
      <c r="L143" t="str">
        <f t="shared" si="5"/>
        <v/>
      </c>
    </row>
    <row r="144" spans="1:12" x14ac:dyDescent="0.3">
      <c r="K144" t="str">
        <f t="shared" si="4"/>
        <v/>
      </c>
      <c r="L144" t="str">
        <f t="shared" si="5"/>
        <v/>
      </c>
    </row>
    <row r="145" spans="11:12" x14ac:dyDescent="0.3">
      <c r="K145" t="str">
        <f t="shared" si="4"/>
        <v/>
      </c>
      <c r="L145" t="str">
        <f t="shared" si="5"/>
        <v/>
      </c>
    </row>
  </sheetData>
  <conditionalFormatting sqref="A1:A1048576">
    <cfRule type="duplicateValues" dxfId="4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0"/>
  <sheetViews>
    <sheetView topLeftCell="O1" zoomScaleNormal="100" workbookViewId="0">
      <selection activeCell="T1" sqref="T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0" t="s">
        <v>341</v>
      </c>
      <c r="F1" s="20"/>
      <c r="G1" s="20"/>
      <c r="H1" s="20"/>
      <c r="I1" s="20"/>
      <c r="J1" s="20"/>
      <c r="K1" s="20"/>
      <c r="M1" s="20" t="s">
        <v>329</v>
      </c>
      <c r="N1" s="20"/>
      <c r="O1" s="20" t="s">
        <v>330</v>
      </c>
      <c r="P1" s="20"/>
      <c r="T1" s="18" t="s">
        <v>829</v>
      </c>
    </row>
    <row r="2" spans="1:20" x14ac:dyDescent="0.3">
      <c r="A2" t="s">
        <v>340</v>
      </c>
      <c r="B2" t="s">
        <v>448</v>
      </c>
      <c r="C2" t="s">
        <v>434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718</v>
      </c>
      <c r="K2" s="10" t="s">
        <v>738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 t="s">
        <v>441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472</v>
      </c>
      <c r="M3" t="s">
        <v>115</v>
      </c>
      <c r="N3" t="s">
        <v>192</v>
      </c>
      <c r="O3" t="s">
        <v>475</v>
      </c>
      <c r="P3" t="s">
        <v>518</v>
      </c>
    </row>
    <row r="4" spans="1:20" x14ac:dyDescent="0.3">
      <c r="A4" t="s">
        <v>433</v>
      </c>
      <c r="B4" t="b">
        <v>0</v>
      </c>
      <c r="C4" t="b">
        <v>1</v>
      </c>
      <c r="D4" t="s">
        <v>151</v>
      </c>
      <c r="E4" t="b">
        <v>1</v>
      </c>
      <c r="F4" s="6"/>
      <c r="G4" s="6" t="b">
        <v>1</v>
      </c>
      <c r="H4" s="6" t="s">
        <v>246</v>
      </c>
      <c r="I4" s="7">
        <f>IF(ISBLANK(H4), "", VLOOKUP(LOWER(H4), javascriptKeycodes!A:B, 2, FALSE))</f>
        <v>76</v>
      </c>
      <c r="J4" s="7" t="str">
        <f>IF(ISBLANK(H4), "", VLOOKUP(LOWER(H4), javascriptKeycodes!A:C, 3, FALSE))</f>
        <v>key_l</v>
      </c>
      <c r="K4" s="10" t="str">
        <f t="shared" ref="K4:K48" si="0">IF(E4,"CTRL_","")&amp;IF(F4,"ALT_","")&amp;IF(G4,"SHIFT_","")&amp;H4</f>
        <v>CTRL_SHIFT_L</v>
      </c>
      <c r="L4" t="s">
        <v>272</v>
      </c>
      <c r="M4" t="s">
        <v>200</v>
      </c>
      <c r="N4" t="s">
        <v>199</v>
      </c>
      <c r="O4" t="s">
        <v>476</v>
      </c>
      <c r="P4" t="s">
        <v>519</v>
      </c>
    </row>
    <row r="5" spans="1:20" x14ac:dyDescent="0.3">
      <c r="A5" t="s">
        <v>435</v>
      </c>
      <c r="B5" t="b">
        <v>0</v>
      </c>
      <c r="C5" t="b">
        <v>0</v>
      </c>
      <c r="D5" t="s">
        <v>152</v>
      </c>
      <c r="E5" t="b">
        <v>1</v>
      </c>
      <c r="F5" s="6"/>
      <c r="G5" s="6"/>
      <c r="H5" s="6" t="s">
        <v>243</v>
      </c>
      <c r="I5" s="7">
        <f>IF(ISBLANK(H5), "", VLOOKUP(LOWER(H5), javascriptKeycodes!A:B, 2, FALSE))</f>
        <v>83</v>
      </c>
      <c r="J5" s="7" t="str">
        <f>IF(ISBLANK(H5), "", VLOOKUP(LOWER(H5), javascriptKeycodes!A:C, 3, FALSE))</f>
        <v>key_s</v>
      </c>
      <c r="K5" s="10" t="str">
        <f t="shared" si="0"/>
        <v>CTRL_S</v>
      </c>
      <c r="L5" t="s">
        <v>272</v>
      </c>
      <c r="M5" t="s">
        <v>137</v>
      </c>
      <c r="N5" t="s">
        <v>197</v>
      </c>
      <c r="O5" t="s">
        <v>477</v>
      </c>
      <c r="P5" t="s">
        <v>520</v>
      </c>
    </row>
    <row r="6" spans="1:20" x14ac:dyDescent="0.3">
      <c r="A6" t="s">
        <v>436</v>
      </c>
      <c r="B6" t="b">
        <v>0</v>
      </c>
      <c r="C6" t="b">
        <v>1</v>
      </c>
      <c r="D6" t="s">
        <v>153</v>
      </c>
      <c r="E6" t="b">
        <v>1</v>
      </c>
      <c r="F6" s="6"/>
      <c r="G6" s="6"/>
      <c r="H6" s="6" t="s">
        <v>246</v>
      </c>
      <c r="I6" s="7">
        <f>IF(ISBLANK(H6), "", VLOOKUP(LOWER(H6), javascriptKeycodes!A:B, 2, FALSE))</f>
        <v>76</v>
      </c>
      <c r="J6" s="7" t="str">
        <f>IF(ISBLANK(H6), "", VLOOKUP(LOWER(H6), javascriptKeycodes!A:C, 3, FALSE))</f>
        <v>key_l</v>
      </c>
      <c r="K6" s="10" t="str">
        <f t="shared" si="0"/>
        <v>CTRL_L</v>
      </c>
      <c r="L6" t="s">
        <v>272</v>
      </c>
      <c r="M6" t="s">
        <v>138</v>
      </c>
      <c r="N6" t="s">
        <v>198</v>
      </c>
      <c r="O6" t="s">
        <v>478</v>
      </c>
      <c r="P6" t="s">
        <v>521</v>
      </c>
    </row>
    <row r="7" spans="1:20" x14ac:dyDescent="0.3">
      <c r="A7" t="s">
        <v>437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7">
        <f>IF(ISBLANK(H7), "", VLOOKUP(LOWER(H7), javascriptKeycodes!A:B, 2, FALSE))</f>
        <v>74</v>
      </c>
      <c r="J7" s="7" t="str">
        <f>IF(ISBLANK(H7), "", VLOOKUP(LOWER(H7), javascriptKeycodes!A:C, 3, FALSE))</f>
        <v>key_j</v>
      </c>
      <c r="K7" s="10" t="str">
        <f t="shared" si="0"/>
        <v>CTRL_J</v>
      </c>
      <c r="L7" t="s">
        <v>272</v>
      </c>
      <c r="M7" t="s">
        <v>140</v>
      </c>
      <c r="N7" t="s">
        <v>193</v>
      </c>
      <c r="O7" t="s">
        <v>479</v>
      </c>
      <c r="P7" t="s">
        <v>522</v>
      </c>
    </row>
    <row r="8" spans="1:20" x14ac:dyDescent="0.3">
      <c r="A8" t="s">
        <v>438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7">
        <f>IF(ISBLANK(H8), "", VLOOKUP(LOWER(H8), javascriptKeycodes!A:B, 2, FALSE))</f>
        <v>74</v>
      </c>
      <c r="J8" s="7" t="str">
        <f>IF(ISBLANK(H8), "", VLOOKUP(LOWER(H8), javascriptKeycodes!A:C, 3, FALSE))</f>
        <v>key_j</v>
      </c>
      <c r="K8" s="10" t="str">
        <f t="shared" si="0"/>
        <v>CTRL_SHIFT_J</v>
      </c>
      <c r="L8" t="s">
        <v>272</v>
      </c>
      <c r="M8" t="s">
        <v>139</v>
      </c>
      <c r="N8" t="s">
        <v>194</v>
      </c>
      <c r="O8" t="s">
        <v>480</v>
      </c>
      <c r="P8" t="s">
        <v>523</v>
      </c>
    </row>
    <row r="9" spans="1:20" x14ac:dyDescent="0.3">
      <c r="A9" t="s">
        <v>439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7">
        <f>IF(ISBLANK(H9), "", VLOOKUP(LOWER(H9), javascriptKeycodes!A:B, 2, FALSE))</f>
        <v>80</v>
      </c>
      <c r="J9" s="7" t="str">
        <f>IF(ISBLANK(H9), "", VLOOKUP(LOWER(H9), javascriptKeycodes!A:C, 3, FALSE))</f>
        <v>key_p</v>
      </c>
      <c r="K9" s="10" t="str">
        <f t="shared" si="0"/>
        <v>CTRL_P</v>
      </c>
      <c r="L9" t="s">
        <v>272</v>
      </c>
      <c r="M9" t="s">
        <v>120</v>
      </c>
      <c r="N9" t="s">
        <v>195</v>
      </c>
      <c r="O9" t="s">
        <v>481</v>
      </c>
      <c r="P9" t="s">
        <v>524</v>
      </c>
    </row>
    <row r="10" spans="1:20" x14ac:dyDescent="0.3">
      <c r="A10" t="s">
        <v>440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7">
        <f>IF(ISBLANK(H10), "", VLOOKUP(LOWER(H10), javascriptKeycodes!A:B, 2, FALSE))</f>
        <v>83</v>
      </c>
      <c r="J10" s="7" t="str">
        <f>IF(ISBLANK(H10), "", VLOOKUP(LOWER(H10), javascriptKeycodes!A:C, 3, FALSE))</f>
        <v>key_s</v>
      </c>
      <c r="K10" s="10" t="str">
        <f t="shared" si="0"/>
        <v>ALT_S</v>
      </c>
      <c r="L10" t="s">
        <v>472</v>
      </c>
      <c r="M10" t="s">
        <v>136</v>
      </c>
      <c r="N10" t="s">
        <v>196</v>
      </c>
      <c r="O10" t="s">
        <v>482</v>
      </c>
      <c r="P10" t="s">
        <v>525</v>
      </c>
    </row>
    <row r="11" spans="1:20" x14ac:dyDescent="0.3">
      <c r="A11" t="s">
        <v>435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7">
        <f>IF(ISBLANK(H11), "", VLOOKUP(LOWER(H11), javascriptKeycodes!A:B, 2, FALSE))</f>
        <v>85</v>
      </c>
      <c r="J11" s="7" t="str">
        <f>IF(ISBLANK(H11), "", VLOOKUP(LOWER(H11), javascriptKeycodes!A:C, 3, FALSE))</f>
        <v>key_u</v>
      </c>
      <c r="K11" s="10" t="str">
        <f t="shared" si="0"/>
        <v>CTRL_U</v>
      </c>
      <c r="L11" t="s">
        <v>272</v>
      </c>
      <c r="M11" t="s">
        <v>234</v>
      </c>
      <c r="N11" t="s">
        <v>235</v>
      </c>
      <c r="O11" t="s">
        <v>483</v>
      </c>
      <c r="P11" t="s">
        <v>526</v>
      </c>
    </row>
    <row r="12" spans="1:20" x14ac:dyDescent="0.3">
      <c r="A12" t="s">
        <v>443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7">
        <f>IF(ISBLANK(H12), "", VLOOKUP(LOWER(H12), javascriptKeycodes!A:B, 2, FALSE))</f>
        <v>69</v>
      </c>
      <c r="J12" s="7" t="str">
        <f>IF(ISBLANK(H12), "", VLOOKUP(LOWER(H12), javascriptKeycodes!A:C, 3, FALSE))</f>
        <v>key_e</v>
      </c>
      <c r="K12" s="10" t="str">
        <f t="shared" si="0"/>
        <v>CTRL_E</v>
      </c>
      <c r="L12" t="s">
        <v>272</v>
      </c>
      <c r="M12" t="s">
        <v>201</v>
      </c>
      <c r="N12" t="s">
        <v>203</v>
      </c>
      <c r="O12" t="s">
        <v>484</v>
      </c>
      <c r="P12" t="s">
        <v>527</v>
      </c>
    </row>
    <row r="13" spans="1:20" x14ac:dyDescent="0.3">
      <c r="A13" t="s">
        <v>444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7">
        <f>IF(ISBLANK(H13), "", VLOOKUP(LOWER(H13), javascriptKeycodes!A:B, 2, FALSE))</f>
        <v>83</v>
      </c>
      <c r="J13" s="7" t="str">
        <f>IF(ISBLANK(H13), "", VLOOKUP(LOWER(H13), javascriptKeycodes!A:C, 3, FALSE))</f>
        <v>key_s</v>
      </c>
      <c r="K13" s="10" t="str">
        <f t="shared" si="0"/>
        <v>CTRL_SHIFT_S</v>
      </c>
      <c r="L13" t="s">
        <v>272</v>
      </c>
      <c r="M13" t="s">
        <v>202</v>
      </c>
      <c r="N13" t="s">
        <v>204</v>
      </c>
      <c r="O13" t="s">
        <v>485</v>
      </c>
      <c r="P13" t="s">
        <v>528</v>
      </c>
    </row>
    <row r="14" spans="1:20" x14ac:dyDescent="0.3">
      <c r="A14" t="s">
        <v>445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7">
        <f>IF(ISBLANK(H14), "", VLOOKUP(LOWER(H14), javascriptKeycodes!A:B, 2, FALSE))</f>
        <v>86</v>
      </c>
      <c r="J14" s="7" t="str">
        <f>IF(ISBLANK(H14), "", VLOOKUP(LOWER(H14), javascriptKeycodes!A:C, 3, FALSE))</f>
        <v>key_v</v>
      </c>
      <c r="K14" s="10" t="str">
        <f t="shared" si="0"/>
        <v>CTRL_SHIFT_V</v>
      </c>
      <c r="L14" t="s">
        <v>272</v>
      </c>
      <c r="M14" t="s">
        <v>283</v>
      </c>
      <c r="N14" t="s">
        <v>284</v>
      </c>
      <c r="O14" t="s">
        <v>486</v>
      </c>
      <c r="P14" t="s">
        <v>529</v>
      </c>
    </row>
    <row r="15" spans="1:20" x14ac:dyDescent="0.3">
      <c r="A15" t="s">
        <v>446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7">
        <f>IF(ISBLANK(H15), "", VLOOKUP(LOWER(H15), javascriptKeycodes!A:B, 2, FALSE))</f>
        <v>75</v>
      </c>
      <c r="J15" s="7" t="str">
        <f>IF(ISBLANK(H15), "", VLOOKUP(LOWER(H15), javascriptKeycodes!A:C, 3, FALSE))</f>
        <v>key_k</v>
      </c>
      <c r="K15" s="10" t="str">
        <f t="shared" si="0"/>
        <v>CTRL_K</v>
      </c>
      <c r="L15" t="s">
        <v>272</v>
      </c>
      <c r="M15" t="s">
        <v>236</v>
      </c>
      <c r="N15" t="s">
        <v>205</v>
      </c>
      <c r="O15" t="s">
        <v>487</v>
      </c>
      <c r="P15" t="s">
        <v>530</v>
      </c>
    </row>
    <row r="16" spans="1:20" x14ac:dyDescent="0.3">
      <c r="A16" t="s">
        <v>447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7">
        <f>IF(ISBLANK(H16), "", VLOOKUP(LOWER(H16), javascriptKeycodes!A:B, 2, FALSE))</f>
        <v>75</v>
      </c>
      <c r="J16" s="7" t="str">
        <f>IF(ISBLANK(H16), "", VLOOKUP(LOWER(H16), javascriptKeycodes!A:C, 3, FALSE))</f>
        <v>key_k</v>
      </c>
      <c r="K16" s="10" t="str">
        <f t="shared" si="0"/>
        <v>CTRL_SHIFT_K</v>
      </c>
      <c r="L16" t="s">
        <v>272</v>
      </c>
      <c r="M16" t="s">
        <v>237</v>
      </c>
      <c r="N16" t="s">
        <v>206</v>
      </c>
      <c r="O16" t="s">
        <v>488</v>
      </c>
      <c r="P16" t="s">
        <v>531</v>
      </c>
    </row>
    <row r="17" spans="1:16" x14ac:dyDescent="0.3">
      <c r="A17" t="s">
        <v>449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7">
        <f>IF(ISBLANK(H17), "", VLOOKUP(LOWER(H17), javascriptKeycodes!A:B, 2, FALSE))</f>
        <v>69</v>
      </c>
      <c r="J17" s="7" t="str">
        <f>IF(ISBLANK(H17), "", VLOOKUP(LOWER(H17), javascriptKeycodes!A:C, 3, FALSE))</f>
        <v>key_e</v>
      </c>
      <c r="K17" s="10" t="str">
        <f t="shared" si="0"/>
        <v>ALT_E</v>
      </c>
      <c r="L17" t="s">
        <v>472</v>
      </c>
      <c r="M17" t="s">
        <v>123</v>
      </c>
      <c r="N17" t="s">
        <v>214</v>
      </c>
      <c r="O17" t="s">
        <v>489</v>
      </c>
      <c r="P17" t="s">
        <v>532</v>
      </c>
    </row>
    <row r="18" spans="1:16" x14ac:dyDescent="0.3">
      <c r="A18" t="s">
        <v>444</v>
      </c>
      <c r="B18" t="b">
        <v>0</v>
      </c>
      <c r="C18" t="b">
        <v>1</v>
      </c>
      <c r="D18" t="s">
        <v>773</v>
      </c>
      <c r="E18" t="b">
        <v>1</v>
      </c>
      <c r="F18" t="b">
        <v>1</v>
      </c>
      <c r="G18" t="b">
        <v>1</v>
      </c>
      <c r="H18" s="16" t="s">
        <v>243</v>
      </c>
      <c r="I18" s="16">
        <f>IF(ISBLANK(H18), "", VLOOKUP(LOWER(H18), javascriptKeycodes!A:B, 2, FALSE))</f>
        <v>83</v>
      </c>
      <c r="J18" s="16" t="str">
        <f>IF(ISBLANK(H18), "", VLOOKUP(LOWER(H18), javascriptKeycodes!A:C, 3, FALSE))</f>
        <v>key_s</v>
      </c>
      <c r="K18" s="16" t="str">
        <f t="shared" ref="K18" si="1">IF(E18,"CTRL_","")&amp;IF(F18,"ALT_","")&amp;IF(G18,"SHIFT_","")&amp;H18</f>
        <v>CTRL_ALT_SHIFT_S</v>
      </c>
      <c r="L18" t="s">
        <v>774</v>
      </c>
      <c r="M18" t="s">
        <v>740</v>
      </c>
      <c r="N18" t="s">
        <v>771</v>
      </c>
      <c r="O18" t="s">
        <v>741</v>
      </c>
      <c r="P18" t="s">
        <v>772</v>
      </c>
    </row>
    <row r="19" spans="1:16" x14ac:dyDescent="0.3">
      <c r="A19" t="s">
        <v>450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7">
        <f>IF(ISBLANK(H19), "", VLOOKUP(LOWER(H19), javascriptKeycodes!A:B, 2, FALSE))</f>
        <v>65</v>
      </c>
      <c r="J19" s="7" t="str">
        <f>IF(ISBLANK(H19), "", VLOOKUP(LOWER(H19), javascriptKeycodes!A:C, 3, FALSE))</f>
        <v>key_a</v>
      </c>
      <c r="K19" s="10" t="str">
        <f t="shared" si="0"/>
        <v>CTRL_A</v>
      </c>
      <c r="L19" t="s">
        <v>272</v>
      </c>
      <c r="M19" t="s">
        <v>268</v>
      </c>
      <c r="N19" t="s">
        <v>473</v>
      </c>
      <c r="O19" t="s">
        <v>490</v>
      </c>
      <c r="P19" t="s">
        <v>533</v>
      </c>
    </row>
    <row r="20" spans="1:16" x14ac:dyDescent="0.3">
      <c r="A20" t="s">
        <v>451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7">
        <f>IF(ISBLANK(H20), "", VLOOKUP(LOWER(H20), javascriptKeycodes!A:B, 2, FALSE))</f>
        <v>65</v>
      </c>
      <c r="J20" s="7" t="str">
        <f>IF(ISBLANK(H20), "", VLOOKUP(LOWER(H20), javascriptKeycodes!A:C, 3, FALSE))</f>
        <v>key_a</v>
      </c>
      <c r="K20" s="10" t="str">
        <f t="shared" si="0"/>
        <v>CTRL_SHIFT_A</v>
      </c>
      <c r="L20" t="s">
        <v>272</v>
      </c>
      <c r="M20" t="s">
        <v>269</v>
      </c>
      <c r="N20" t="s">
        <v>474</v>
      </c>
      <c r="O20" t="s">
        <v>491</v>
      </c>
      <c r="P20" t="s">
        <v>534</v>
      </c>
    </row>
    <row r="21" spans="1:16" x14ac:dyDescent="0.3">
      <c r="A21" t="s">
        <v>452</v>
      </c>
      <c r="B21" t="b">
        <v>0</v>
      </c>
      <c r="C21" t="b">
        <v>0</v>
      </c>
      <c r="D21" t="s">
        <v>161</v>
      </c>
      <c r="E21" t="b">
        <v>1</v>
      </c>
      <c r="F21" s="6"/>
      <c r="G21" s="6"/>
      <c r="H21" s="6" t="s">
        <v>256</v>
      </c>
      <c r="I21" s="7">
        <f>IF(ISBLANK(H21), "", VLOOKUP(LOWER(H21), javascriptKeycodes!A:B, 2, FALSE))</f>
        <v>88</v>
      </c>
      <c r="J21" s="7" t="str">
        <f>IF(ISBLANK(H21), "", VLOOKUP(LOWER(H21), javascriptKeycodes!A:C, 3, FALSE))</f>
        <v>key_x</v>
      </c>
      <c r="K21" s="10" t="str">
        <f t="shared" si="0"/>
        <v>CTRL_X</v>
      </c>
      <c r="L21" t="s">
        <v>272</v>
      </c>
      <c r="M21" t="s">
        <v>124</v>
      </c>
      <c r="N21" t="s">
        <v>208</v>
      </c>
      <c r="O21" t="s">
        <v>492</v>
      </c>
      <c r="P21" t="s">
        <v>535</v>
      </c>
    </row>
    <row r="22" spans="1:16" x14ac:dyDescent="0.3">
      <c r="A22" t="s">
        <v>433</v>
      </c>
      <c r="B22" t="b">
        <v>0</v>
      </c>
      <c r="C22" t="b">
        <v>0</v>
      </c>
      <c r="D22" t="s">
        <v>162</v>
      </c>
      <c r="E22" t="b">
        <v>1</v>
      </c>
      <c r="F22" s="6"/>
      <c r="G22" s="6"/>
      <c r="H22" s="6" t="s">
        <v>244</v>
      </c>
      <c r="I22" s="7">
        <f>IF(ISBLANK(H22), "", VLOOKUP(LOWER(H22), javascriptKeycodes!A:B, 2, FALSE))</f>
        <v>67</v>
      </c>
      <c r="J22" s="7" t="str">
        <f>IF(ISBLANK(H22), "", VLOOKUP(LOWER(H22), javascriptKeycodes!A:C, 3, FALSE))</f>
        <v>key_c</v>
      </c>
      <c r="K22" s="10" t="str">
        <f t="shared" si="0"/>
        <v>CTRL_C</v>
      </c>
      <c r="L22" t="s">
        <v>272</v>
      </c>
      <c r="M22" t="s">
        <v>125</v>
      </c>
      <c r="N22" t="s">
        <v>207</v>
      </c>
      <c r="O22" t="s">
        <v>493</v>
      </c>
      <c r="P22" t="s">
        <v>536</v>
      </c>
    </row>
    <row r="23" spans="1:16" x14ac:dyDescent="0.3">
      <c r="A23" t="s">
        <v>453</v>
      </c>
      <c r="B23" t="b">
        <v>0</v>
      </c>
      <c r="C23" t="b">
        <v>0</v>
      </c>
      <c r="D23" t="s">
        <v>163</v>
      </c>
      <c r="E23" t="b">
        <v>1</v>
      </c>
      <c r="F23" s="6"/>
      <c r="G23" s="6"/>
      <c r="H23" s="6" t="s">
        <v>257</v>
      </c>
      <c r="I23" s="7">
        <f>IF(ISBLANK(H23), "", VLOOKUP(LOWER(H23), javascriptKeycodes!A:B, 2, FALSE))</f>
        <v>86</v>
      </c>
      <c r="J23" s="7" t="str">
        <f>IF(ISBLANK(H23), "", VLOOKUP(LOWER(H23), javascriptKeycodes!A:C, 3, FALSE))</f>
        <v>key_v</v>
      </c>
      <c r="K23" s="10" t="str">
        <f t="shared" si="0"/>
        <v>CTRL_V</v>
      </c>
      <c r="L23" t="s">
        <v>272</v>
      </c>
      <c r="M23" t="s">
        <v>126</v>
      </c>
      <c r="N23" t="s">
        <v>209</v>
      </c>
      <c r="O23" t="s">
        <v>494</v>
      </c>
      <c r="P23" t="s">
        <v>537</v>
      </c>
    </row>
    <row r="24" spans="1:16" x14ac:dyDescent="0.3">
      <c r="A24" t="s">
        <v>454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7">
        <f>IF(ISBLANK(H24), "", VLOOKUP(LOWER(H24), javascriptKeycodes!A:B, 2, FALSE))</f>
        <v>67</v>
      </c>
      <c r="J24" s="7" t="str">
        <f>IF(ISBLANK(H24), "", VLOOKUP(LOWER(H24), javascriptKeycodes!A:C, 3, FALSE))</f>
        <v>key_c</v>
      </c>
      <c r="K24" s="10" t="str">
        <f t="shared" si="0"/>
        <v>CTRL_SHIFT_C</v>
      </c>
      <c r="L24" t="s">
        <v>272</v>
      </c>
      <c r="M24" t="s">
        <v>164</v>
      </c>
      <c r="N24" t="s">
        <v>210</v>
      </c>
      <c r="O24" t="s">
        <v>495</v>
      </c>
      <c r="P24" t="s">
        <v>538</v>
      </c>
    </row>
    <row r="25" spans="1:16" x14ac:dyDescent="0.3">
      <c r="A25" t="s">
        <v>455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7">
        <f>IF(ISBLANK(H25), "", VLOOKUP(LOWER(H25), javascriptKeycodes!A:B, 2, FALSE))</f>
        <v>46</v>
      </c>
      <c r="J25" s="7" t="str">
        <f>IF(ISBLANK(H25), "", VLOOKUP(LOWER(H25), javascriptKeycodes!A:C, 3, FALSE))</f>
        <v>key_delete</v>
      </c>
      <c r="K25" s="10" t="str">
        <f t="shared" si="0"/>
        <v>delete</v>
      </c>
      <c r="L25" t="s">
        <v>272</v>
      </c>
      <c r="M25" t="s">
        <v>33</v>
      </c>
      <c r="N25" t="s">
        <v>211</v>
      </c>
      <c r="O25" t="s">
        <v>496</v>
      </c>
      <c r="P25" t="s">
        <v>539</v>
      </c>
    </row>
    <row r="26" spans="1:16" x14ac:dyDescent="0.3">
      <c r="A26" t="s">
        <v>456</v>
      </c>
      <c r="B26" t="b">
        <v>0</v>
      </c>
      <c r="C26" t="b">
        <v>0</v>
      </c>
      <c r="D26" t="s">
        <v>167</v>
      </c>
      <c r="E26" t="b">
        <v>1</v>
      </c>
      <c r="F26" s="6"/>
      <c r="G26" s="6"/>
      <c r="H26" s="6" t="s">
        <v>258</v>
      </c>
      <c r="I26" s="7">
        <f>IF(ISBLANK(H26), "", VLOOKUP(LOWER(H26), javascriptKeycodes!A:B, 2, FALSE))</f>
        <v>90</v>
      </c>
      <c r="J26" s="7" t="str">
        <f>IF(ISBLANK(H26), "", VLOOKUP(LOWER(H26), javascriptKeycodes!A:C, 3, FALSE))</f>
        <v>key_z</v>
      </c>
      <c r="K26" s="10" t="str">
        <f t="shared" si="0"/>
        <v>CTRL_Z</v>
      </c>
      <c r="L26" t="s">
        <v>272</v>
      </c>
      <c r="M26" t="s">
        <v>143</v>
      </c>
      <c r="N26" t="s">
        <v>212</v>
      </c>
      <c r="O26" t="s">
        <v>497</v>
      </c>
      <c r="P26" t="s">
        <v>540</v>
      </c>
    </row>
    <row r="27" spans="1:16" x14ac:dyDescent="0.3">
      <c r="A27" t="s">
        <v>457</v>
      </c>
      <c r="B27" t="b">
        <v>0</v>
      </c>
      <c r="C27" t="b">
        <v>0</v>
      </c>
      <c r="D27" t="s">
        <v>168</v>
      </c>
      <c r="E27" t="b">
        <v>1</v>
      </c>
      <c r="F27" s="6"/>
      <c r="G27" s="7" t="b">
        <v>1</v>
      </c>
      <c r="H27" s="6" t="s">
        <v>258</v>
      </c>
      <c r="I27" s="7">
        <f>IF(ISBLANK(H27), "", VLOOKUP(LOWER(H27), javascriptKeycodes!A:B, 2, FALSE))</f>
        <v>90</v>
      </c>
      <c r="J27" s="7" t="str">
        <f>IF(ISBLANK(H27), "", VLOOKUP(LOWER(H27), javascriptKeycodes!A:C, 3, FALSE))</f>
        <v>key_z</v>
      </c>
      <c r="K27" s="10" t="str">
        <f t="shared" si="0"/>
        <v>CTRL_SHIFT_Z</v>
      </c>
      <c r="L27" t="s">
        <v>272</v>
      </c>
      <c r="M27" t="s">
        <v>144</v>
      </c>
      <c r="N27" t="s">
        <v>213</v>
      </c>
      <c r="O27" t="s">
        <v>498</v>
      </c>
      <c r="P27" t="s">
        <v>541</v>
      </c>
    </row>
    <row r="28" spans="1:16" x14ac:dyDescent="0.3">
      <c r="A28" t="s">
        <v>458</v>
      </c>
      <c r="B28" t="b">
        <v>1</v>
      </c>
      <c r="C28" t="b">
        <v>0</v>
      </c>
      <c r="D28" t="s">
        <v>189</v>
      </c>
      <c r="F28" s="7" t="b">
        <v>1</v>
      </c>
      <c r="G28" s="6"/>
      <c r="H28" s="6" t="s">
        <v>257</v>
      </c>
      <c r="I28" s="7">
        <f>IF(ISBLANK(H28), "", VLOOKUP(LOWER(H28), javascriptKeycodes!A:B, 2, FALSE))</f>
        <v>86</v>
      </c>
      <c r="J28" s="7" t="str">
        <f>IF(ISBLANK(H28), "", VLOOKUP(LOWER(H28), javascriptKeycodes!A:C, 3, FALSE))</f>
        <v>key_v</v>
      </c>
      <c r="K28" s="10" t="str">
        <f t="shared" si="0"/>
        <v>ALT_V</v>
      </c>
      <c r="L28" t="s">
        <v>472</v>
      </c>
      <c r="M28" t="s">
        <v>127</v>
      </c>
      <c r="N28" t="s">
        <v>215</v>
      </c>
      <c r="O28" t="s">
        <v>499</v>
      </c>
      <c r="P28" t="s">
        <v>542</v>
      </c>
    </row>
    <row r="29" spans="1:16" x14ac:dyDescent="0.3">
      <c r="A29" t="s">
        <v>732</v>
      </c>
      <c r="B29" t="b">
        <v>0</v>
      </c>
      <c r="C29" t="b">
        <v>0</v>
      </c>
      <c r="D29" t="s">
        <v>189</v>
      </c>
      <c r="E29" t="b">
        <v>1</v>
      </c>
      <c r="F29" s="9"/>
      <c r="G29" s="9" t="b">
        <v>1</v>
      </c>
      <c r="H29" s="9" t="s">
        <v>261</v>
      </c>
      <c r="I29" s="9">
        <f>IF(ISBLANK(H29), "", VLOOKUP(LOWER(H29), javascriptKeycodes!A:B, 2, FALSE))</f>
        <v>70</v>
      </c>
      <c r="J29" s="9" t="str">
        <f>IF(ISBLANK(H29), "", VLOOKUP(LOWER(H29), javascriptKeycodes!A:C, 3, FALSE))</f>
        <v>key_f</v>
      </c>
      <c r="K29" s="10" t="str">
        <f t="shared" si="0"/>
        <v>CTRL_SHIFT_F</v>
      </c>
      <c r="L29" t="s">
        <v>737</v>
      </c>
      <c r="M29" t="s">
        <v>733</v>
      </c>
      <c r="N29" t="s">
        <v>734</v>
      </c>
      <c r="O29" t="s">
        <v>735</v>
      </c>
      <c r="P29" t="s">
        <v>736</v>
      </c>
    </row>
    <row r="30" spans="1:16" x14ac:dyDescent="0.3">
      <c r="A30" t="s">
        <v>459</v>
      </c>
      <c r="B30" t="b">
        <v>0</v>
      </c>
      <c r="C30" t="b">
        <v>0</v>
      </c>
      <c r="D30" t="s">
        <v>169</v>
      </c>
      <c r="E30" t="b">
        <v>1</v>
      </c>
      <c r="F30" s="6"/>
      <c r="G30" s="6"/>
      <c r="H30" s="6" t="s">
        <v>404</v>
      </c>
      <c r="I30" s="7">
        <f>IF(ISBLANK(H30), "", VLOOKUP(LOWER(H30), javascriptKeycodes!A:B, 2, FALSE))</f>
        <v>107</v>
      </c>
      <c r="J30" s="7" t="str">
        <f>IF(ISBLANK(H30), "", VLOOKUP(LOWER(H30), javascriptKeycodes!A:C, 3, FALSE))</f>
        <v>key_add</v>
      </c>
      <c r="K30" s="10" t="str">
        <f t="shared" si="0"/>
        <v>CTRL_add</v>
      </c>
      <c r="L30" t="s">
        <v>272</v>
      </c>
      <c r="M30" t="s">
        <v>129</v>
      </c>
      <c r="N30" t="s">
        <v>216</v>
      </c>
      <c r="O30" t="s">
        <v>500</v>
      </c>
      <c r="P30" t="s">
        <v>543</v>
      </c>
    </row>
    <row r="31" spans="1:16" x14ac:dyDescent="0.3">
      <c r="A31" t="s">
        <v>460</v>
      </c>
      <c r="B31" t="b">
        <v>0</v>
      </c>
      <c r="C31" t="b">
        <v>0</v>
      </c>
      <c r="D31" t="s">
        <v>170</v>
      </c>
      <c r="E31" t="b">
        <v>1</v>
      </c>
      <c r="F31" s="6"/>
      <c r="G31" s="6"/>
      <c r="H31" s="6" t="s">
        <v>405</v>
      </c>
      <c r="I31" s="7">
        <f>IF(ISBLANK(H31), "", VLOOKUP(LOWER(H31), javascriptKeycodes!A:B, 2, FALSE))</f>
        <v>109</v>
      </c>
      <c r="J31" s="7" t="str">
        <f>IF(ISBLANK(H31), "", VLOOKUP(LOWER(H31), javascriptKeycodes!A:C, 3, FALSE))</f>
        <v>key_sub</v>
      </c>
      <c r="K31" s="10" t="str">
        <f t="shared" si="0"/>
        <v>CTRL_subtract</v>
      </c>
      <c r="L31" t="s">
        <v>272</v>
      </c>
      <c r="M31" t="s">
        <v>128</v>
      </c>
      <c r="N31" t="s">
        <v>217</v>
      </c>
      <c r="O31" t="s">
        <v>501</v>
      </c>
      <c r="P31" t="s">
        <v>544</v>
      </c>
    </row>
    <row r="32" spans="1:16" x14ac:dyDescent="0.3">
      <c r="A32" t="s">
        <v>461</v>
      </c>
      <c r="B32" t="b">
        <v>0</v>
      </c>
      <c r="C32" t="b">
        <v>0</v>
      </c>
      <c r="D32" t="s">
        <v>172</v>
      </c>
      <c r="E32" t="b">
        <v>1</v>
      </c>
      <c r="F32" s="6"/>
      <c r="G32" s="6"/>
      <c r="H32" s="6" t="s">
        <v>719</v>
      </c>
      <c r="I32" s="7">
        <f>IF(ISBLANK(H32), "", VLOOKUP(LOWER(H32), javascriptKeycodes!A:B, 2, FALSE))</f>
        <v>48</v>
      </c>
      <c r="J32" s="7" t="str">
        <f>IF(ISBLANK(H32), "", VLOOKUP(LOWER(H32), javascriptKeycodes!A:C, 3, FALSE))</f>
        <v>key_0</v>
      </c>
      <c r="K32" s="10" t="str">
        <f t="shared" si="0"/>
        <v>CTRL_K_0</v>
      </c>
      <c r="L32" t="s">
        <v>272</v>
      </c>
      <c r="M32" t="s">
        <v>131</v>
      </c>
      <c r="N32" t="s">
        <v>218</v>
      </c>
      <c r="O32" t="s">
        <v>502</v>
      </c>
      <c r="P32" t="s">
        <v>545</v>
      </c>
    </row>
    <row r="33" spans="1:16" x14ac:dyDescent="0.3">
      <c r="A33" t="s">
        <v>442</v>
      </c>
      <c r="B33" t="b">
        <v>0</v>
      </c>
      <c r="C33" t="b">
        <v>1</v>
      </c>
      <c r="D33" t="s">
        <v>171</v>
      </c>
      <c r="E33" t="b">
        <v>1</v>
      </c>
      <c r="F33" s="6"/>
      <c r="G33" s="7" t="b">
        <v>1</v>
      </c>
      <c r="H33" s="7" t="s">
        <v>719</v>
      </c>
      <c r="I33" s="7">
        <f>IF(ISBLANK(H33), "", VLOOKUP(LOWER(H33), javascriptKeycodes!A:B, 2, FALSE))</f>
        <v>48</v>
      </c>
      <c r="J33" s="7" t="str">
        <f>IF(ISBLANK(H33), "", VLOOKUP(LOWER(H33), javascriptKeycodes!A:C, 3, FALSE))</f>
        <v>key_0</v>
      </c>
      <c r="K33" s="10" t="str">
        <f t="shared" si="0"/>
        <v>CTRL_SHIFT_K_0</v>
      </c>
      <c r="L33" t="s">
        <v>272</v>
      </c>
      <c r="M33" t="s">
        <v>130</v>
      </c>
      <c r="N33" t="s">
        <v>219</v>
      </c>
      <c r="O33" t="s">
        <v>503</v>
      </c>
      <c r="P33" t="s">
        <v>546</v>
      </c>
    </row>
    <row r="34" spans="1:16" x14ac:dyDescent="0.3">
      <c r="A34" t="s">
        <v>462</v>
      </c>
      <c r="B34" t="b">
        <v>0</v>
      </c>
      <c r="C34" t="b">
        <v>0</v>
      </c>
      <c r="D34" t="s">
        <v>173</v>
      </c>
      <c r="E34" t="b">
        <v>1</v>
      </c>
      <c r="F34" s="6"/>
      <c r="G34" s="6"/>
      <c r="H34" s="6" t="s">
        <v>247</v>
      </c>
      <c r="I34" s="7">
        <f>IF(ISBLANK(H34), "", VLOOKUP(LOWER(H34), javascriptKeycodes!A:B, 2, FALSE))</f>
        <v>77</v>
      </c>
      <c r="J34" s="7" t="str">
        <f>IF(ISBLANK(H34), "", VLOOKUP(LOWER(H34), javascriptKeycodes!A:C, 3, FALSE))</f>
        <v>key_m</v>
      </c>
      <c r="K34" s="10" t="str">
        <f t="shared" si="0"/>
        <v>CTRL_M</v>
      </c>
      <c r="L34" t="s">
        <v>272</v>
      </c>
      <c r="M34" t="s">
        <v>145</v>
      </c>
      <c r="N34" t="s">
        <v>220</v>
      </c>
      <c r="O34" t="s">
        <v>504</v>
      </c>
      <c r="P34" t="s">
        <v>547</v>
      </c>
    </row>
    <row r="35" spans="1:16" x14ac:dyDescent="0.3">
      <c r="A35" t="s">
        <v>463</v>
      </c>
      <c r="B35" t="b">
        <v>0</v>
      </c>
      <c r="C35" t="b">
        <v>1</v>
      </c>
      <c r="D35" t="s">
        <v>174</v>
      </c>
      <c r="E35" t="b">
        <v>1</v>
      </c>
      <c r="F35" s="6"/>
      <c r="G35" s="7" t="b">
        <v>1</v>
      </c>
      <c r="H35" s="7" t="s">
        <v>247</v>
      </c>
      <c r="I35" s="7">
        <f>IF(ISBLANK(H35), "", VLOOKUP(LOWER(H35), javascriptKeycodes!A:B, 2, FALSE))</f>
        <v>77</v>
      </c>
      <c r="J35" s="7" t="str">
        <f>IF(ISBLANK(H35), "", VLOOKUP(LOWER(H35), javascriptKeycodes!A:C, 3, FALSE))</f>
        <v>key_m</v>
      </c>
      <c r="K35" s="10" t="str">
        <f t="shared" si="0"/>
        <v>CTRL_SHIFT_M</v>
      </c>
      <c r="L35" t="s">
        <v>272</v>
      </c>
      <c r="M35" t="s">
        <v>146</v>
      </c>
      <c r="N35" t="s">
        <v>221</v>
      </c>
      <c r="O35" t="s">
        <v>505</v>
      </c>
      <c r="P35" t="s">
        <v>548</v>
      </c>
    </row>
    <row r="36" spans="1:16" x14ac:dyDescent="0.3">
      <c r="A36" t="s">
        <v>464</v>
      </c>
      <c r="B36" t="b">
        <v>0</v>
      </c>
      <c r="C36" t="b">
        <v>1</v>
      </c>
      <c r="D36" t="s">
        <v>280</v>
      </c>
      <c r="E36" t="b">
        <v>1</v>
      </c>
      <c r="F36" s="6"/>
      <c r="G36" s="6"/>
      <c r="H36" s="6" t="s">
        <v>250</v>
      </c>
      <c r="I36" s="7">
        <f>IF(ISBLANK(H36), "", VLOOKUP(LOWER(H36), javascriptKeycodes!A:B, 2, FALSE))</f>
        <v>82</v>
      </c>
      <c r="J36" s="7" t="str">
        <f>IF(ISBLANK(H36), "", VLOOKUP(LOWER(H36), javascriptKeycodes!A:C, 3, FALSE))</f>
        <v>key_r</v>
      </c>
      <c r="K36" s="10" t="str">
        <f t="shared" si="0"/>
        <v>CTRL_R</v>
      </c>
      <c r="L36" t="s">
        <v>272</v>
      </c>
      <c r="M36" t="s">
        <v>279</v>
      </c>
      <c r="N36" t="s">
        <v>281</v>
      </c>
      <c r="O36" t="s">
        <v>506</v>
      </c>
      <c r="P36" t="s">
        <v>549</v>
      </c>
    </row>
    <row r="37" spans="1:16" x14ac:dyDescent="0.3">
      <c r="A37" t="s">
        <v>465</v>
      </c>
      <c r="B37" t="b">
        <v>0</v>
      </c>
      <c r="C37" t="b">
        <v>0</v>
      </c>
      <c r="D37" t="s">
        <v>177</v>
      </c>
      <c r="E37" t="b">
        <v>1</v>
      </c>
      <c r="F37" s="6"/>
      <c r="G37" s="6"/>
      <c r="H37" s="6" t="s">
        <v>261</v>
      </c>
      <c r="I37" s="7">
        <f>IF(ISBLANK(H37), "", VLOOKUP(LOWER(H37), javascriptKeycodes!A:B, 2, FALSE))</f>
        <v>70</v>
      </c>
      <c r="J37" s="7" t="str">
        <f>IF(ISBLANK(H37), "", VLOOKUP(LOWER(H37), javascriptKeycodes!A:C, 3, FALSE))</f>
        <v>key_f</v>
      </c>
      <c r="K37" s="10" t="str">
        <f t="shared" si="0"/>
        <v>CTRL_F</v>
      </c>
      <c r="L37" t="s">
        <v>272</v>
      </c>
      <c r="M37" t="s">
        <v>222</v>
      </c>
      <c r="N37" t="s">
        <v>223</v>
      </c>
      <c r="O37" t="s">
        <v>507</v>
      </c>
      <c r="P37" t="s">
        <v>550</v>
      </c>
    </row>
    <row r="38" spans="1:16" x14ac:dyDescent="0.3">
      <c r="A38" t="s">
        <v>466</v>
      </c>
      <c r="B38" t="b">
        <v>0</v>
      </c>
      <c r="C38" t="b">
        <v>0</v>
      </c>
      <c r="D38" t="s">
        <v>176</v>
      </c>
      <c r="E38" t="b">
        <v>1</v>
      </c>
      <c r="F38" s="6"/>
      <c r="G38" s="6"/>
      <c r="H38" s="6" t="s">
        <v>252</v>
      </c>
      <c r="I38" s="7">
        <f>IF(ISBLANK(H38), "", VLOOKUP(LOWER(H38), javascriptKeycodes!A:B, 2, FALSE))</f>
        <v>71</v>
      </c>
      <c r="J38" s="7" t="str">
        <f>IF(ISBLANK(H38), "", VLOOKUP(LOWER(H38), javascriptKeycodes!A:C, 3, FALSE))</f>
        <v>key_g</v>
      </c>
      <c r="K38" s="10" t="str">
        <f t="shared" si="0"/>
        <v>CTRL_G</v>
      </c>
      <c r="L38" t="s">
        <v>272</v>
      </c>
      <c r="M38" t="s">
        <v>141</v>
      </c>
      <c r="N38" t="s">
        <v>224</v>
      </c>
      <c r="O38" t="s">
        <v>508</v>
      </c>
      <c r="P38" t="s">
        <v>551</v>
      </c>
    </row>
    <row r="39" spans="1:16" x14ac:dyDescent="0.3">
      <c r="A39" t="s">
        <v>467</v>
      </c>
      <c r="B39" t="b">
        <v>0</v>
      </c>
      <c r="C39" t="b">
        <v>0</v>
      </c>
      <c r="D39" t="s">
        <v>178</v>
      </c>
      <c r="E39" t="b">
        <v>1</v>
      </c>
      <c r="F39" s="6"/>
      <c r="G39" s="6"/>
      <c r="H39" s="6" t="s">
        <v>262</v>
      </c>
      <c r="I39" s="7">
        <f>IF(ISBLANK(H39), "", VLOOKUP(LOWER(H39), javascriptKeycodes!A:B, 2, FALSE))</f>
        <v>84</v>
      </c>
      <c r="J39" s="7" t="str">
        <f>IF(ISBLANK(H39), "", VLOOKUP(LOWER(H39), javascriptKeycodes!A:C, 3, FALSE))</f>
        <v>key_t</v>
      </c>
      <c r="K39" s="10" t="str">
        <f t="shared" si="0"/>
        <v>CTRL_T</v>
      </c>
      <c r="L39" t="s">
        <v>272</v>
      </c>
      <c r="M39" t="s">
        <v>175</v>
      </c>
      <c r="N39" t="s">
        <v>225</v>
      </c>
      <c r="O39" t="s">
        <v>509</v>
      </c>
      <c r="P39" t="s">
        <v>552</v>
      </c>
    </row>
    <row r="40" spans="1:16" x14ac:dyDescent="0.3">
      <c r="A40" t="s">
        <v>825</v>
      </c>
      <c r="B40" t="b">
        <v>0</v>
      </c>
      <c r="C40" t="b">
        <v>0</v>
      </c>
      <c r="D40" t="s">
        <v>826</v>
      </c>
      <c r="E40" t="b">
        <v>1</v>
      </c>
      <c r="F40" s="6" t="b">
        <v>1</v>
      </c>
      <c r="G40" s="19" t="b">
        <v>1</v>
      </c>
      <c r="H40" s="6" t="s">
        <v>264</v>
      </c>
      <c r="I40" s="19">
        <f>IF(ISBLANK(H40), "", VLOOKUP(LOWER(H40), javascriptKeycodes!A:B, 2, FALSE))</f>
        <v>65</v>
      </c>
      <c r="J40" s="19" t="str">
        <f>IF(ISBLANK(H40), "", VLOOKUP(LOWER(H40), javascriptKeycodes!A:C, 3, FALSE))</f>
        <v>key_a</v>
      </c>
      <c r="K40" s="19" t="str">
        <f t="shared" ref="K40:K42" si="2">IF(E40,"CTRL_","")&amp;IF(F40,"ALT_","")&amp;IF(G40,"SHIFT_","")&amp;H40</f>
        <v>CTRL_ALT_SHIFT_A</v>
      </c>
      <c r="L40" t="s">
        <v>828</v>
      </c>
      <c r="M40" t="s">
        <v>827</v>
      </c>
      <c r="N40" t="s">
        <v>729</v>
      </c>
      <c r="O40" t="s">
        <v>730</v>
      </c>
      <c r="P40" t="s">
        <v>731</v>
      </c>
    </row>
    <row r="41" spans="1:16" x14ac:dyDescent="0.3">
      <c r="A41" t="s">
        <v>468</v>
      </c>
      <c r="B41" t="b">
        <v>1</v>
      </c>
      <c r="C41" t="b">
        <v>0</v>
      </c>
      <c r="D41" t="s">
        <v>180</v>
      </c>
      <c r="F41" s="7" t="b">
        <v>1</v>
      </c>
      <c r="G41" s="6"/>
      <c r="H41" s="6" t="s">
        <v>264</v>
      </c>
      <c r="I41" s="19">
        <f>IF(ISBLANK(H41), "", VLOOKUP(LOWER(H41), javascriptKeycodes!A:B, 2, FALSE))</f>
        <v>65</v>
      </c>
      <c r="J41" s="19" t="str">
        <f>IF(ISBLANK(H41), "", VLOOKUP(LOWER(H41), javascriptKeycodes!A:C, 3, FALSE))</f>
        <v>key_a</v>
      </c>
      <c r="K41" s="19" t="str">
        <f t="shared" si="2"/>
        <v>ALT_A</v>
      </c>
      <c r="L41" t="s">
        <v>272</v>
      </c>
      <c r="M41" t="s">
        <v>122</v>
      </c>
      <c r="N41" t="s">
        <v>227</v>
      </c>
      <c r="O41" t="s">
        <v>510</v>
      </c>
      <c r="P41" t="s">
        <v>553</v>
      </c>
    </row>
    <row r="42" spans="1:16" x14ac:dyDescent="0.3">
      <c r="A42" t="s">
        <v>439</v>
      </c>
      <c r="B42" t="b">
        <v>0</v>
      </c>
      <c r="C42" t="b">
        <v>0</v>
      </c>
      <c r="D42" t="s">
        <v>190</v>
      </c>
      <c r="F42" s="6"/>
      <c r="G42" s="6"/>
      <c r="H42" s="6"/>
      <c r="I42" s="19" t="str">
        <f>IF(ISBLANK(H42), "", VLOOKUP(LOWER(H42), javascriptKeycodes!A:B, 2, FALSE))</f>
        <v/>
      </c>
      <c r="J42" s="19" t="str">
        <f>IF(ISBLANK(H42), "", VLOOKUP(LOWER(H42), javascriptKeycodes!A:C, 3, FALSE))</f>
        <v/>
      </c>
      <c r="K42" s="19" t="str">
        <f t="shared" si="2"/>
        <v/>
      </c>
      <c r="L42" t="s">
        <v>272</v>
      </c>
      <c r="M42" t="s">
        <v>150</v>
      </c>
      <c r="N42" t="s">
        <v>228</v>
      </c>
      <c r="O42" t="s">
        <v>511</v>
      </c>
      <c r="P42" t="s">
        <v>554</v>
      </c>
    </row>
    <row r="43" spans="1:16" x14ac:dyDescent="0.3">
      <c r="A43" t="s">
        <v>464</v>
      </c>
      <c r="B43" t="b">
        <v>0</v>
      </c>
      <c r="C43" t="b">
        <v>0</v>
      </c>
      <c r="D43" t="s">
        <v>181</v>
      </c>
      <c r="E43" t="b">
        <v>1</v>
      </c>
      <c r="F43" s="6"/>
      <c r="G43" s="6"/>
      <c r="H43" s="6" t="s">
        <v>265</v>
      </c>
      <c r="I43" s="7">
        <f>IF(ISBLANK(H43), "", VLOOKUP(LOWER(H43), javascriptKeycodes!A:B, 2, FALSE))</f>
        <v>66</v>
      </c>
      <c r="J43" s="7" t="str">
        <f>IF(ISBLANK(H43), "", VLOOKUP(LOWER(H43), javascriptKeycodes!A:C, 3, FALSE))</f>
        <v>key_b</v>
      </c>
      <c r="K43" s="10" t="str">
        <f t="shared" si="0"/>
        <v>CTRL_B</v>
      </c>
      <c r="L43" t="s">
        <v>272</v>
      </c>
      <c r="M43" t="s">
        <v>121</v>
      </c>
      <c r="N43" t="s">
        <v>229</v>
      </c>
      <c r="O43" t="s">
        <v>512</v>
      </c>
      <c r="P43" t="s">
        <v>555</v>
      </c>
    </row>
    <row r="44" spans="1:16" x14ac:dyDescent="0.3">
      <c r="A44" t="s">
        <v>465</v>
      </c>
      <c r="B44" t="b">
        <v>0</v>
      </c>
      <c r="C44" t="b">
        <v>0</v>
      </c>
      <c r="D44" t="s">
        <v>182</v>
      </c>
      <c r="E44" t="b">
        <v>1</v>
      </c>
      <c r="F44" s="6"/>
      <c r="G44" s="6"/>
      <c r="H44" s="6" t="s">
        <v>266</v>
      </c>
      <c r="I44" s="7">
        <f>IF(ISBLANK(H44), "", VLOOKUP(LOWER(H44), javascriptKeycodes!A:B, 2, FALSE))</f>
        <v>87</v>
      </c>
      <c r="J44" s="7" t="str">
        <f>IF(ISBLANK(H44), "", VLOOKUP(LOWER(H44), javascriptKeycodes!A:C, 3, FALSE))</f>
        <v>key_w</v>
      </c>
      <c r="K44" s="10" t="str">
        <f t="shared" si="0"/>
        <v>CTRL_W</v>
      </c>
      <c r="L44" t="s">
        <v>272</v>
      </c>
      <c r="M44" t="s">
        <v>119</v>
      </c>
      <c r="N44" t="s">
        <v>230</v>
      </c>
      <c r="O44" t="s">
        <v>513</v>
      </c>
      <c r="P44" t="s">
        <v>556</v>
      </c>
    </row>
    <row r="45" spans="1:16" x14ac:dyDescent="0.3">
      <c r="A45" t="s">
        <v>118</v>
      </c>
      <c r="B45" t="b">
        <v>1</v>
      </c>
      <c r="C45" t="b">
        <v>0</v>
      </c>
      <c r="D45" t="s">
        <v>191</v>
      </c>
      <c r="F45" s="7" t="b">
        <v>1</v>
      </c>
      <c r="G45" s="6"/>
      <c r="H45" s="6" t="s">
        <v>267</v>
      </c>
      <c r="I45" s="7">
        <f>IF(ISBLANK(H45), "", VLOOKUP(LOWER(H45), javascriptKeycodes!A:B, 2, FALSE))</f>
        <v>72</v>
      </c>
      <c r="J45" s="7" t="str">
        <f>IF(ISBLANK(H45), "", VLOOKUP(LOWER(H45), javascriptKeycodes!A:C, 3, FALSE))</f>
        <v>key_h</v>
      </c>
      <c r="K45" s="10" t="str">
        <f t="shared" si="0"/>
        <v>ALT_H</v>
      </c>
      <c r="L45" t="s">
        <v>472</v>
      </c>
      <c r="M45" t="s">
        <v>147</v>
      </c>
      <c r="N45" t="s">
        <v>231</v>
      </c>
      <c r="O45" t="s">
        <v>514</v>
      </c>
      <c r="P45" t="s">
        <v>557</v>
      </c>
    </row>
    <row r="46" spans="1:16" x14ac:dyDescent="0.3">
      <c r="A46" t="s">
        <v>469</v>
      </c>
      <c r="B46" t="b">
        <v>0</v>
      </c>
      <c r="C46" t="b">
        <v>0</v>
      </c>
      <c r="D46" t="s">
        <v>183</v>
      </c>
      <c r="E46" t="b">
        <v>1</v>
      </c>
      <c r="F46" s="6"/>
      <c r="G46" s="6"/>
      <c r="H46" s="6" t="s">
        <v>245</v>
      </c>
      <c r="I46" s="7">
        <f>IF(ISBLANK(H46), "", VLOOKUP(LOWER(H46), javascriptKeycodes!A:B, 2, FALSE))</f>
        <v>68</v>
      </c>
      <c r="J46" s="7" t="str">
        <f>IF(ISBLANK(H46), "", VLOOKUP(LOWER(H46), javascriptKeycodes!A:C, 3, FALSE))</f>
        <v>key_d</v>
      </c>
      <c r="K46" s="10" t="str">
        <f t="shared" si="0"/>
        <v>CTRL_D</v>
      </c>
      <c r="L46" t="s">
        <v>272</v>
      </c>
      <c r="M46" t="s">
        <v>148</v>
      </c>
      <c r="N46" t="s">
        <v>232</v>
      </c>
      <c r="O46" t="s">
        <v>515</v>
      </c>
      <c r="P46" t="s">
        <v>558</v>
      </c>
    </row>
    <row r="47" spans="1:16" x14ac:dyDescent="0.3">
      <c r="A47" t="s">
        <v>470</v>
      </c>
      <c r="B47" t="b">
        <v>0</v>
      </c>
      <c r="C47" t="b">
        <v>1</v>
      </c>
      <c r="D47" t="s">
        <v>186</v>
      </c>
      <c r="E47" t="b">
        <v>1</v>
      </c>
      <c r="F47" s="6"/>
      <c r="G47" s="6"/>
      <c r="H47" s="6" t="s">
        <v>267</v>
      </c>
      <c r="I47" s="7">
        <f>IF(ISBLANK(H47), "", VLOOKUP(LOWER(H47), javascriptKeycodes!A:B, 2, FALSE))</f>
        <v>72</v>
      </c>
      <c r="J47" s="7" t="str">
        <f>IF(ISBLANK(H47), "", VLOOKUP(LOWER(H47), javascriptKeycodes!A:C, 3, FALSE))</f>
        <v>key_h</v>
      </c>
      <c r="K47" s="10" t="str">
        <f t="shared" si="0"/>
        <v>CTRL_H</v>
      </c>
      <c r="L47" t="s">
        <v>272</v>
      </c>
      <c r="M47" t="s">
        <v>184</v>
      </c>
      <c r="N47" t="s">
        <v>233</v>
      </c>
      <c r="O47" t="s">
        <v>516</v>
      </c>
      <c r="P47" t="s">
        <v>559</v>
      </c>
    </row>
    <row r="48" spans="1:16" x14ac:dyDescent="0.3">
      <c r="A48" t="s">
        <v>471</v>
      </c>
      <c r="B48" t="b">
        <v>0</v>
      </c>
      <c r="C48" t="b">
        <v>0</v>
      </c>
      <c r="D48" t="s">
        <v>185</v>
      </c>
      <c r="F48" s="6"/>
      <c r="G48" s="6"/>
      <c r="H48" s="6"/>
      <c r="I48" s="7" t="str">
        <f>IF(ISBLANK(H48), "", VLOOKUP(LOWER(H48), javascriptKeycodes!A:B, 2, FALSE))</f>
        <v/>
      </c>
      <c r="J48" s="7" t="str">
        <f>IF(ISBLANK(H48), "", VLOOKUP(LOWER(H48), javascriptKeycodes!A:C, 3, FALSE))</f>
        <v/>
      </c>
      <c r="K48" s="10" t="str">
        <f t="shared" si="0"/>
        <v/>
      </c>
      <c r="L48" t="s">
        <v>272</v>
      </c>
      <c r="M48" t="s">
        <v>149</v>
      </c>
      <c r="N48" t="s">
        <v>233</v>
      </c>
      <c r="O48" t="s">
        <v>517</v>
      </c>
      <c r="P48" t="s">
        <v>559</v>
      </c>
    </row>
    <row r="49" spans="6:11" x14ac:dyDescent="0.3">
      <c r="F49" s="6"/>
      <c r="G49" s="6"/>
      <c r="H49" s="6"/>
      <c r="I49" s="6"/>
      <c r="J49" s="7"/>
      <c r="K49" s="10"/>
    </row>
    <row r="50" spans="6:11" x14ac:dyDescent="0.3">
      <c r="F50" s="6"/>
      <c r="G50" s="6"/>
      <c r="H50" s="6"/>
      <c r="I50" s="6"/>
      <c r="J50" s="7"/>
      <c r="K50" s="10"/>
    </row>
  </sheetData>
  <mergeCells count="3">
    <mergeCell ref="M1:N1"/>
    <mergeCell ref="O1:P1"/>
    <mergeCell ref="E1:K1"/>
  </mergeCells>
  <conditionalFormatting sqref="G51:G1048576">
    <cfRule type="duplicateValues" dxfId="3" priority="3"/>
  </conditionalFormatting>
  <conditionalFormatting sqref="K1:K1048576">
    <cfRule type="duplicateValues" dxfId="2" priority="1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L1" sqref="L1"/>
    </sheetView>
  </sheetViews>
  <sheetFormatPr defaultRowHeight="14.4" x14ac:dyDescent="0.3"/>
  <cols>
    <col min="1" max="7" width="8.88671875" style="11"/>
    <col min="8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718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alert()"},{"ctrl":true,"alt":false,"shift":true,"keycode":"96","func":"alert()"},{"ctrl":true,"alt":false,"shift":false,"keycode":"189","func":"alert()"},{"ctrl":true,"alt":false,"shift":false,"keycode":"187","func":"alert(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272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{"ctrl":true,"alt":false,"shift":false,"keycode":"96","func":"alert()"},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272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{"ctrl":true,"alt":false,"shift":true,"keycode":"96","func":"alert()"},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272</v>
      </c>
      <c r="H4" s="13" t="str">
        <f t="shared" si="0"/>
        <v>CTRL_dash</v>
      </c>
      <c r="I4" s="13" t="str">
        <f>IF(ISBLANK(menu!K4),"",menu!K4)</f>
        <v>CTRL_SHIFT_L</v>
      </c>
      <c r="M4" s="11" t="str">
        <f t="shared" si="1"/>
        <v>{"ctrl":true,"alt":false,"shift":false,"keycode":"189","func":"alert()"},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272</v>
      </c>
      <c r="H5" s="13" t="str">
        <f t="shared" si="0"/>
        <v>CTRL_equal sign</v>
      </c>
      <c r="I5" s="13" t="str">
        <f>IF(ISBLANK(menu!K5),"",menu!K5)</f>
        <v>CTRL_S</v>
      </c>
      <c r="M5" s="11" t="str">
        <f t="shared" si="1"/>
        <v>{"ctrl":true,"alt":false,"shift":false,"keycode":"187","func":"alert()"}</v>
      </c>
    </row>
    <row r="6" spans="1:13" x14ac:dyDescent="0.3">
      <c r="E6" s="12" t="str">
        <f>IF(ISBLANK(D6), "", VLOOKUP(LOWER(D6), javascriptKeycodes!A:C, 2, FALSE))</f>
        <v/>
      </c>
      <c r="F6" s="12" t="str">
        <f>IF(ISBLANK(D6), "", VLOOKUP(LOWER(D6), javascriptKeycodes!A:C, 3, FALSE))</f>
        <v/>
      </c>
      <c r="H6" s="13" t="str">
        <f t="shared" si="0"/>
        <v/>
      </c>
      <c r="I6" s="13" t="str">
        <f>IF(ISBLANK(menu!K6),"",menu!K6)</f>
        <v>CTRL_L</v>
      </c>
      <c r="M6" s="11" t="str">
        <f t="shared" si="1"/>
        <v/>
      </c>
    </row>
    <row r="7" spans="1:13" x14ac:dyDescent="0.3">
      <c r="E7" s="12" t="str">
        <f>IF(ISBLANK(D7), "", VLOOKUP(LOWER(D7), javascriptKeycodes!A:C, 2, FALSE))</f>
        <v/>
      </c>
      <c r="F7" s="12" t="str">
        <f>IF(ISBLANK(D7), "", VLOOKUP(LOWER(D7), javascriptKeycodes!A:C, 3, FALSE))</f>
        <v/>
      </c>
      <c r="H7" s="13" t="str">
        <f t="shared" si="0"/>
        <v/>
      </c>
      <c r="I7" s="13" t="str">
        <f>IF(ISBLANK(menu!K7),"",menu!K7)</f>
        <v>CTRL_J</v>
      </c>
      <c r="M7" s="11" t="str">
        <f t="shared" si="1"/>
        <v/>
      </c>
    </row>
    <row r="8" spans="1:13" x14ac:dyDescent="0.3">
      <c r="E8" s="12" t="str">
        <f>IF(ISBLANK(D8), "", VLOOKUP(LOWER(D8), javascriptKeycodes!A:C, 2, FALSE))</f>
        <v/>
      </c>
      <c r="F8" s="12" t="str">
        <f>IF(ISBLANK(D8), "", VLOOKUP(LOWER(D8), javascriptKeycodes!A:C, 3, FALSE))</f>
        <v/>
      </c>
      <c r="H8" s="13" t="str">
        <f t="shared" si="0"/>
        <v/>
      </c>
      <c r="I8" s="13" t="str">
        <f>IF(ISBLANK(menu!K8),"",menu!K8)</f>
        <v>CTRL_SHIFT_J</v>
      </c>
      <c r="M8" s="11" t="str">
        <f t="shared" si="1"/>
        <v/>
      </c>
    </row>
    <row r="9" spans="1:13" x14ac:dyDescent="0.3">
      <c r="E9" s="12" t="str">
        <f>IF(ISBLANK(D9), "", VLOOKUP(LOWER(D9), javascriptKeycodes!A:C, 2, FALSE))</f>
        <v/>
      </c>
      <c r="F9" s="12" t="str">
        <f>IF(ISBLANK(D9), "", VLOOKUP(LOWER(D9), javascriptKeycodes!A:C, 3, FALSE))</f>
        <v/>
      </c>
      <c r="H9" s="13" t="str">
        <f t="shared" si="0"/>
        <v/>
      </c>
      <c r="I9" s="13" t="str">
        <f>IF(ISBLANK(menu!K9),"",menu!K9)</f>
        <v>CTRL_P</v>
      </c>
      <c r="M9" s="11" t="str">
        <f t="shared" si="1"/>
        <v/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IF(ISBLANK(menu!K26),"",menu!K26)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IF(ISBLANK(menu!K27),"",menu!K27)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IF(ISBLANK(menu!K28),"",menu!K28)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IF(ISBLANK(menu!K29),"",menu!K29)</f>
        <v>CTRL_SHIFT_F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IF(ISBLANK(menu!K30),"",menu!K30)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IF(ISBLANK(menu!K31),"",menu!K31)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IF(ISBLANK(menu!K32),"",menu!K32)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IF(ISBLANK(menu!K33),"",menu!K33)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IF(ISBLANK(menu!K34),"",menu!K34)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IF(ISBLANK(menu!K35),"",menu!K35)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IF(ISBLANK(menu!K36),"",menu!K36)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IF(ISBLANK(menu!K37),"",menu!K37)</f>
        <v>CTRL_F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str">
        <f>IF(ISBLANK(menu!K38),"",menu!K38)</f>
        <v>CTRL_G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IF(ISBLANK(menu!K39),"",menu!K39)</f>
        <v>CTRL_T</v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IF(ISBLANK(menu!K40),"",menu!K40)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IF(ISBLANK(menu!K41),"",menu!K41)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IF(ISBLANK(menu!K42),"",menu!K42)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IF(ISBLANK(menu!K43),"",menu!K43)</f>
        <v>CTRL_B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IF(ISBLANK(menu!K44),"",menu!K44)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IF(ISBLANK(menu!K45),"",menu!K45)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IF(ISBLANK(menu!K46),"",menu!K46)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IF(ISBLANK(menu!K47),"",menu!K47)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IF(ISBLANK(menu!K48),"",menu!K48)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IF(ISBLANK(menu!K49),"",menu!K49)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IF(ISBLANK(menu!K50),"",menu!K50)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IF(ISBLANK(menu!K51),"",menu!K51)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IF(ISBLANK(menu!K52),"",menu!K52)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IF(ISBLANK(menu!K53),"",menu!K53)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IF(ISBLANK(menu!K54),"",menu!K54)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IF(ISBLANK(menu!K55),"",menu!K55)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IF(ISBLANK(menu!K56),"",menu!K56)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IF(ISBLANK(menu!K57),"",menu!K57)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IF(ISBLANK(menu!K58),"",menu!K58)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IF(ISBLANK(menu!K59),"",menu!K59)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IF(ISBLANK(menu!K60),"",menu!K60)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IF(ISBLANK(menu!K61),"",menu!K61)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IF(ISBLANK(menu!K62),"",menu!K62)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IF(ISBLANK(menu!K63),"",menu!K63)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IF(ISBLANK(menu!K64),"",menu!K64)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IF(ISBLANK(menu!K65),"",menu!K65)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IF(ISBLANK(menu!K66),"",menu!K66)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IF(ISBLANK(menu!K67),"",menu!K67)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IF(ISBLANK(menu!K68),"",menu!K68)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IF(ISBLANK(menu!K69),"",menu!K69)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IF(ISBLANK(menu!K70),"",menu!K70)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IF(ISBLANK(menu!K71),"",menu!K71)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IF(ISBLANK(menu!K72),"",menu!K72)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IF(ISBLANK(menu!K73),"",menu!K73)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IF(ISBLANK(menu!K74),"",menu!K74)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IF(ISBLANK(menu!K75),"",menu!K75)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IF(ISBLANK(menu!K76),"",menu!K76)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IF(ISBLANK(menu!K77),"",menu!K77)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IF(ISBLANK(menu!K78),"",menu!K78)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IF(ISBLANK(menu!K79),"",menu!K79)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IF(ISBLANK(menu!K80),"",menu!K80)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IF(ISBLANK(menu!K81),"",menu!K81)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IF(ISBLANK(menu!K82),"",menu!K82)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IF(ISBLANK(menu!K83),"",menu!K83)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IF(ISBLANK(menu!K84),"",menu!K84)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IF(ISBLANK(menu!K85),"",menu!K85)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IF(ISBLANK(menu!K86),"",menu!K86)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IF(ISBLANK(menu!K87),"",menu!K87)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IF(ISBLANK(menu!K88),"",menu!K88)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IF(ISBLANK(menu!K89),"",menu!K89)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IF(ISBLANK(menu!K90),"",menu!K90)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IF(ISBLANK(menu!K91),"",menu!K91)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IF(ISBLANK(menu!K92),"",menu!K92)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IF(ISBLANK(menu!K93),"",menu!K93)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IF(ISBLANK(menu!K94),"",menu!K94)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IF(ISBLANK(menu!K95),"",menu!K95)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IF(ISBLANK(menu!K96),"",menu!K96)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IF(ISBLANK(menu!K97),"",menu!K97)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IF(ISBLANK(menu!K98),"",menu!K98)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IF(ISBLANK(menu!K99),"",menu!K99)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IF(ISBLANK(menu!K100),"",menu!K100)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IF(ISBLANK(menu!K101),"",menu!K101)</f>
        <v/>
      </c>
      <c r="M100" s="11" t="str">
        <f t="shared" si="3"/>
        <v/>
      </c>
    </row>
  </sheetData>
  <conditionalFormatting sqref="H1:I1048576">
    <cfRule type="duplicateValues" dxfId="1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workbookViewId="0">
      <selection activeCell="A10" sqref="A1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560</v>
      </c>
    </row>
    <row r="2" spans="1:3" x14ac:dyDescent="0.3">
      <c r="A2" t="s">
        <v>347</v>
      </c>
      <c r="B2">
        <v>8</v>
      </c>
      <c r="C2" t="s">
        <v>561</v>
      </c>
    </row>
    <row r="3" spans="1:3" x14ac:dyDescent="0.3">
      <c r="A3" t="s">
        <v>348</v>
      </c>
      <c r="B3">
        <v>9</v>
      </c>
      <c r="C3" t="s">
        <v>562</v>
      </c>
    </row>
    <row r="4" spans="1:3" x14ac:dyDescent="0.3">
      <c r="A4" t="s">
        <v>349</v>
      </c>
      <c r="B4">
        <v>13</v>
      </c>
      <c r="C4" t="s">
        <v>563</v>
      </c>
    </row>
    <row r="5" spans="1:3" x14ac:dyDescent="0.3">
      <c r="A5" t="s">
        <v>350</v>
      </c>
      <c r="B5">
        <v>16</v>
      </c>
      <c r="C5" t="s">
        <v>564</v>
      </c>
    </row>
    <row r="6" spans="1:3" x14ac:dyDescent="0.3">
      <c r="A6" t="s">
        <v>351</v>
      </c>
      <c r="B6">
        <v>17</v>
      </c>
      <c r="C6" t="s">
        <v>565</v>
      </c>
    </row>
    <row r="7" spans="1:3" x14ac:dyDescent="0.3">
      <c r="A7" t="s">
        <v>352</v>
      </c>
      <c r="B7">
        <v>18</v>
      </c>
      <c r="C7" t="s">
        <v>566</v>
      </c>
    </row>
    <row r="8" spans="1:3" x14ac:dyDescent="0.3">
      <c r="A8" t="s">
        <v>353</v>
      </c>
      <c r="B8">
        <v>19</v>
      </c>
      <c r="C8" t="s">
        <v>567</v>
      </c>
    </row>
    <row r="9" spans="1:3" x14ac:dyDescent="0.3">
      <c r="A9" t="s">
        <v>354</v>
      </c>
      <c r="B9">
        <v>20</v>
      </c>
      <c r="C9" t="s">
        <v>568</v>
      </c>
    </row>
    <row r="10" spans="1:3" x14ac:dyDescent="0.3">
      <c r="A10" t="s">
        <v>355</v>
      </c>
      <c r="B10">
        <v>27</v>
      </c>
      <c r="C10" t="s">
        <v>569</v>
      </c>
    </row>
    <row r="11" spans="1:3" x14ac:dyDescent="0.3">
      <c r="A11" t="s">
        <v>356</v>
      </c>
      <c r="B11">
        <v>33</v>
      </c>
      <c r="C11" t="s">
        <v>570</v>
      </c>
    </row>
    <row r="12" spans="1:3" x14ac:dyDescent="0.3">
      <c r="A12" t="s">
        <v>357</v>
      </c>
      <c r="B12">
        <v>34</v>
      </c>
      <c r="C12" t="s">
        <v>571</v>
      </c>
    </row>
    <row r="13" spans="1:3" x14ac:dyDescent="0.3">
      <c r="A13" t="s">
        <v>358</v>
      </c>
      <c r="B13">
        <v>35</v>
      </c>
      <c r="C13" t="s">
        <v>572</v>
      </c>
    </row>
    <row r="14" spans="1:3" x14ac:dyDescent="0.3">
      <c r="A14" t="s">
        <v>359</v>
      </c>
      <c r="B14">
        <v>36</v>
      </c>
      <c r="C14" t="s">
        <v>573</v>
      </c>
    </row>
    <row r="15" spans="1:3" x14ac:dyDescent="0.3">
      <c r="A15" t="s">
        <v>360</v>
      </c>
      <c r="B15">
        <v>37</v>
      </c>
      <c r="C15" t="s">
        <v>574</v>
      </c>
    </row>
    <row r="16" spans="1:3" x14ac:dyDescent="0.3">
      <c r="A16" t="s">
        <v>361</v>
      </c>
      <c r="B16">
        <v>38</v>
      </c>
      <c r="C16" t="s">
        <v>575</v>
      </c>
    </row>
    <row r="17" spans="1:3" x14ac:dyDescent="0.3">
      <c r="A17" t="s">
        <v>362</v>
      </c>
      <c r="B17">
        <v>39</v>
      </c>
      <c r="C17" t="s">
        <v>576</v>
      </c>
    </row>
    <row r="18" spans="1:3" x14ac:dyDescent="0.3">
      <c r="A18" t="s">
        <v>363</v>
      </c>
      <c r="B18">
        <v>40</v>
      </c>
      <c r="C18" t="s">
        <v>577</v>
      </c>
    </row>
    <row r="19" spans="1:3" x14ac:dyDescent="0.3">
      <c r="A19" t="s">
        <v>364</v>
      </c>
      <c r="B19">
        <v>45</v>
      </c>
      <c r="C19" t="s">
        <v>578</v>
      </c>
    </row>
    <row r="20" spans="1:3" x14ac:dyDescent="0.3">
      <c r="A20" t="s">
        <v>7</v>
      </c>
      <c r="B20">
        <v>46</v>
      </c>
      <c r="C20" t="s">
        <v>579</v>
      </c>
    </row>
    <row r="21" spans="1:3" x14ac:dyDescent="0.3">
      <c r="A21" t="s">
        <v>719</v>
      </c>
      <c r="B21">
        <v>48</v>
      </c>
      <c r="C21" t="s">
        <v>580</v>
      </c>
    </row>
    <row r="22" spans="1:3" x14ac:dyDescent="0.3">
      <c r="A22" t="s">
        <v>720</v>
      </c>
      <c r="B22">
        <v>49</v>
      </c>
      <c r="C22" t="s">
        <v>581</v>
      </c>
    </row>
    <row r="23" spans="1:3" x14ac:dyDescent="0.3">
      <c r="A23" t="s">
        <v>721</v>
      </c>
      <c r="B23">
        <v>50</v>
      </c>
      <c r="C23" t="s">
        <v>582</v>
      </c>
    </row>
    <row r="24" spans="1:3" x14ac:dyDescent="0.3">
      <c r="A24" t="s">
        <v>722</v>
      </c>
      <c r="B24">
        <v>51</v>
      </c>
      <c r="C24" t="s">
        <v>583</v>
      </c>
    </row>
    <row r="25" spans="1:3" x14ac:dyDescent="0.3">
      <c r="A25" t="s">
        <v>723</v>
      </c>
      <c r="B25">
        <v>52</v>
      </c>
      <c r="C25" t="s">
        <v>584</v>
      </c>
    </row>
    <row r="26" spans="1:3" x14ac:dyDescent="0.3">
      <c r="A26" t="s">
        <v>724</v>
      </c>
      <c r="B26">
        <v>53</v>
      </c>
      <c r="C26" t="s">
        <v>585</v>
      </c>
    </row>
    <row r="27" spans="1:3" x14ac:dyDescent="0.3">
      <c r="A27" t="s">
        <v>725</v>
      </c>
      <c r="B27">
        <v>54</v>
      </c>
      <c r="C27" t="s">
        <v>586</v>
      </c>
    </row>
    <row r="28" spans="1:3" x14ac:dyDescent="0.3">
      <c r="A28" t="s">
        <v>726</v>
      </c>
      <c r="B28">
        <v>55</v>
      </c>
      <c r="C28" t="s">
        <v>587</v>
      </c>
    </row>
    <row r="29" spans="1:3" x14ac:dyDescent="0.3">
      <c r="A29" t="s">
        <v>727</v>
      </c>
      <c r="B29">
        <v>56</v>
      </c>
      <c r="C29" t="s">
        <v>588</v>
      </c>
    </row>
    <row r="30" spans="1:3" x14ac:dyDescent="0.3">
      <c r="A30" t="s">
        <v>728</v>
      </c>
      <c r="B30">
        <v>57</v>
      </c>
      <c r="C30" t="s">
        <v>589</v>
      </c>
    </row>
    <row r="31" spans="1:3" x14ac:dyDescent="0.3">
      <c r="A31" t="s">
        <v>365</v>
      </c>
      <c r="B31">
        <v>65</v>
      </c>
      <c r="C31" t="s">
        <v>590</v>
      </c>
    </row>
    <row r="32" spans="1:3" x14ac:dyDescent="0.3">
      <c r="A32" t="s">
        <v>366</v>
      </c>
      <c r="B32">
        <v>66</v>
      </c>
      <c r="C32" t="s">
        <v>591</v>
      </c>
    </row>
    <row r="33" spans="1:3" x14ac:dyDescent="0.3">
      <c r="A33" t="s">
        <v>367</v>
      </c>
      <c r="B33">
        <v>67</v>
      </c>
      <c r="C33" t="s">
        <v>592</v>
      </c>
    </row>
    <row r="34" spans="1:3" x14ac:dyDescent="0.3">
      <c r="A34" t="s">
        <v>368</v>
      </c>
      <c r="B34">
        <v>68</v>
      </c>
      <c r="C34" t="s">
        <v>593</v>
      </c>
    </row>
    <row r="35" spans="1:3" x14ac:dyDescent="0.3">
      <c r="A35" t="s">
        <v>370</v>
      </c>
      <c r="B35">
        <v>69</v>
      </c>
      <c r="C35" t="s">
        <v>594</v>
      </c>
    </row>
    <row r="36" spans="1:3" x14ac:dyDescent="0.3">
      <c r="A36" t="s">
        <v>371</v>
      </c>
      <c r="B36">
        <v>70</v>
      </c>
      <c r="C36" t="s">
        <v>595</v>
      </c>
    </row>
    <row r="37" spans="1:3" x14ac:dyDescent="0.3">
      <c r="A37" t="s">
        <v>372</v>
      </c>
      <c r="B37">
        <v>71</v>
      </c>
      <c r="C37" t="s">
        <v>596</v>
      </c>
    </row>
    <row r="38" spans="1:3" x14ac:dyDescent="0.3">
      <c r="A38" t="s">
        <v>373</v>
      </c>
      <c r="B38">
        <v>72</v>
      </c>
      <c r="C38" t="s">
        <v>597</v>
      </c>
    </row>
    <row r="39" spans="1:3" x14ac:dyDescent="0.3">
      <c r="A39" t="s">
        <v>374</v>
      </c>
      <c r="B39">
        <v>73</v>
      </c>
      <c r="C39" t="s">
        <v>598</v>
      </c>
    </row>
    <row r="40" spans="1:3" x14ac:dyDescent="0.3">
      <c r="A40" t="s">
        <v>375</v>
      </c>
      <c r="B40">
        <v>74</v>
      </c>
      <c r="C40" t="s">
        <v>599</v>
      </c>
    </row>
    <row r="41" spans="1:3" x14ac:dyDescent="0.3">
      <c r="A41" t="s">
        <v>376</v>
      </c>
      <c r="B41">
        <v>75</v>
      </c>
      <c r="C41" t="s">
        <v>600</v>
      </c>
    </row>
    <row r="42" spans="1:3" x14ac:dyDescent="0.3">
      <c r="A42" t="s">
        <v>377</v>
      </c>
      <c r="B42">
        <v>76</v>
      </c>
      <c r="C42" t="s">
        <v>601</v>
      </c>
    </row>
    <row r="43" spans="1:3" x14ac:dyDescent="0.3">
      <c r="A43" t="s">
        <v>378</v>
      </c>
      <c r="B43">
        <v>77</v>
      </c>
      <c r="C43" t="s">
        <v>602</v>
      </c>
    </row>
    <row r="44" spans="1:3" x14ac:dyDescent="0.3">
      <c r="A44" t="s">
        <v>379</v>
      </c>
      <c r="B44">
        <v>78</v>
      </c>
      <c r="C44" t="s">
        <v>603</v>
      </c>
    </row>
    <row r="45" spans="1:3" x14ac:dyDescent="0.3">
      <c r="A45" t="s">
        <v>380</v>
      </c>
      <c r="B45">
        <v>79</v>
      </c>
      <c r="C45" t="s">
        <v>604</v>
      </c>
    </row>
    <row r="46" spans="1:3" x14ac:dyDescent="0.3">
      <c r="A46" t="s">
        <v>381</v>
      </c>
      <c r="B46">
        <v>80</v>
      </c>
      <c r="C46" t="s">
        <v>605</v>
      </c>
    </row>
    <row r="47" spans="1:3" x14ac:dyDescent="0.3">
      <c r="A47" t="s">
        <v>382</v>
      </c>
      <c r="B47">
        <v>81</v>
      </c>
      <c r="C47" t="s">
        <v>606</v>
      </c>
    </row>
    <row r="48" spans="1:3" x14ac:dyDescent="0.3">
      <c r="A48" t="s">
        <v>383</v>
      </c>
      <c r="B48">
        <v>82</v>
      </c>
      <c r="C48" t="s">
        <v>607</v>
      </c>
    </row>
    <row r="49" spans="1:3" x14ac:dyDescent="0.3">
      <c r="A49" t="s">
        <v>384</v>
      </c>
      <c r="B49">
        <v>83</v>
      </c>
      <c r="C49" t="s">
        <v>608</v>
      </c>
    </row>
    <row r="50" spans="1:3" x14ac:dyDescent="0.3">
      <c r="A50" t="s">
        <v>385</v>
      </c>
      <c r="B50">
        <v>84</v>
      </c>
      <c r="C50" t="s">
        <v>609</v>
      </c>
    </row>
    <row r="51" spans="1:3" x14ac:dyDescent="0.3">
      <c r="A51" t="s">
        <v>386</v>
      </c>
      <c r="B51">
        <v>85</v>
      </c>
      <c r="C51" t="s">
        <v>610</v>
      </c>
    </row>
    <row r="52" spans="1:3" x14ac:dyDescent="0.3">
      <c r="A52" t="s">
        <v>387</v>
      </c>
      <c r="B52">
        <v>86</v>
      </c>
      <c r="C52" t="s">
        <v>611</v>
      </c>
    </row>
    <row r="53" spans="1:3" x14ac:dyDescent="0.3">
      <c r="A53" t="s">
        <v>388</v>
      </c>
      <c r="B53">
        <v>87</v>
      </c>
      <c r="C53" t="s">
        <v>612</v>
      </c>
    </row>
    <row r="54" spans="1:3" x14ac:dyDescent="0.3">
      <c r="A54" t="s">
        <v>37</v>
      </c>
      <c r="B54">
        <v>88</v>
      </c>
      <c r="C54" t="s">
        <v>613</v>
      </c>
    </row>
    <row r="55" spans="1:3" x14ac:dyDescent="0.3">
      <c r="A55" t="s">
        <v>38</v>
      </c>
      <c r="B55">
        <v>89</v>
      </c>
      <c r="C55" t="s">
        <v>614</v>
      </c>
    </row>
    <row r="56" spans="1:3" x14ac:dyDescent="0.3">
      <c r="A56" t="s">
        <v>389</v>
      </c>
      <c r="B56">
        <v>90</v>
      </c>
      <c r="C56" t="s">
        <v>615</v>
      </c>
    </row>
    <row r="57" spans="1:3" x14ac:dyDescent="0.3">
      <c r="A57" t="s">
        <v>390</v>
      </c>
      <c r="B57">
        <v>91</v>
      </c>
      <c r="C57" t="s">
        <v>616</v>
      </c>
    </row>
    <row r="58" spans="1:3" x14ac:dyDescent="0.3">
      <c r="A58" t="s">
        <v>391</v>
      </c>
      <c r="B58">
        <v>92</v>
      </c>
      <c r="C58" t="s">
        <v>617</v>
      </c>
    </row>
    <row r="59" spans="1:3" x14ac:dyDescent="0.3">
      <c r="A59" t="s">
        <v>392</v>
      </c>
      <c r="B59">
        <v>93</v>
      </c>
      <c r="C59" t="s">
        <v>618</v>
      </c>
    </row>
    <row r="60" spans="1:3" x14ac:dyDescent="0.3">
      <c r="A60" t="s">
        <v>393</v>
      </c>
      <c r="B60">
        <v>96</v>
      </c>
      <c r="C60" t="s">
        <v>619</v>
      </c>
    </row>
    <row r="61" spans="1:3" x14ac:dyDescent="0.3">
      <c r="A61" t="s">
        <v>394</v>
      </c>
      <c r="B61">
        <v>97</v>
      </c>
      <c r="C61" t="s">
        <v>620</v>
      </c>
    </row>
    <row r="62" spans="1:3" x14ac:dyDescent="0.3">
      <c r="A62" t="s">
        <v>395</v>
      </c>
      <c r="B62">
        <v>98</v>
      </c>
      <c r="C62" t="s">
        <v>621</v>
      </c>
    </row>
    <row r="63" spans="1:3" x14ac:dyDescent="0.3">
      <c r="A63" t="s">
        <v>396</v>
      </c>
      <c r="B63">
        <v>99</v>
      </c>
      <c r="C63" t="s">
        <v>622</v>
      </c>
    </row>
    <row r="64" spans="1:3" x14ac:dyDescent="0.3">
      <c r="A64" t="s">
        <v>397</v>
      </c>
      <c r="B64">
        <v>100</v>
      </c>
      <c r="C64" t="s">
        <v>623</v>
      </c>
    </row>
    <row r="65" spans="1:3" x14ac:dyDescent="0.3">
      <c r="A65" t="s">
        <v>398</v>
      </c>
      <c r="B65">
        <v>101</v>
      </c>
      <c r="C65" t="s">
        <v>624</v>
      </c>
    </row>
    <row r="66" spans="1:3" x14ac:dyDescent="0.3">
      <c r="A66" t="s">
        <v>399</v>
      </c>
      <c r="B66">
        <v>102</v>
      </c>
      <c r="C66" t="s">
        <v>625</v>
      </c>
    </row>
    <row r="67" spans="1:3" x14ac:dyDescent="0.3">
      <c r="A67" t="s">
        <v>400</v>
      </c>
      <c r="B67">
        <v>103</v>
      </c>
      <c r="C67" t="s">
        <v>626</v>
      </c>
    </row>
    <row r="68" spans="1:3" x14ac:dyDescent="0.3">
      <c r="A68" t="s">
        <v>401</v>
      </c>
      <c r="B68">
        <v>104</v>
      </c>
      <c r="C68" t="s">
        <v>627</v>
      </c>
    </row>
    <row r="69" spans="1:3" x14ac:dyDescent="0.3">
      <c r="A69" t="s">
        <v>402</v>
      </c>
      <c r="B69">
        <v>105</v>
      </c>
      <c r="C69" t="s">
        <v>628</v>
      </c>
    </row>
    <row r="70" spans="1:3" x14ac:dyDescent="0.3">
      <c r="A70" t="s">
        <v>403</v>
      </c>
      <c r="B70">
        <v>106</v>
      </c>
      <c r="C70" t="s">
        <v>629</v>
      </c>
    </row>
    <row r="71" spans="1:3" x14ac:dyDescent="0.3">
      <c r="A71" t="s">
        <v>404</v>
      </c>
      <c r="B71">
        <v>107</v>
      </c>
      <c r="C71" t="s">
        <v>630</v>
      </c>
    </row>
    <row r="72" spans="1:3" x14ac:dyDescent="0.3">
      <c r="A72" t="s">
        <v>405</v>
      </c>
      <c r="B72">
        <v>109</v>
      </c>
      <c r="C72" t="s">
        <v>631</v>
      </c>
    </row>
    <row r="73" spans="1:3" x14ac:dyDescent="0.3">
      <c r="A73" t="s">
        <v>406</v>
      </c>
      <c r="B73">
        <v>110</v>
      </c>
      <c r="C73" t="s">
        <v>632</v>
      </c>
    </row>
    <row r="74" spans="1:3" x14ac:dyDescent="0.3">
      <c r="A74" t="s">
        <v>407</v>
      </c>
      <c r="B74">
        <v>111</v>
      </c>
      <c r="C74" t="s">
        <v>633</v>
      </c>
    </row>
    <row r="75" spans="1:3" x14ac:dyDescent="0.3">
      <c r="A75" t="s">
        <v>408</v>
      </c>
      <c r="B75">
        <v>112</v>
      </c>
      <c r="C75" t="s">
        <v>634</v>
      </c>
    </row>
    <row r="76" spans="1:3" x14ac:dyDescent="0.3">
      <c r="A76" t="s">
        <v>409</v>
      </c>
      <c r="B76">
        <v>113</v>
      </c>
      <c r="C76" t="s">
        <v>635</v>
      </c>
    </row>
    <row r="77" spans="1:3" x14ac:dyDescent="0.3">
      <c r="A77" t="s">
        <v>410</v>
      </c>
      <c r="B77">
        <v>114</v>
      </c>
      <c r="C77" t="s">
        <v>636</v>
      </c>
    </row>
    <row r="78" spans="1:3" x14ac:dyDescent="0.3">
      <c r="A78" t="s">
        <v>411</v>
      </c>
      <c r="B78">
        <v>115</v>
      </c>
      <c r="C78" t="s">
        <v>637</v>
      </c>
    </row>
    <row r="79" spans="1:3" x14ac:dyDescent="0.3">
      <c r="A79" t="s">
        <v>412</v>
      </c>
      <c r="B79">
        <v>116</v>
      </c>
      <c r="C79" t="s">
        <v>638</v>
      </c>
    </row>
    <row r="80" spans="1:3" x14ac:dyDescent="0.3">
      <c r="A80" t="s">
        <v>413</v>
      </c>
      <c r="B80">
        <v>117</v>
      </c>
      <c r="C80" t="s">
        <v>639</v>
      </c>
    </row>
    <row r="81" spans="1:3" x14ac:dyDescent="0.3">
      <c r="A81" t="s">
        <v>414</v>
      </c>
      <c r="B81">
        <v>118</v>
      </c>
      <c r="C81" t="s">
        <v>640</v>
      </c>
    </row>
    <row r="82" spans="1:3" x14ac:dyDescent="0.3">
      <c r="A82" t="s">
        <v>415</v>
      </c>
      <c r="B82">
        <v>119</v>
      </c>
      <c r="C82" t="s">
        <v>641</v>
      </c>
    </row>
    <row r="83" spans="1:3" x14ac:dyDescent="0.3">
      <c r="A83" t="s">
        <v>416</v>
      </c>
      <c r="B83">
        <v>120</v>
      </c>
      <c r="C83" t="s">
        <v>642</v>
      </c>
    </row>
    <row r="84" spans="1:3" x14ac:dyDescent="0.3">
      <c r="A84" t="s">
        <v>417</v>
      </c>
      <c r="B84">
        <v>121</v>
      </c>
      <c r="C84" t="s">
        <v>643</v>
      </c>
    </row>
    <row r="85" spans="1:3" x14ac:dyDescent="0.3">
      <c r="A85" t="s">
        <v>418</v>
      </c>
      <c r="B85">
        <v>122</v>
      </c>
      <c r="C85" t="s">
        <v>644</v>
      </c>
    </row>
    <row r="86" spans="1:3" x14ac:dyDescent="0.3">
      <c r="A86" t="s">
        <v>419</v>
      </c>
      <c r="B86">
        <v>123</v>
      </c>
      <c r="C86" t="s">
        <v>645</v>
      </c>
    </row>
    <row r="87" spans="1:3" x14ac:dyDescent="0.3">
      <c r="A87" t="s">
        <v>420</v>
      </c>
      <c r="B87">
        <v>144</v>
      </c>
      <c r="C87" t="s">
        <v>646</v>
      </c>
    </row>
    <row r="88" spans="1:3" x14ac:dyDescent="0.3">
      <c r="A88" t="s">
        <v>421</v>
      </c>
      <c r="B88">
        <v>145</v>
      </c>
      <c r="C88" t="s">
        <v>647</v>
      </c>
    </row>
    <row r="89" spans="1:3" x14ac:dyDescent="0.3">
      <c r="A89" t="s">
        <v>422</v>
      </c>
      <c r="B89">
        <v>186</v>
      </c>
      <c r="C89" t="s">
        <v>648</v>
      </c>
    </row>
    <row r="90" spans="1:3" x14ac:dyDescent="0.3">
      <c r="A90" t="s">
        <v>423</v>
      </c>
      <c r="B90">
        <v>187</v>
      </c>
      <c r="C90" t="s">
        <v>649</v>
      </c>
    </row>
    <row r="91" spans="1:3" x14ac:dyDescent="0.3">
      <c r="A91" t="s">
        <v>424</v>
      </c>
      <c r="B91">
        <v>188</v>
      </c>
      <c r="C91" t="s">
        <v>696</v>
      </c>
    </row>
    <row r="92" spans="1:3" x14ac:dyDescent="0.3">
      <c r="A92" t="s">
        <v>425</v>
      </c>
      <c r="B92">
        <v>189</v>
      </c>
      <c r="C92" t="s">
        <v>700</v>
      </c>
    </row>
    <row r="93" spans="1:3" x14ac:dyDescent="0.3">
      <c r="A93" t="s">
        <v>426</v>
      </c>
      <c r="B93">
        <v>190</v>
      </c>
      <c r="C93" t="s">
        <v>701</v>
      </c>
    </row>
    <row r="94" spans="1:3" x14ac:dyDescent="0.3">
      <c r="A94" t="s">
        <v>427</v>
      </c>
      <c r="B94">
        <v>191</v>
      </c>
      <c r="C94" t="s">
        <v>650</v>
      </c>
    </row>
    <row r="95" spans="1:3" x14ac:dyDescent="0.3">
      <c r="A95" t="s">
        <v>428</v>
      </c>
      <c r="B95">
        <v>192</v>
      </c>
      <c r="C95" t="s">
        <v>651</v>
      </c>
    </row>
    <row r="96" spans="1:3" x14ac:dyDescent="0.3">
      <c r="A96" t="s">
        <v>429</v>
      </c>
      <c r="B96">
        <v>219</v>
      </c>
      <c r="C96" t="s">
        <v>652</v>
      </c>
    </row>
    <row r="97" spans="1:3" x14ac:dyDescent="0.3">
      <c r="A97" t="s">
        <v>430</v>
      </c>
      <c r="B97">
        <v>220</v>
      </c>
      <c r="C97" t="s">
        <v>653</v>
      </c>
    </row>
    <row r="98" spans="1:3" x14ac:dyDescent="0.3">
      <c r="A98" t="s">
        <v>431</v>
      </c>
      <c r="B98">
        <v>221</v>
      </c>
      <c r="C98" t="s">
        <v>654</v>
      </c>
    </row>
    <row r="99" spans="1:3" x14ac:dyDescent="0.3">
      <c r="A99" t="s">
        <v>432</v>
      </c>
      <c r="B99">
        <v>222</v>
      </c>
      <c r="C99" t="s">
        <v>655</v>
      </c>
    </row>
  </sheetData>
  <phoneticPr fontId="1" type="noConversion"/>
  <conditionalFormatting sqref="C2:C99">
    <cfRule type="duplicateValues" dxfId="0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9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1" t="s">
        <v>329</v>
      </c>
      <c r="D1" s="21"/>
      <c r="E1" s="21" t="s">
        <v>330</v>
      </c>
      <c r="F1" s="21"/>
      <c r="M1" s="17" t="s">
        <v>791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C3" s="11" t="s">
        <v>46</v>
      </c>
      <c r="D3" s="11" t="s">
        <v>67</v>
      </c>
      <c r="E3" s="11" t="s">
        <v>757</v>
      </c>
      <c r="F3" s="11" t="s">
        <v>758</v>
      </c>
    </row>
    <row r="4" spans="1:13" x14ac:dyDescent="0.3">
      <c r="A4" s="11" t="s">
        <v>54</v>
      </c>
      <c r="C4" s="11" t="s">
        <v>53</v>
      </c>
      <c r="D4" s="11" t="s">
        <v>66</v>
      </c>
      <c r="E4" s="11" t="s">
        <v>759</v>
      </c>
      <c r="F4" s="11" t="s">
        <v>760</v>
      </c>
    </row>
    <row r="5" spans="1:13" x14ac:dyDescent="0.3">
      <c r="A5" s="11" t="s">
        <v>41</v>
      </c>
      <c r="C5" s="11" t="s">
        <v>47</v>
      </c>
      <c r="D5" s="11" t="s">
        <v>68</v>
      </c>
      <c r="E5" s="11" t="s">
        <v>761</v>
      </c>
      <c r="F5" s="11" t="s">
        <v>762</v>
      </c>
    </row>
    <row r="6" spans="1:13" x14ac:dyDescent="0.3">
      <c r="A6" s="11" t="s">
        <v>42</v>
      </c>
      <c r="C6" s="11" t="s">
        <v>48</v>
      </c>
      <c r="D6" s="11" t="s">
        <v>69</v>
      </c>
      <c r="E6" s="11" t="s">
        <v>763</v>
      </c>
      <c r="F6" s="11" t="s">
        <v>764</v>
      </c>
    </row>
    <row r="7" spans="1:13" x14ac:dyDescent="0.3">
      <c r="A7" s="11" t="s">
        <v>43</v>
      </c>
      <c r="C7" s="11" t="s">
        <v>49</v>
      </c>
      <c r="D7" s="11" t="s">
        <v>70</v>
      </c>
      <c r="E7" s="11" t="s">
        <v>765</v>
      </c>
      <c r="F7" s="11" t="s">
        <v>766</v>
      </c>
    </row>
    <row r="8" spans="1:13" x14ac:dyDescent="0.3">
      <c r="A8" s="11" t="s">
        <v>44</v>
      </c>
      <c r="C8" s="11" t="s">
        <v>50</v>
      </c>
      <c r="D8" s="11" t="s">
        <v>71</v>
      </c>
      <c r="E8" s="11" t="s">
        <v>767</v>
      </c>
      <c r="F8" s="11" t="s">
        <v>768</v>
      </c>
    </row>
    <row r="9" spans="1:13" x14ac:dyDescent="0.3">
      <c r="A9" s="11" t="s">
        <v>45</v>
      </c>
      <c r="C9" s="11" t="s">
        <v>51</v>
      </c>
      <c r="D9" s="11" t="s">
        <v>72</v>
      </c>
      <c r="E9" s="11" t="s">
        <v>769</v>
      </c>
      <c r="F9" s="11" t="s">
        <v>770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3"/>
  <sheetViews>
    <sheetView topLeftCell="B1" workbookViewId="0">
      <selection activeCell="G3" sqref="G3"/>
    </sheetView>
  </sheetViews>
  <sheetFormatPr defaultRowHeight="14.4" x14ac:dyDescent="0.3"/>
  <sheetData>
    <row r="1" spans="1:18" x14ac:dyDescent="0.3">
      <c r="I1" s="21" t="s">
        <v>329</v>
      </c>
      <c r="J1" s="21"/>
      <c r="K1" s="21" t="s">
        <v>330</v>
      </c>
      <c r="L1" s="21"/>
      <c r="R1" s="18" t="s">
        <v>792</v>
      </c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784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</row>
    <row r="3" spans="1:18" x14ac:dyDescent="0.3">
      <c r="A3" t="s">
        <v>783</v>
      </c>
      <c r="B3" t="s">
        <v>788</v>
      </c>
      <c r="C3" t="s">
        <v>299</v>
      </c>
      <c r="D3" t="s">
        <v>782</v>
      </c>
      <c r="E3">
        <v>50</v>
      </c>
      <c r="F3">
        <v>50</v>
      </c>
      <c r="G3" t="s">
        <v>785</v>
      </c>
      <c r="H3" t="s">
        <v>790</v>
      </c>
      <c r="I3" t="s">
        <v>296</v>
      </c>
      <c r="J3" t="s">
        <v>789</v>
      </c>
      <c r="K3" t="s">
        <v>786</v>
      </c>
      <c r="L3" t="s">
        <v>787</v>
      </c>
    </row>
  </sheetData>
  <mergeCells count="2">
    <mergeCell ref="I1:J1"/>
    <mergeCell ref="K1:L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dimension ref="A1:C1"/>
  <sheetViews>
    <sheetView tabSelected="1" workbookViewId="0">
      <selection activeCell="A2" sqref="A2"/>
    </sheetView>
  </sheetViews>
  <sheetFormatPr defaultRowHeight="14.4" x14ac:dyDescent="0.3"/>
  <sheetData>
    <row r="1" spans="1:3" x14ac:dyDescent="0.3">
      <c r="A1" t="s">
        <v>831</v>
      </c>
      <c r="B1" t="s">
        <v>832</v>
      </c>
      <c r="C1" t="s">
        <v>784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constsNvars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2020-04-04T03:35:24Z</dcterms:modified>
</cp:coreProperties>
</file>