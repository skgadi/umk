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uresh\git\Uyamak\Generators\"/>
    </mc:Choice>
  </mc:AlternateContent>
  <xr:revisionPtr revIDLastSave="0" documentId="13_ncr:1_{0AB792A6-45CD-4E0D-90BB-3B62F90AE0F1}" xr6:coauthVersionLast="45" xr6:coauthVersionMax="45" xr10:uidLastSave="{00000000-0000-0000-0000-000000000000}"/>
  <bookViews>
    <workbookView xWindow="-108" yWindow="-108" windowWidth="23256" windowHeight="12576" firstSheet="6" activeTab="8" xr2:uid="{CB8984A2-0721-4967-8668-669096886DF4}"/>
  </bookViews>
  <sheets>
    <sheet name="tools" sheetId="1" r:id="rId1"/>
    <sheet name="functionsCategories" sheetId="3" r:id="rId2"/>
    <sheet name="toolBar" sheetId="7" r:id="rId3"/>
    <sheet name="umkBlockCategories" sheetId="8" r:id="rId4"/>
    <sheet name="umkBlockSummary" sheetId="9" r:id="rId5"/>
    <sheet name="IconText" sheetId="4" r:id="rId6"/>
    <sheet name="networkIcon" sheetId="5" r:id="rId7"/>
    <sheet name="blockTemplate" sheetId="6" r:id="rId8"/>
    <sheet name="GUIText" sheetId="10" r:id="rId9"/>
    <sheet name="menu" sheetId="11" r:id="rId10"/>
    <sheet name="kBoardShortsExtra" sheetId="13" r:id="rId11"/>
    <sheet name="javascriptKeycodes" sheetId="12" r:id="rId12"/>
    <sheet name="Category" sheetId="14" r:id="rId13"/>
    <sheet name="blocks" sheetId="15" r:id="rId14"/>
    <sheet name="int" sheetId="18" r:id="rId15"/>
    <sheet name="constsNvars" sheetId="16" r:id="rId16"/>
    <sheet name="themes" sheetId="17" r:id="rId17"/>
    <sheet name="settings" sheetId="19" r:id="rId18"/>
  </sheets>
  <definedNames>
    <definedName name="_xlnm._FilterDatabase" localSheetId="9" hidden="1">menu!#REF!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136" i="10" l="1"/>
  <c r="L136" i="10"/>
  <c r="K137" i="10"/>
  <c r="L137" i="10"/>
  <c r="D13" i="19" l="1"/>
  <c r="D14" i="19"/>
  <c r="D15" i="19"/>
  <c r="D16" i="19"/>
  <c r="D17" i="19"/>
  <c r="D18" i="19"/>
  <c r="D19" i="19"/>
  <c r="D20" i="19"/>
  <c r="D21" i="19"/>
  <c r="D22" i="19"/>
  <c r="D23" i="19"/>
  <c r="D24" i="19"/>
  <c r="D25" i="19"/>
  <c r="D26" i="19"/>
  <c r="D3" i="19"/>
  <c r="D4" i="19"/>
  <c r="D5" i="19"/>
  <c r="D6" i="19"/>
  <c r="D7" i="19"/>
  <c r="D8" i="19"/>
  <c r="D9" i="19"/>
  <c r="D10" i="19"/>
  <c r="D11" i="19"/>
  <c r="D12" i="19"/>
  <c r="D2" i="19"/>
  <c r="E1" i="19" l="1"/>
  <c r="I26" i="11"/>
  <c r="J26" i="11"/>
  <c r="K26" i="11"/>
  <c r="J3" i="18" l="1"/>
  <c r="J4" i="18"/>
  <c r="J5" i="18"/>
  <c r="J6" i="18"/>
  <c r="J7" i="18"/>
  <c r="J8" i="18"/>
  <c r="J9" i="18"/>
  <c r="J10" i="18"/>
  <c r="J11" i="18"/>
  <c r="J12" i="18"/>
  <c r="J13" i="18"/>
  <c r="J14" i="18"/>
  <c r="J15" i="18"/>
  <c r="J16" i="18"/>
  <c r="J17" i="18"/>
  <c r="J18" i="18"/>
  <c r="J19" i="18"/>
  <c r="J20" i="18"/>
  <c r="J21" i="18"/>
  <c r="J22" i="18"/>
  <c r="J23" i="18"/>
  <c r="J24" i="18"/>
  <c r="J2" i="18"/>
  <c r="I1" i="18" l="1"/>
  <c r="I6" i="11"/>
  <c r="J6" i="11"/>
  <c r="K6" i="11"/>
  <c r="K174" i="10"/>
  <c r="L174" i="10"/>
  <c r="K175" i="10"/>
  <c r="L175" i="10"/>
  <c r="K176" i="10"/>
  <c r="L176" i="10"/>
  <c r="K177" i="10"/>
  <c r="L177" i="10"/>
  <c r="K178" i="10"/>
  <c r="L178" i="10"/>
  <c r="K179" i="10"/>
  <c r="L179" i="10"/>
  <c r="K180" i="10"/>
  <c r="L180" i="10"/>
  <c r="K181" i="10"/>
  <c r="L181" i="10"/>
  <c r="K182" i="10"/>
  <c r="L182" i="10"/>
  <c r="K183" i="10"/>
  <c r="L183" i="10"/>
  <c r="K184" i="10"/>
  <c r="L184" i="10"/>
  <c r="K185" i="10"/>
  <c r="L185" i="10"/>
  <c r="K186" i="10"/>
  <c r="L186" i="10"/>
  <c r="K187" i="10"/>
  <c r="L187" i="10"/>
  <c r="K188" i="10"/>
  <c r="L188" i="10"/>
  <c r="K189" i="10"/>
  <c r="L189" i="10"/>
  <c r="K190" i="10"/>
  <c r="L190" i="10"/>
  <c r="K191" i="10"/>
  <c r="L191" i="10"/>
  <c r="K192" i="10"/>
  <c r="L192" i="10"/>
  <c r="K193" i="10"/>
  <c r="L193" i="10"/>
  <c r="K194" i="10"/>
  <c r="L194" i="10"/>
  <c r="K195" i="10"/>
  <c r="L195" i="10"/>
  <c r="K196" i="10"/>
  <c r="L196" i="10"/>
  <c r="K197" i="10"/>
  <c r="L197" i="10"/>
  <c r="K198" i="10"/>
  <c r="L198" i="10"/>
  <c r="K199" i="10"/>
  <c r="L199" i="10"/>
  <c r="K200" i="10"/>
  <c r="L200" i="10"/>
  <c r="K201" i="10"/>
  <c r="L201" i="10"/>
  <c r="K202" i="10"/>
  <c r="L202" i="10"/>
  <c r="K203" i="10"/>
  <c r="L203" i="10"/>
  <c r="K204" i="10"/>
  <c r="L204" i="10"/>
  <c r="K205" i="10"/>
  <c r="L205" i="10"/>
  <c r="K206" i="10"/>
  <c r="L206" i="10"/>
  <c r="K207" i="10"/>
  <c r="L207" i="10"/>
  <c r="K208" i="10"/>
  <c r="L208" i="10"/>
  <c r="K209" i="10"/>
  <c r="L209" i="10"/>
  <c r="K210" i="10"/>
  <c r="L210" i="10"/>
  <c r="K211" i="10"/>
  <c r="L211" i="10"/>
  <c r="K212" i="10"/>
  <c r="L212" i="10"/>
  <c r="K213" i="10"/>
  <c r="L213" i="10"/>
  <c r="K214" i="10"/>
  <c r="L214" i="10"/>
  <c r="K215" i="10"/>
  <c r="L215" i="10"/>
  <c r="K216" i="10"/>
  <c r="L216" i="10"/>
  <c r="K217" i="10"/>
  <c r="L217" i="10"/>
  <c r="K218" i="10"/>
  <c r="L218" i="10"/>
  <c r="K219" i="10"/>
  <c r="L219" i="10"/>
  <c r="K220" i="10"/>
  <c r="L220" i="10"/>
  <c r="K221" i="10"/>
  <c r="L221" i="10"/>
  <c r="K222" i="10"/>
  <c r="L222" i="10"/>
  <c r="K223" i="10"/>
  <c r="L223" i="10"/>
  <c r="K224" i="10"/>
  <c r="L224" i="10"/>
  <c r="K225" i="10"/>
  <c r="L225" i="10"/>
  <c r="K226" i="10"/>
  <c r="L226" i="10"/>
  <c r="K227" i="10"/>
  <c r="L227" i="10"/>
  <c r="K228" i="10"/>
  <c r="L228" i="10"/>
  <c r="K229" i="10"/>
  <c r="L229" i="10"/>
  <c r="K230" i="10"/>
  <c r="L230" i="10"/>
  <c r="K231" i="10"/>
  <c r="L231" i="10"/>
  <c r="K232" i="10"/>
  <c r="L232" i="10"/>
  <c r="K233" i="10"/>
  <c r="L233" i="10"/>
  <c r="K234" i="10"/>
  <c r="L234" i="10"/>
  <c r="K235" i="10"/>
  <c r="L235" i="10"/>
  <c r="K236" i="10"/>
  <c r="L236" i="10"/>
  <c r="K237" i="10"/>
  <c r="L237" i="10"/>
  <c r="K238" i="10"/>
  <c r="L238" i="10"/>
  <c r="K239" i="10"/>
  <c r="L239" i="10"/>
  <c r="K240" i="10"/>
  <c r="L240" i="10"/>
  <c r="K241" i="10"/>
  <c r="L241" i="10"/>
  <c r="K242" i="10"/>
  <c r="L242" i="10"/>
  <c r="K243" i="10"/>
  <c r="L243" i="10"/>
  <c r="K244" i="10"/>
  <c r="L244" i="10"/>
  <c r="K245" i="10"/>
  <c r="L245" i="10"/>
  <c r="K246" i="10"/>
  <c r="L246" i="10"/>
  <c r="K247" i="10"/>
  <c r="L247" i="10"/>
  <c r="K248" i="10"/>
  <c r="L248" i="10"/>
  <c r="K249" i="10"/>
  <c r="L249" i="10"/>
  <c r="K250" i="10"/>
  <c r="L250" i="10"/>
  <c r="K251" i="10"/>
  <c r="L251" i="10"/>
  <c r="R7" i="17" l="1"/>
  <c r="R3" i="17"/>
  <c r="R8" i="17"/>
  <c r="R9" i="17"/>
  <c r="R4" i="17"/>
  <c r="R10" i="17"/>
  <c r="R5" i="17"/>
  <c r="R6" i="17"/>
  <c r="R11" i="17"/>
  <c r="R12" i="17"/>
  <c r="R13" i="17"/>
  <c r="R14" i="17"/>
  <c r="R15" i="17"/>
  <c r="R16" i="17"/>
  <c r="R17" i="17"/>
  <c r="R18" i="17"/>
  <c r="R19" i="17"/>
  <c r="R20" i="17"/>
  <c r="R21" i="17"/>
  <c r="R22" i="17"/>
  <c r="R23" i="17"/>
  <c r="R24" i="17"/>
  <c r="R25" i="17"/>
  <c r="R26" i="17"/>
  <c r="R27" i="17"/>
  <c r="R28" i="17"/>
  <c r="R29" i="17"/>
  <c r="R30" i="17"/>
  <c r="R31" i="17"/>
  <c r="R32" i="17"/>
  <c r="R33" i="17"/>
  <c r="R34" i="17"/>
  <c r="R35" i="17"/>
  <c r="R36" i="17"/>
  <c r="R37" i="17"/>
  <c r="R38" i="17"/>
  <c r="R39" i="17"/>
  <c r="R40" i="17"/>
  <c r="R41" i="17"/>
  <c r="R42" i="17"/>
  <c r="R43" i="17"/>
  <c r="R44" i="17"/>
  <c r="R45" i="17"/>
  <c r="R46" i="17"/>
  <c r="R2" i="17"/>
  <c r="S7" i="17"/>
  <c r="S3" i="17"/>
  <c r="S8" i="17"/>
  <c r="S9" i="17"/>
  <c r="S4" i="17"/>
  <c r="S10" i="17"/>
  <c r="S5" i="17"/>
  <c r="S6" i="17"/>
  <c r="S11" i="17"/>
  <c r="S12" i="17"/>
  <c r="S13" i="17"/>
  <c r="S14" i="17"/>
  <c r="S15" i="17"/>
  <c r="S16" i="17"/>
  <c r="S17" i="17"/>
  <c r="S18" i="17"/>
  <c r="S19" i="17"/>
  <c r="S20" i="17"/>
  <c r="S21" i="17"/>
  <c r="S22" i="17"/>
  <c r="S23" i="17"/>
  <c r="S24" i="17"/>
  <c r="S25" i="17"/>
  <c r="S26" i="17"/>
  <c r="S27" i="17"/>
  <c r="S28" i="17"/>
  <c r="S29" i="17"/>
  <c r="S30" i="17"/>
  <c r="S31" i="17"/>
  <c r="S32" i="17"/>
  <c r="S33" i="17"/>
  <c r="S34" i="17"/>
  <c r="S35" i="17"/>
  <c r="S36" i="17"/>
  <c r="S37" i="17"/>
  <c r="S38" i="17"/>
  <c r="S39" i="17"/>
  <c r="S40" i="17"/>
  <c r="S41" i="17"/>
  <c r="S42" i="17"/>
  <c r="S43" i="17"/>
  <c r="S44" i="17"/>
  <c r="S45" i="17"/>
  <c r="S46" i="17"/>
  <c r="S2" i="17"/>
  <c r="T7" i="17"/>
  <c r="U7" i="17"/>
  <c r="T3" i="17"/>
  <c r="U3" i="17"/>
  <c r="T8" i="17"/>
  <c r="U8" i="17"/>
  <c r="T9" i="17"/>
  <c r="U9" i="17"/>
  <c r="T4" i="17"/>
  <c r="U4" i="17"/>
  <c r="T10" i="17"/>
  <c r="U10" i="17"/>
  <c r="T5" i="17"/>
  <c r="U5" i="17"/>
  <c r="T6" i="17"/>
  <c r="U6" i="17"/>
  <c r="T11" i="17"/>
  <c r="U11" i="17"/>
  <c r="T12" i="17"/>
  <c r="U12" i="17"/>
  <c r="T13" i="17"/>
  <c r="U13" i="17"/>
  <c r="T14" i="17"/>
  <c r="U14" i="17"/>
  <c r="T15" i="17"/>
  <c r="U15" i="17"/>
  <c r="T16" i="17"/>
  <c r="U16" i="17"/>
  <c r="T17" i="17"/>
  <c r="U17" i="17"/>
  <c r="T18" i="17"/>
  <c r="U18" i="17"/>
  <c r="T19" i="17"/>
  <c r="U19" i="17"/>
  <c r="T20" i="17"/>
  <c r="U20" i="17"/>
  <c r="T21" i="17"/>
  <c r="U21" i="17"/>
  <c r="T22" i="17"/>
  <c r="U22" i="17"/>
  <c r="T23" i="17"/>
  <c r="U23" i="17"/>
  <c r="T24" i="17"/>
  <c r="U24" i="17"/>
  <c r="T25" i="17"/>
  <c r="U25" i="17"/>
  <c r="T26" i="17"/>
  <c r="U26" i="17"/>
  <c r="T27" i="17"/>
  <c r="U27" i="17"/>
  <c r="T28" i="17"/>
  <c r="U28" i="17"/>
  <c r="T29" i="17"/>
  <c r="U29" i="17"/>
  <c r="T30" i="17"/>
  <c r="U30" i="17"/>
  <c r="T31" i="17"/>
  <c r="U31" i="17"/>
  <c r="T32" i="17"/>
  <c r="U32" i="17"/>
  <c r="T33" i="17"/>
  <c r="U33" i="17"/>
  <c r="T34" i="17"/>
  <c r="U34" i="17"/>
  <c r="T35" i="17"/>
  <c r="U35" i="17"/>
  <c r="T36" i="17"/>
  <c r="U36" i="17"/>
  <c r="T37" i="17"/>
  <c r="U37" i="17"/>
  <c r="T38" i="17"/>
  <c r="U38" i="17"/>
  <c r="T39" i="17"/>
  <c r="U39" i="17"/>
  <c r="T40" i="17"/>
  <c r="U40" i="17"/>
  <c r="T41" i="17"/>
  <c r="U41" i="17"/>
  <c r="T42" i="17"/>
  <c r="U42" i="17"/>
  <c r="T43" i="17"/>
  <c r="U43" i="17"/>
  <c r="T44" i="17"/>
  <c r="U44" i="17"/>
  <c r="T45" i="17"/>
  <c r="U45" i="17"/>
  <c r="T46" i="17"/>
  <c r="U46" i="17"/>
  <c r="K164" i="10" l="1"/>
  <c r="L164" i="10"/>
  <c r="K165" i="10"/>
  <c r="L165" i="10"/>
  <c r="K166" i="10"/>
  <c r="L166" i="10"/>
  <c r="K167" i="10"/>
  <c r="L167" i="10"/>
  <c r="K168" i="10"/>
  <c r="L168" i="10"/>
  <c r="K169" i="10"/>
  <c r="L169" i="10"/>
  <c r="K170" i="10"/>
  <c r="L170" i="10"/>
  <c r="K171" i="10"/>
  <c r="L171" i="10"/>
  <c r="K172" i="10"/>
  <c r="L172" i="10"/>
  <c r="K173" i="10"/>
  <c r="L173" i="10"/>
  <c r="I4" i="11"/>
  <c r="J4" i="11"/>
  <c r="K4" i="11"/>
  <c r="I5" i="11"/>
  <c r="J5" i="11"/>
  <c r="K5" i="11"/>
  <c r="I7" i="11"/>
  <c r="J7" i="11"/>
  <c r="K7" i="11"/>
  <c r="I8" i="11"/>
  <c r="J8" i="11"/>
  <c r="K8" i="11"/>
  <c r="I9" i="11"/>
  <c r="J9" i="11"/>
  <c r="K9" i="11"/>
  <c r="I10" i="11"/>
  <c r="J10" i="11"/>
  <c r="K10" i="11"/>
  <c r="I11" i="11"/>
  <c r="J11" i="11"/>
  <c r="K11" i="11"/>
  <c r="I12" i="11"/>
  <c r="J12" i="11"/>
  <c r="K12" i="11"/>
  <c r="I13" i="11"/>
  <c r="J13" i="11"/>
  <c r="K13" i="11"/>
  <c r="I14" i="11"/>
  <c r="J14" i="11"/>
  <c r="K14" i="11"/>
  <c r="I15" i="11"/>
  <c r="J15" i="11"/>
  <c r="K15" i="11"/>
  <c r="I16" i="11"/>
  <c r="J16" i="11"/>
  <c r="K16" i="11"/>
  <c r="I17" i="11"/>
  <c r="J17" i="11"/>
  <c r="K17" i="11"/>
  <c r="I18" i="11"/>
  <c r="J18" i="11"/>
  <c r="K18" i="11"/>
  <c r="I19" i="11"/>
  <c r="J19" i="11"/>
  <c r="K19" i="11"/>
  <c r="I20" i="11"/>
  <c r="J20" i="11"/>
  <c r="K20" i="11"/>
  <c r="I21" i="11"/>
  <c r="J21" i="11"/>
  <c r="K21" i="11"/>
  <c r="I22" i="11"/>
  <c r="J22" i="11"/>
  <c r="K22" i="11"/>
  <c r="I23" i="11"/>
  <c r="J23" i="11"/>
  <c r="K23" i="11"/>
  <c r="I24" i="11"/>
  <c r="J24" i="11"/>
  <c r="K24" i="11"/>
  <c r="I28" i="11"/>
  <c r="J28" i="11"/>
  <c r="K28" i="11"/>
  <c r="I29" i="11"/>
  <c r="J29" i="11"/>
  <c r="K29" i="11"/>
  <c r="I30" i="11"/>
  <c r="J30" i="11"/>
  <c r="K30" i="11"/>
  <c r="I31" i="11"/>
  <c r="J31" i="11"/>
  <c r="K31" i="11"/>
  <c r="I32" i="11"/>
  <c r="J32" i="11"/>
  <c r="K32" i="11"/>
  <c r="I33" i="11"/>
  <c r="J33" i="11"/>
  <c r="K33" i="11"/>
  <c r="I34" i="11"/>
  <c r="J34" i="11"/>
  <c r="K34" i="11"/>
  <c r="I35" i="11"/>
  <c r="J35" i="11"/>
  <c r="K35" i="11"/>
  <c r="I36" i="11"/>
  <c r="J36" i="11"/>
  <c r="K36" i="11"/>
  <c r="I37" i="11"/>
  <c r="J37" i="11"/>
  <c r="K37" i="11"/>
  <c r="I38" i="11"/>
  <c r="J38" i="11"/>
  <c r="K38" i="11"/>
  <c r="I39" i="11"/>
  <c r="J39" i="11"/>
  <c r="K39" i="11"/>
  <c r="I40" i="11"/>
  <c r="J40" i="11"/>
  <c r="K40" i="11"/>
  <c r="I41" i="11"/>
  <c r="J41" i="11"/>
  <c r="K41" i="11"/>
  <c r="I42" i="11"/>
  <c r="J42" i="11"/>
  <c r="K42" i="11"/>
  <c r="I43" i="11"/>
  <c r="J43" i="11"/>
  <c r="K43" i="11"/>
  <c r="I48" i="11"/>
  <c r="J48" i="11"/>
  <c r="K48" i="11"/>
  <c r="I49" i="11"/>
  <c r="J49" i="11"/>
  <c r="K49" i="11"/>
  <c r="I50" i="11"/>
  <c r="J50" i="11"/>
  <c r="K50" i="11"/>
  <c r="I51" i="11"/>
  <c r="J51" i="11"/>
  <c r="K51" i="11"/>
  <c r="I44" i="11"/>
  <c r="J44" i="11"/>
  <c r="K44" i="11"/>
  <c r="I45" i="11"/>
  <c r="J45" i="11"/>
  <c r="K45" i="11"/>
  <c r="I46" i="11"/>
  <c r="J46" i="11"/>
  <c r="K46" i="11"/>
  <c r="I47" i="11"/>
  <c r="J47" i="11"/>
  <c r="K47" i="11"/>
  <c r="I25" i="11"/>
  <c r="J25" i="11"/>
  <c r="K25" i="11"/>
  <c r="I27" i="11"/>
  <c r="J27" i="11"/>
  <c r="K27" i="11"/>
  <c r="I2" i="13" l="1"/>
  <c r="I37" i="13"/>
  <c r="I48" i="13"/>
  <c r="I49" i="13"/>
  <c r="I50" i="13"/>
  <c r="I51" i="13"/>
  <c r="I52" i="13"/>
  <c r="I53" i="13"/>
  <c r="I54" i="13"/>
  <c r="I55" i="13"/>
  <c r="I56" i="13"/>
  <c r="I57" i="13"/>
  <c r="I58" i="13"/>
  <c r="I59" i="13"/>
  <c r="I60" i="13"/>
  <c r="I61" i="13"/>
  <c r="I62" i="13"/>
  <c r="I63" i="13"/>
  <c r="I64" i="13"/>
  <c r="I65" i="13"/>
  <c r="I66" i="13"/>
  <c r="I67" i="13"/>
  <c r="I68" i="13"/>
  <c r="I69" i="13"/>
  <c r="I70" i="13"/>
  <c r="I71" i="13"/>
  <c r="I72" i="13"/>
  <c r="I73" i="13"/>
  <c r="I74" i="13"/>
  <c r="I75" i="13"/>
  <c r="I76" i="13"/>
  <c r="I77" i="13"/>
  <c r="I78" i="13"/>
  <c r="I79" i="13"/>
  <c r="I80" i="13"/>
  <c r="I81" i="13"/>
  <c r="I82" i="13"/>
  <c r="I83" i="13"/>
  <c r="I84" i="13"/>
  <c r="I85" i="13"/>
  <c r="I86" i="13"/>
  <c r="I87" i="13"/>
  <c r="I88" i="13"/>
  <c r="I89" i="13"/>
  <c r="I90" i="13"/>
  <c r="I91" i="13"/>
  <c r="I92" i="13"/>
  <c r="I93" i="13"/>
  <c r="I94" i="13"/>
  <c r="I95" i="13"/>
  <c r="I96" i="13"/>
  <c r="I97" i="13"/>
  <c r="I98" i="13"/>
  <c r="I99" i="13"/>
  <c r="I100" i="13"/>
  <c r="U2" i="17" l="1"/>
  <c r="T2" i="17"/>
  <c r="Q1" i="17" s="1"/>
  <c r="Q2" i="17" l="1"/>
  <c r="I7" i="13"/>
  <c r="I8" i="13"/>
  <c r="I9" i="13"/>
  <c r="I10" i="13"/>
  <c r="I11" i="13"/>
  <c r="I12" i="13"/>
  <c r="I13" i="13"/>
  <c r="I14" i="13"/>
  <c r="I15" i="13"/>
  <c r="I16" i="13"/>
  <c r="I17" i="13"/>
  <c r="I18" i="13"/>
  <c r="I19" i="13"/>
  <c r="I20" i="13"/>
  <c r="I21" i="13"/>
  <c r="I22" i="13"/>
  <c r="I23" i="13"/>
  <c r="I24" i="13"/>
  <c r="I25" i="13"/>
  <c r="I26" i="13"/>
  <c r="I29" i="13"/>
  <c r="I30" i="13"/>
  <c r="I31" i="13"/>
  <c r="I32" i="13"/>
  <c r="I39" i="13"/>
  <c r="I27" i="13"/>
  <c r="I28" i="13"/>
  <c r="I33" i="13"/>
  <c r="I34" i="13"/>
  <c r="I35" i="13"/>
  <c r="I36" i="13"/>
  <c r="I38" i="13"/>
  <c r="I40" i="13"/>
  <c r="I41" i="13"/>
  <c r="I42" i="13"/>
  <c r="I43" i="13"/>
  <c r="I44" i="13"/>
  <c r="I45" i="13"/>
  <c r="I46" i="13"/>
  <c r="I47" i="13"/>
  <c r="K132" i="10" l="1"/>
  <c r="L132" i="10"/>
  <c r="K133" i="10"/>
  <c r="L133" i="10"/>
  <c r="K134" i="10"/>
  <c r="L134" i="10"/>
  <c r="K135" i="10"/>
  <c r="L135" i="10"/>
  <c r="K138" i="10"/>
  <c r="L138" i="10"/>
  <c r="K139" i="10"/>
  <c r="L139" i="10"/>
  <c r="K140" i="10"/>
  <c r="L140" i="10"/>
  <c r="K141" i="10"/>
  <c r="L141" i="10"/>
  <c r="K142" i="10"/>
  <c r="L142" i="10"/>
  <c r="K143" i="10"/>
  <c r="L143" i="10"/>
  <c r="K144" i="10"/>
  <c r="L144" i="10"/>
  <c r="K145" i="10"/>
  <c r="L145" i="10"/>
  <c r="K146" i="10"/>
  <c r="L146" i="10"/>
  <c r="K147" i="10"/>
  <c r="L147" i="10"/>
  <c r="K148" i="10"/>
  <c r="L148" i="10"/>
  <c r="K149" i="10"/>
  <c r="L149" i="10"/>
  <c r="K150" i="10"/>
  <c r="L150" i="10"/>
  <c r="K151" i="10"/>
  <c r="L151" i="10"/>
  <c r="K152" i="10"/>
  <c r="L152" i="10"/>
  <c r="K153" i="10"/>
  <c r="L153" i="10"/>
  <c r="K154" i="10"/>
  <c r="L154" i="10"/>
  <c r="K155" i="10"/>
  <c r="L155" i="10"/>
  <c r="K156" i="10"/>
  <c r="L156" i="10"/>
  <c r="K157" i="10"/>
  <c r="L157" i="10"/>
  <c r="K158" i="10"/>
  <c r="L158" i="10"/>
  <c r="K159" i="10"/>
  <c r="L159" i="10"/>
  <c r="K160" i="10"/>
  <c r="L160" i="10"/>
  <c r="K161" i="10"/>
  <c r="L161" i="10"/>
  <c r="K162" i="10"/>
  <c r="L162" i="10"/>
  <c r="K163" i="10"/>
  <c r="L163" i="10"/>
  <c r="E3" i="16" l="1"/>
  <c r="F3" i="16"/>
  <c r="E4" i="16"/>
  <c r="F4" i="16"/>
  <c r="E5" i="16"/>
  <c r="F5" i="16"/>
  <c r="E6" i="16"/>
  <c r="F6" i="16"/>
  <c r="E7" i="16"/>
  <c r="F7" i="16"/>
  <c r="E8" i="16"/>
  <c r="F8" i="16"/>
  <c r="E9" i="16"/>
  <c r="F9" i="16"/>
  <c r="E10" i="16"/>
  <c r="F10" i="16"/>
  <c r="E11" i="16"/>
  <c r="F11" i="16"/>
  <c r="E12" i="16"/>
  <c r="F12" i="16"/>
  <c r="E13" i="16"/>
  <c r="F13" i="16"/>
  <c r="E14" i="16"/>
  <c r="F14" i="16"/>
  <c r="E15" i="16"/>
  <c r="F15" i="16"/>
  <c r="E16" i="16"/>
  <c r="F16" i="16"/>
  <c r="E17" i="16"/>
  <c r="F17" i="16"/>
  <c r="E18" i="16"/>
  <c r="F18" i="16"/>
  <c r="E19" i="16"/>
  <c r="F19" i="16"/>
  <c r="E20" i="16"/>
  <c r="F20" i="16"/>
  <c r="E21" i="16"/>
  <c r="F21" i="16"/>
  <c r="E22" i="16"/>
  <c r="F22" i="16"/>
  <c r="E23" i="16"/>
  <c r="F23" i="16"/>
  <c r="E24" i="16"/>
  <c r="F24" i="16"/>
  <c r="E25" i="16"/>
  <c r="F25" i="16"/>
  <c r="E26" i="16"/>
  <c r="F26" i="16"/>
  <c r="E27" i="16"/>
  <c r="F27" i="16"/>
  <c r="E28" i="16"/>
  <c r="F28" i="16"/>
  <c r="E29" i="16"/>
  <c r="F29" i="16"/>
  <c r="E30" i="16"/>
  <c r="F30" i="16"/>
  <c r="E31" i="16"/>
  <c r="F31" i="16"/>
  <c r="F2" i="16"/>
  <c r="E2" i="16"/>
  <c r="H1" i="16" s="1"/>
  <c r="K127" i="10" l="1"/>
  <c r="L127" i="10"/>
  <c r="K128" i="10"/>
  <c r="L128" i="10"/>
  <c r="K129" i="10"/>
  <c r="L129" i="10"/>
  <c r="K130" i="10"/>
  <c r="L130" i="10"/>
  <c r="K131" i="10"/>
  <c r="L131" i="10"/>
  <c r="K3" i="10" l="1"/>
  <c r="L3" i="10"/>
  <c r="K4" i="10"/>
  <c r="L4" i="10"/>
  <c r="K5" i="10"/>
  <c r="L5" i="10"/>
  <c r="K6" i="10"/>
  <c r="L6" i="10"/>
  <c r="K7" i="10"/>
  <c r="L7" i="10"/>
  <c r="K8" i="10"/>
  <c r="L8" i="10"/>
  <c r="K9" i="10"/>
  <c r="L9" i="10"/>
  <c r="K10" i="10"/>
  <c r="L10" i="10"/>
  <c r="K11" i="10"/>
  <c r="L11" i="10"/>
  <c r="K12" i="10"/>
  <c r="L12" i="10"/>
  <c r="K13" i="10"/>
  <c r="L13" i="10"/>
  <c r="K14" i="10"/>
  <c r="L14" i="10"/>
  <c r="K15" i="10"/>
  <c r="L15" i="10"/>
  <c r="K16" i="10"/>
  <c r="L16" i="10"/>
  <c r="K17" i="10"/>
  <c r="L17" i="10"/>
  <c r="K18" i="10"/>
  <c r="L18" i="10"/>
  <c r="K19" i="10"/>
  <c r="L19" i="10"/>
  <c r="K20" i="10"/>
  <c r="L20" i="10"/>
  <c r="K21" i="10"/>
  <c r="L21" i="10"/>
  <c r="K22" i="10"/>
  <c r="L22" i="10"/>
  <c r="K23" i="10"/>
  <c r="L23" i="10"/>
  <c r="K24" i="10"/>
  <c r="L24" i="10"/>
  <c r="K25" i="10"/>
  <c r="L25" i="10"/>
  <c r="K26" i="10"/>
  <c r="L26" i="10"/>
  <c r="K27" i="10"/>
  <c r="L27" i="10"/>
  <c r="K28" i="10"/>
  <c r="L28" i="10"/>
  <c r="K29" i="10"/>
  <c r="L29" i="10"/>
  <c r="K30" i="10"/>
  <c r="L30" i="10"/>
  <c r="K31" i="10"/>
  <c r="L31" i="10"/>
  <c r="K32" i="10"/>
  <c r="L32" i="10"/>
  <c r="K33" i="10"/>
  <c r="L33" i="10"/>
  <c r="K34" i="10"/>
  <c r="L34" i="10"/>
  <c r="K35" i="10"/>
  <c r="L35" i="10"/>
  <c r="K36" i="10"/>
  <c r="L36" i="10"/>
  <c r="K37" i="10"/>
  <c r="L37" i="10"/>
  <c r="K38" i="10"/>
  <c r="L38" i="10"/>
  <c r="K39" i="10"/>
  <c r="L39" i="10"/>
  <c r="K40" i="10"/>
  <c r="L40" i="10"/>
  <c r="K41" i="10"/>
  <c r="L41" i="10"/>
  <c r="K42" i="10"/>
  <c r="L42" i="10"/>
  <c r="K43" i="10"/>
  <c r="L43" i="10"/>
  <c r="K44" i="10"/>
  <c r="L44" i="10"/>
  <c r="K45" i="10"/>
  <c r="L45" i="10"/>
  <c r="K46" i="10"/>
  <c r="L46" i="10"/>
  <c r="K47" i="10"/>
  <c r="L47" i="10"/>
  <c r="K48" i="10"/>
  <c r="L48" i="10"/>
  <c r="K49" i="10"/>
  <c r="L49" i="10"/>
  <c r="K50" i="10"/>
  <c r="L50" i="10"/>
  <c r="K51" i="10"/>
  <c r="L51" i="10"/>
  <c r="K52" i="10"/>
  <c r="L52" i="10"/>
  <c r="K53" i="10"/>
  <c r="L53" i="10"/>
  <c r="K54" i="10"/>
  <c r="L54" i="10"/>
  <c r="K55" i="10"/>
  <c r="L55" i="10"/>
  <c r="K56" i="10"/>
  <c r="L56" i="10"/>
  <c r="K57" i="10"/>
  <c r="L57" i="10"/>
  <c r="K58" i="10"/>
  <c r="L58" i="10"/>
  <c r="K59" i="10"/>
  <c r="L59" i="10"/>
  <c r="K60" i="10"/>
  <c r="L60" i="10"/>
  <c r="K61" i="10"/>
  <c r="L61" i="10"/>
  <c r="K62" i="10"/>
  <c r="L62" i="10"/>
  <c r="K63" i="10"/>
  <c r="L63" i="10"/>
  <c r="K64" i="10"/>
  <c r="L64" i="10"/>
  <c r="K65" i="10"/>
  <c r="L65" i="10"/>
  <c r="K66" i="10"/>
  <c r="L66" i="10"/>
  <c r="K67" i="10"/>
  <c r="L67" i="10"/>
  <c r="K68" i="10"/>
  <c r="L68" i="10"/>
  <c r="K69" i="10"/>
  <c r="L69" i="10"/>
  <c r="K70" i="10"/>
  <c r="L70" i="10"/>
  <c r="K71" i="10"/>
  <c r="L71" i="10"/>
  <c r="K72" i="10"/>
  <c r="L72" i="10"/>
  <c r="K73" i="10"/>
  <c r="L73" i="10"/>
  <c r="K74" i="10"/>
  <c r="L74" i="10"/>
  <c r="K75" i="10"/>
  <c r="L75" i="10"/>
  <c r="K76" i="10"/>
  <c r="L76" i="10"/>
  <c r="K77" i="10"/>
  <c r="L77" i="10"/>
  <c r="K78" i="10"/>
  <c r="L78" i="10"/>
  <c r="K79" i="10"/>
  <c r="L79" i="10"/>
  <c r="K80" i="10"/>
  <c r="L80" i="10"/>
  <c r="K81" i="10"/>
  <c r="L81" i="10"/>
  <c r="K82" i="10"/>
  <c r="L82" i="10"/>
  <c r="K83" i="10"/>
  <c r="L83" i="10"/>
  <c r="K84" i="10"/>
  <c r="L84" i="10"/>
  <c r="K85" i="10"/>
  <c r="L85" i="10"/>
  <c r="K86" i="10"/>
  <c r="L86" i="10"/>
  <c r="K87" i="10"/>
  <c r="L87" i="10"/>
  <c r="K88" i="10"/>
  <c r="L88" i="10"/>
  <c r="K89" i="10"/>
  <c r="L89" i="10"/>
  <c r="K90" i="10"/>
  <c r="L90" i="10"/>
  <c r="K91" i="10"/>
  <c r="L91" i="10"/>
  <c r="K92" i="10"/>
  <c r="L92" i="10"/>
  <c r="K93" i="10"/>
  <c r="L93" i="10"/>
  <c r="K94" i="10"/>
  <c r="L94" i="10"/>
  <c r="K95" i="10"/>
  <c r="L95" i="10"/>
  <c r="K96" i="10"/>
  <c r="L96" i="10"/>
  <c r="K97" i="10"/>
  <c r="L97" i="10"/>
  <c r="K98" i="10"/>
  <c r="L98" i="10"/>
  <c r="K99" i="10"/>
  <c r="L99" i="10"/>
  <c r="K100" i="10"/>
  <c r="L100" i="10"/>
  <c r="K101" i="10"/>
  <c r="L101" i="10"/>
  <c r="K102" i="10"/>
  <c r="L102" i="10"/>
  <c r="K103" i="10"/>
  <c r="L103" i="10"/>
  <c r="K104" i="10"/>
  <c r="L104" i="10"/>
  <c r="K105" i="10"/>
  <c r="L105" i="10"/>
  <c r="K106" i="10"/>
  <c r="L106" i="10"/>
  <c r="K107" i="10"/>
  <c r="L107" i="10"/>
  <c r="K108" i="10"/>
  <c r="L108" i="10"/>
  <c r="K109" i="10"/>
  <c r="L109" i="10"/>
  <c r="K110" i="10"/>
  <c r="L110" i="10"/>
  <c r="K111" i="10"/>
  <c r="L111" i="10"/>
  <c r="K112" i="10"/>
  <c r="L112" i="10"/>
  <c r="K113" i="10"/>
  <c r="L113" i="10"/>
  <c r="K114" i="10"/>
  <c r="L114" i="10"/>
  <c r="K115" i="10"/>
  <c r="L115" i="10"/>
  <c r="K116" i="10"/>
  <c r="L116" i="10"/>
  <c r="K117" i="10"/>
  <c r="L117" i="10"/>
  <c r="K118" i="10"/>
  <c r="L118" i="10"/>
  <c r="K119" i="10"/>
  <c r="L119" i="10"/>
  <c r="K120" i="10"/>
  <c r="L120" i="10"/>
  <c r="K121" i="10"/>
  <c r="L121" i="10"/>
  <c r="K122" i="10"/>
  <c r="L122" i="10"/>
  <c r="K123" i="10"/>
  <c r="L123" i="10"/>
  <c r="K124" i="10"/>
  <c r="L124" i="10"/>
  <c r="K125" i="10"/>
  <c r="L125" i="10"/>
  <c r="K126" i="10"/>
  <c r="L126" i="10"/>
  <c r="L2" i="10"/>
  <c r="K2" i="10"/>
  <c r="M10" i="13" l="1"/>
  <c r="M11" i="13"/>
  <c r="M12" i="13"/>
  <c r="M13" i="13"/>
  <c r="M14" i="13"/>
  <c r="M15" i="13"/>
  <c r="M16" i="13"/>
  <c r="M17" i="13"/>
  <c r="M18" i="13"/>
  <c r="M19" i="13"/>
  <c r="M20" i="13"/>
  <c r="M21" i="13"/>
  <c r="M22" i="13"/>
  <c r="M23" i="13"/>
  <c r="M24" i="13"/>
  <c r="M25" i="13"/>
  <c r="M26" i="13"/>
  <c r="M27" i="13"/>
  <c r="M28" i="13"/>
  <c r="M29" i="13"/>
  <c r="M30" i="13"/>
  <c r="M31" i="13"/>
  <c r="M32" i="13"/>
  <c r="M33" i="13"/>
  <c r="M34" i="13"/>
  <c r="M35" i="13"/>
  <c r="M36" i="13"/>
  <c r="M37" i="13"/>
  <c r="M38" i="13"/>
  <c r="M39" i="13"/>
  <c r="M40" i="13"/>
  <c r="M41" i="13"/>
  <c r="M42" i="13"/>
  <c r="M43" i="13"/>
  <c r="M44" i="13"/>
  <c r="M45" i="13"/>
  <c r="M46" i="13"/>
  <c r="M47" i="13"/>
  <c r="M48" i="13"/>
  <c r="M49" i="13"/>
  <c r="M50" i="13"/>
  <c r="M51" i="13"/>
  <c r="M52" i="13"/>
  <c r="M53" i="13"/>
  <c r="M54" i="13"/>
  <c r="M55" i="13"/>
  <c r="M56" i="13"/>
  <c r="M57" i="13"/>
  <c r="M58" i="13"/>
  <c r="M59" i="13"/>
  <c r="M60" i="13"/>
  <c r="M61" i="13"/>
  <c r="M62" i="13"/>
  <c r="M63" i="13"/>
  <c r="M64" i="13"/>
  <c r="M65" i="13"/>
  <c r="M66" i="13"/>
  <c r="M67" i="13"/>
  <c r="M68" i="13"/>
  <c r="M69" i="13"/>
  <c r="M70" i="13"/>
  <c r="M71" i="13"/>
  <c r="M72" i="13"/>
  <c r="M73" i="13"/>
  <c r="M74" i="13"/>
  <c r="M75" i="13"/>
  <c r="M76" i="13"/>
  <c r="M77" i="13"/>
  <c r="M78" i="13"/>
  <c r="M79" i="13"/>
  <c r="M80" i="13"/>
  <c r="M81" i="13"/>
  <c r="M82" i="13"/>
  <c r="M83" i="13"/>
  <c r="M84" i="13"/>
  <c r="M85" i="13"/>
  <c r="M86" i="13"/>
  <c r="M87" i="13"/>
  <c r="M88" i="13"/>
  <c r="M89" i="13"/>
  <c r="M90" i="13"/>
  <c r="M91" i="13"/>
  <c r="M92" i="13"/>
  <c r="M93" i="13"/>
  <c r="M94" i="13"/>
  <c r="M95" i="13"/>
  <c r="M96" i="13"/>
  <c r="M97" i="13"/>
  <c r="M98" i="13"/>
  <c r="M99" i="13"/>
  <c r="M100" i="13"/>
  <c r="E6" i="13"/>
  <c r="M6" i="13" s="1"/>
  <c r="H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H53" i="13"/>
  <c r="H54" i="13"/>
  <c r="H55" i="13"/>
  <c r="H56" i="13"/>
  <c r="H57" i="13"/>
  <c r="H58" i="13"/>
  <c r="H59" i="13"/>
  <c r="H60" i="13"/>
  <c r="H61" i="13"/>
  <c r="H62" i="13"/>
  <c r="H63" i="13"/>
  <c r="H64" i="13"/>
  <c r="H65" i="13"/>
  <c r="H66" i="13"/>
  <c r="H67" i="13"/>
  <c r="H68" i="13"/>
  <c r="H69" i="13"/>
  <c r="H70" i="13"/>
  <c r="H71" i="13"/>
  <c r="H72" i="13"/>
  <c r="H73" i="13"/>
  <c r="H74" i="13"/>
  <c r="H75" i="13"/>
  <c r="H76" i="13"/>
  <c r="H77" i="13"/>
  <c r="H78" i="13"/>
  <c r="H79" i="13"/>
  <c r="H80" i="13"/>
  <c r="H81" i="13"/>
  <c r="H82" i="13"/>
  <c r="H83" i="13"/>
  <c r="H84" i="13"/>
  <c r="H85" i="13"/>
  <c r="H86" i="13"/>
  <c r="H87" i="13"/>
  <c r="H88" i="13"/>
  <c r="H89" i="13"/>
  <c r="H90" i="13"/>
  <c r="H91" i="13"/>
  <c r="H92" i="13"/>
  <c r="H93" i="13"/>
  <c r="H94" i="13"/>
  <c r="H95" i="13"/>
  <c r="H96" i="13"/>
  <c r="H97" i="13"/>
  <c r="H98" i="13"/>
  <c r="H99" i="13"/>
  <c r="H100" i="13"/>
  <c r="H2" i="13"/>
  <c r="I1" i="13"/>
  <c r="I4" i="13"/>
  <c r="I5" i="13"/>
  <c r="I6" i="13"/>
  <c r="K3" i="11"/>
  <c r="I3" i="13" s="1"/>
  <c r="E3" i="13"/>
  <c r="M3" i="13" s="1"/>
  <c r="F3" i="13"/>
  <c r="E4" i="13"/>
  <c r="M4" i="13" s="1"/>
  <c r="F4" i="13"/>
  <c r="E5" i="13"/>
  <c r="M5" i="13" s="1"/>
  <c r="F5" i="13"/>
  <c r="F6" i="13"/>
  <c r="E7" i="13"/>
  <c r="M7" i="13" s="1"/>
  <c r="F7" i="13"/>
  <c r="E8" i="13"/>
  <c r="M8" i="13" s="1"/>
  <c r="F8" i="13"/>
  <c r="E9" i="13"/>
  <c r="M9" i="13" s="1"/>
  <c r="F9" i="13"/>
  <c r="E10" i="13"/>
  <c r="F10" i="13"/>
  <c r="E11" i="13"/>
  <c r="F11" i="13"/>
  <c r="E12" i="13"/>
  <c r="F12" i="13"/>
  <c r="E13" i="13"/>
  <c r="F13" i="13"/>
  <c r="E14" i="13"/>
  <c r="F14" i="13"/>
  <c r="E15" i="13"/>
  <c r="F15" i="13"/>
  <c r="E16" i="13"/>
  <c r="F16" i="13"/>
  <c r="E17" i="13"/>
  <c r="F17" i="13"/>
  <c r="E18" i="13"/>
  <c r="F18" i="13"/>
  <c r="E19" i="13"/>
  <c r="F19" i="13"/>
  <c r="E20" i="13"/>
  <c r="F20" i="13"/>
  <c r="E21" i="13"/>
  <c r="F21" i="13"/>
  <c r="E22" i="13"/>
  <c r="F22" i="13"/>
  <c r="E23" i="13"/>
  <c r="F23" i="13"/>
  <c r="E24" i="13"/>
  <c r="F24" i="13"/>
  <c r="E25" i="13"/>
  <c r="F25" i="13"/>
  <c r="E26" i="13"/>
  <c r="F26" i="13"/>
  <c r="E27" i="13"/>
  <c r="F27" i="13"/>
  <c r="E28" i="13"/>
  <c r="F28" i="13"/>
  <c r="E29" i="13"/>
  <c r="F29" i="13"/>
  <c r="E30" i="13"/>
  <c r="F30" i="13"/>
  <c r="E31" i="13"/>
  <c r="F31" i="13"/>
  <c r="E32" i="13"/>
  <c r="F32" i="13"/>
  <c r="F2" i="13"/>
  <c r="E2" i="13"/>
  <c r="M2" i="13" s="1"/>
  <c r="L1" i="13" l="1"/>
  <c r="J3" i="11"/>
  <c r="I3" i="11"/>
  <c r="L1" i="10" l="1"/>
  <c r="K1" i="10"/>
  <c r="J1" i="10" s="1"/>
  <c r="N64" i="7" l="1"/>
  <c r="N63" i="7"/>
  <c r="N62" i="7"/>
  <c r="N61" i="7"/>
  <c r="N60" i="7"/>
  <c r="N59" i="7"/>
  <c r="N58" i="7"/>
  <c r="N57" i="7"/>
  <c r="N56" i="7"/>
  <c r="N55" i="7"/>
  <c r="N54" i="7"/>
  <c r="N53" i="7"/>
  <c r="N52" i="7"/>
  <c r="N51" i="7"/>
  <c r="N50" i="7"/>
  <c r="N49" i="7"/>
  <c r="N48" i="7"/>
  <c r="N47" i="7"/>
  <c r="N46" i="7"/>
  <c r="N45" i="7"/>
  <c r="N44" i="7"/>
  <c r="N43" i="7"/>
  <c r="N42" i="7"/>
  <c r="N41" i="7"/>
  <c r="N40" i="7"/>
  <c r="N39" i="7"/>
  <c r="N38" i="7"/>
  <c r="N37" i="7"/>
  <c r="N36" i="7"/>
  <c r="N35" i="7"/>
  <c r="N34" i="7"/>
  <c r="N33" i="7"/>
  <c r="N32" i="7"/>
  <c r="N31" i="7"/>
  <c r="N30" i="7"/>
  <c r="N29" i="7"/>
  <c r="N28" i="7"/>
  <c r="N27" i="7"/>
  <c r="N26" i="7"/>
  <c r="N25" i="7"/>
  <c r="N24" i="7"/>
  <c r="N23" i="7"/>
  <c r="N22" i="7"/>
  <c r="N21" i="7"/>
  <c r="N20" i="7"/>
  <c r="N19" i="7"/>
  <c r="N18" i="7"/>
  <c r="N17" i="7"/>
  <c r="N16" i="7"/>
  <c r="N15" i="7"/>
  <c r="N14" i="7"/>
  <c r="N13" i="7"/>
  <c r="N12" i="7"/>
  <c r="N11" i="7"/>
  <c r="N10" i="7"/>
  <c r="N9" i="7"/>
  <c r="N8" i="7"/>
  <c r="N7" i="7"/>
  <c r="N6" i="7"/>
  <c r="N5" i="7"/>
  <c r="N4" i="7"/>
  <c r="N3" i="7"/>
  <c r="N2" i="7"/>
  <c r="F3" i="8" l="1"/>
  <c r="F4" i="8"/>
  <c r="F5" i="8"/>
  <c r="F6" i="8"/>
  <c r="F7" i="8"/>
  <c r="F8" i="8"/>
  <c r="F2" i="8"/>
  <c r="G1" i="8" s="1"/>
  <c r="F3" i="7" l="1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2" i="7"/>
  <c r="O1" i="7" l="1"/>
  <c r="G16" i="7"/>
  <c r="G40" i="7" l="1"/>
  <c r="G41" i="7"/>
  <c r="G42" i="7"/>
  <c r="G54" i="7"/>
  <c r="G55" i="7"/>
  <c r="G21" i="7"/>
  <c r="G22" i="7"/>
  <c r="G23" i="7"/>
  <c r="G24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7" i="7"/>
  <c r="G18" i="7"/>
  <c r="G19" i="7"/>
  <c r="G20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3" i="7"/>
  <c r="G44" i="7"/>
  <c r="G45" i="7"/>
  <c r="G46" i="7"/>
  <c r="G47" i="7"/>
  <c r="G48" i="7"/>
  <c r="G49" i="7"/>
  <c r="G50" i="7"/>
  <c r="G51" i="7"/>
  <c r="G52" i="7"/>
  <c r="G53" i="7"/>
  <c r="G2" i="7"/>
  <c r="H1" i="7" s="1"/>
  <c r="D16" i="6" l="1"/>
  <c r="D17" i="6"/>
  <c r="D18" i="6"/>
  <c r="D19" i="6"/>
  <c r="I19" i="6"/>
  <c r="I18" i="6"/>
  <c r="I17" i="6"/>
  <c r="I16" i="6"/>
  <c r="D12" i="6" l="1"/>
  <c r="D8" i="6"/>
  <c r="D6" i="6"/>
  <c r="D2" i="6"/>
  <c r="I3" i="6"/>
  <c r="I4" i="6"/>
  <c r="I5" i="6"/>
  <c r="I7" i="6"/>
  <c r="I8" i="6"/>
  <c r="I9" i="6"/>
  <c r="I10" i="6"/>
  <c r="I11" i="6"/>
  <c r="I12" i="6"/>
  <c r="I13" i="6"/>
  <c r="I14" i="6"/>
  <c r="I15" i="6"/>
  <c r="I2" i="6"/>
  <c r="D3" i="6"/>
  <c r="D4" i="6"/>
  <c r="D5" i="6"/>
  <c r="D7" i="6"/>
  <c r="D9" i="6"/>
  <c r="D10" i="6"/>
  <c r="D11" i="6"/>
  <c r="D13" i="6"/>
  <c r="D14" i="6"/>
  <c r="D15" i="6"/>
  <c r="E1" i="6" l="1"/>
  <c r="I6" i="6"/>
  <c r="B4" i="5"/>
  <c r="B3" i="5"/>
  <c r="B2" i="5"/>
  <c r="B1" i="5"/>
  <c r="C1" i="5" s="1"/>
  <c r="C1" i="4"/>
  <c r="B1" i="4"/>
  <c r="B2" i="4"/>
  <c r="B3" i="4"/>
  <c r="B4" i="4"/>
  <c r="N3" i="3" l="1"/>
  <c r="O3" i="3"/>
  <c r="N4" i="3"/>
  <c r="O4" i="3"/>
  <c r="N5" i="3"/>
  <c r="O5" i="3"/>
  <c r="N6" i="3"/>
  <c r="O6" i="3"/>
  <c r="N7" i="3"/>
  <c r="O7" i="3"/>
  <c r="N8" i="3"/>
  <c r="O8" i="3"/>
  <c r="O2" i="3"/>
  <c r="N2" i="3"/>
  <c r="I3" i="3"/>
  <c r="I4" i="3"/>
  <c r="I5" i="3"/>
  <c r="I6" i="3"/>
  <c r="I7" i="3"/>
  <c r="I8" i="3"/>
  <c r="I2" i="3"/>
  <c r="L3" i="3" l="1"/>
  <c r="M3" i="3"/>
  <c r="L4" i="3"/>
  <c r="M4" i="3"/>
  <c r="L5" i="3"/>
  <c r="M5" i="3"/>
  <c r="L6" i="3"/>
  <c r="M6" i="3"/>
  <c r="L7" i="3"/>
  <c r="M7" i="3"/>
  <c r="L8" i="3"/>
  <c r="M8" i="3"/>
  <c r="M2" i="3"/>
  <c r="L2" i="3"/>
  <c r="J3" i="3" l="1"/>
  <c r="J4" i="3"/>
  <c r="J5" i="3"/>
  <c r="J6" i="3"/>
  <c r="J7" i="3"/>
  <c r="J8" i="3"/>
  <c r="J2" i="3"/>
  <c r="K1" i="3" l="1"/>
  <c r="I2" i="1"/>
  <c r="E3" i="1"/>
  <c r="E4" i="1" s="1"/>
  <c r="E5" i="1" s="1"/>
  <c r="E6" i="1" s="1"/>
  <c r="E7" i="1" s="1"/>
  <c r="E8" i="1" s="1"/>
  <c r="E9" i="1" s="1"/>
  <c r="E10" i="1" s="1"/>
  <c r="E11" i="1" s="1"/>
  <c r="G3" i="1" l="1"/>
  <c r="I3" i="1" s="1"/>
  <c r="G4" i="1" l="1"/>
  <c r="I4" i="1" l="1"/>
  <c r="G5" i="1"/>
  <c r="G6" i="1" l="1"/>
  <c r="I5" i="1"/>
  <c r="G7" i="1" l="1"/>
  <c r="I6" i="1"/>
  <c r="G8" i="1" l="1"/>
  <c r="I7" i="1"/>
  <c r="G9" i="1" l="1"/>
  <c r="I8" i="1"/>
  <c r="G10" i="1" l="1"/>
  <c r="I9" i="1"/>
  <c r="G11" i="1" l="1"/>
  <c r="I11" i="1" s="1"/>
  <c r="J1" i="1" s="1"/>
  <c r="I10" i="1"/>
</calcChain>
</file>

<file path=xl/sharedStrings.xml><?xml version="1.0" encoding="utf-8"?>
<sst xmlns="http://schemas.openxmlformats.org/spreadsheetml/2006/main" count="2883" uniqueCount="1936">
  <si>
    <t>newFile</t>
  </si>
  <si>
    <t>saveFile</t>
  </si>
  <si>
    <t>deleteFile</t>
  </si>
  <si>
    <t>addBlock</t>
  </si>
  <si>
    <t>editBlock</t>
  </si>
  <si>
    <t>addConnection</t>
  </si>
  <si>
    <t>editConnection</t>
  </si>
  <si>
    <t>delete</t>
  </si>
  <si>
    <t>filesView</t>
  </si>
  <si>
    <t>simView</t>
  </si>
  <si>
    <t>fas fa-file</t>
  </si>
  <si>
    <t>far fa-save</t>
  </si>
  <si>
    <t>far fa-trash-alt</t>
  </si>
  <si>
    <t>far fa-plus-square</t>
  </si>
  <si>
    <t>far fa-edit</t>
  </si>
  <si>
    <t>fas fa-project-diagram</t>
  </si>
  <si>
    <t>fas fa-pencil-alt</t>
  </si>
  <si>
    <t>fas fa-eraser</t>
  </si>
  <si>
    <t>far fa-folder-open</t>
  </si>
  <si>
    <t>fas fa-play</t>
  </si>
  <si>
    <t>openLeftMenu()</t>
  </si>
  <si>
    <t>index</t>
  </si>
  <si>
    <t>icon</t>
  </si>
  <si>
    <t>function</t>
  </si>
  <si>
    <t>text</t>
  </si>
  <si>
    <t>New file</t>
  </si>
  <si>
    <t>Save file</t>
  </si>
  <si>
    <t>Delete file</t>
  </si>
  <si>
    <t>Add block</t>
  </si>
  <si>
    <t>Edit block</t>
  </si>
  <si>
    <t>Add connection</t>
  </si>
  <si>
    <t>Edit connection</t>
  </si>
  <si>
    <t>Files view</t>
  </si>
  <si>
    <t>Delete</t>
  </si>
  <si>
    <t>Simulation view</t>
  </si>
  <si>
    <t>display</t>
  </si>
  <si>
    <t>order</t>
  </si>
  <si>
    <t>x</t>
  </si>
  <si>
    <t>y</t>
  </si>
  <si>
    <t>false</t>
  </si>
  <si>
    <t>sources</t>
  </si>
  <si>
    <t>basics</t>
  </si>
  <si>
    <t>logics</t>
  </si>
  <si>
    <t>continuous</t>
  </si>
  <si>
    <t>discrete</t>
  </si>
  <si>
    <t>hardware</t>
  </si>
  <si>
    <t>Sources</t>
  </si>
  <si>
    <t>Basic operations</t>
  </si>
  <si>
    <t>Logical operations</t>
  </si>
  <si>
    <t>Continuous time</t>
  </si>
  <si>
    <t>Discrete time</t>
  </si>
  <si>
    <t>Hardware tools</t>
  </si>
  <si>
    <t>#FF0000</t>
  </si>
  <si>
    <t>Sinks</t>
  </si>
  <si>
    <t>sinks</t>
  </si>
  <si>
    <t>#00FFFF</t>
  </si>
  <si>
    <t>#80FF00</t>
  </si>
  <si>
    <t>#FF0080</t>
  </si>
  <si>
    <t>#0000FF</t>
  </si>
  <si>
    <t>#00FF80</t>
  </si>
  <si>
    <t>#FFFF00</t>
  </si>
  <si>
    <t>description</t>
  </si>
  <si>
    <t>color01</t>
  </si>
  <si>
    <t>color02</t>
  </si>
  <si>
    <t>color03</t>
  </si>
  <si>
    <t>color04</t>
  </si>
  <si>
    <t>Sinks output the information. They can be graphs or file download</t>
  </si>
  <si>
    <t>Sources generate the signals to feed to the model.</t>
  </si>
  <si>
    <t>Basic mathematical operations are given</t>
  </si>
  <si>
    <t>Logical operations are available in this section</t>
  </si>
  <si>
    <t>Dynamic operations are available here for continuous time operations</t>
  </si>
  <si>
    <t>Dynamic operations are available here for discrete time operations</t>
  </si>
  <si>
    <t>Hardware i/o blocks are available here</t>
  </si>
  <si>
    <t>#8000FF</t>
  </si>
  <si>
    <t>#FFFE00</t>
  </si>
  <si>
    <t>&lt;/g&gt;&lt;/svg&gt;</t>
  </si>
  <si>
    <t>' filter='url(#f0)'/&gt;&lt;/g&gt;&lt;g stroke-linecap='round' filter='url(#f1)' width='100' height='100' stroke='</t>
  </si>
  <si>
    <t>preIcon</t>
  </si>
  <si>
    <t>postIcon</t>
  </si>
  <si>
    <t>#FF007F</t>
  </si>
  <si>
    <t>#7F00FF</t>
  </si>
  <si>
    <t>#7FFF00</t>
  </si>
  <si>
    <t>preIcon1</t>
  </si>
  <si>
    <t>postIcon1</t>
  </si>
  <si>
    <t>' stroke-width='10' fill='none'&gt;</t>
  </si>
  <si>
    <t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</t>
  </si>
  <si>
    <t>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</t>
  </si>
  <si>
    <t>'/&gt;&lt;/g&gt;&lt;g stroke-linecap='round' filter='url(#f1)' width='100' height='100' stroke='</t>
  </si>
  <si>
    <t>Name</t>
  </si>
  <si>
    <t>type</t>
  </si>
  <si>
    <t>argument</t>
  </si>
  <si>
    <t>Category</t>
  </si>
  <si>
    <t>Description</t>
  </si>
  <si>
    <t>string</t>
  </si>
  <si>
    <t>Parameters</t>
  </si>
  <si>
    <t>json</t>
  </si>
  <si>
    <t>Data</t>
  </si>
  <si>
    <t>name</t>
  </si>
  <si>
    <t>Label</t>
  </si>
  <si>
    <t>Icon</t>
  </si>
  <si>
    <t>Init</t>
  </si>
  <si>
    <t>End</t>
  </si>
  <si>
    <t>Constructor</t>
  </si>
  <si>
    <t>Destructor</t>
  </si>
  <si>
    <t>RunTimeExec</t>
  </si>
  <si>
    <t>Evaluate</t>
  </si>
  <si>
    <t>Details</t>
  </si>
  <si>
    <t>ValidateParams</t>
  </si>
  <si>
    <t>openLeftMenu('ADD_BLOCK')</t>
  </si>
  <si>
    <t>openLeftMenu('EDIT_BLOCK')</t>
  </si>
  <si>
    <t>bid</t>
  </si>
  <si>
    <t>Colors</t>
  </si>
  <si>
    <t>object</t>
  </si>
  <si>
    <t>TerminalsIn</t>
  </si>
  <si>
    <t>TerminalsOut</t>
  </si>
  <si>
    <t>File</t>
  </si>
  <si>
    <t>top</t>
  </si>
  <si>
    <t>sub</t>
  </si>
  <si>
    <t>hl</t>
  </si>
  <si>
    <t>Sign out</t>
  </si>
  <si>
    <t>Print</t>
  </si>
  <si>
    <t>Extend licence period</t>
  </si>
  <si>
    <t>Account</t>
  </si>
  <si>
    <t>Edit</t>
  </si>
  <si>
    <t>Cut</t>
  </si>
  <si>
    <t>Copy</t>
  </si>
  <si>
    <t>Paste</t>
  </si>
  <si>
    <t>View</t>
  </si>
  <si>
    <t>Zoom out</t>
  </si>
  <si>
    <t>Zoom in</t>
  </si>
  <si>
    <t>Fit all</t>
  </si>
  <si>
    <t>Original size</t>
  </si>
  <si>
    <t>fas fa-arrow-left</t>
  </si>
  <si>
    <t>Good to go when eveything is fine and also I want to say something more 1</t>
  </si>
  <si>
    <t>Key board Shortcut</t>
  </si>
  <si>
    <t>END</t>
  </si>
  <si>
    <t>System</t>
  </si>
  <si>
    <t>Save to local machine</t>
  </si>
  <si>
    <t>Load from local machine</t>
  </si>
  <si>
    <t>Make public</t>
  </si>
  <si>
    <t>Share privately</t>
  </si>
  <si>
    <t>Show/Hide Grid lines</t>
  </si>
  <si>
    <t>Keyboard shortcuts</t>
  </si>
  <si>
    <t>Undo</t>
  </si>
  <si>
    <t>Redo</t>
  </si>
  <si>
    <t>Minimize  subsystem(s)</t>
  </si>
  <si>
    <t>Maximize  subsystem(s)</t>
  </si>
  <si>
    <t>Help</t>
  </si>
  <si>
    <t>Documentation</t>
  </si>
  <si>
    <t>About</t>
  </si>
  <si>
    <t>Profile</t>
  </si>
  <si>
    <t>far fa-folder</t>
  </si>
  <si>
    <t>fas fa-download</t>
  </si>
  <si>
    <t>fas fa-upload</t>
  </si>
  <si>
    <t>fas fa-share-alt-square</t>
  </si>
  <si>
    <t>fas fa-share-alt</t>
  </si>
  <si>
    <t>fas fa-print</t>
  </si>
  <si>
    <t>fas fa-puzzle-piece</t>
  </si>
  <si>
    <t>fas fa-edit</t>
  </si>
  <si>
    <t>far fa-object-group</t>
  </si>
  <si>
    <t>far fa-object-ungroup</t>
  </si>
  <si>
    <t>fas fa-cut</t>
  </si>
  <si>
    <t>fas fa-copy</t>
  </si>
  <si>
    <t>fas fa-paste</t>
  </si>
  <si>
    <t>Clone</t>
  </si>
  <si>
    <t>fas fa-clone</t>
  </si>
  <si>
    <t>fas fa-trash-alt</t>
  </si>
  <si>
    <t>fas fa-undo</t>
  </si>
  <si>
    <t>fas fa-redo</t>
  </si>
  <si>
    <t>fas fa-search-plus</t>
  </si>
  <si>
    <t>fas fa-search-minus</t>
  </si>
  <si>
    <t>fas fa-expand</t>
  </si>
  <si>
    <t>fas fa-compress</t>
  </si>
  <si>
    <t>fas fa-window-minimize</t>
  </si>
  <si>
    <t>fas fa-window-maximize</t>
  </si>
  <si>
    <t>Toggle snap to grid</t>
  </si>
  <si>
    <t>fas fa-border-all</t>
  </si>
  <si>
    <t>fas fa-image</t>
  </si>
  <si>
    <t>fas fa-magnet</t>
  </si>
  <si>
    <t>far fa-keyboard</t>
  </si>
  <si>
    <t>fas fa-user-alt</t>
  </si>
  <si>
    <t>fas fa-ticket-alt</t>
  </si>
  <si>
    <t>fas fa-door-open</t>
  </si>
  <si>
    <t>fas fa-book</t>
  </si>
  <si>
    <t>Context help</t>
  </si>
  <si>
    <t>fas fa-info</t>
  </si>
  <si>
    <t>far fa-question-circle</t>
  </si>
  <si>
    <t>fas fa-file-alt</t>
  </si>
  <si>
    <t>fas fa-pen</t>
  </si>
  <si>
    <t>fas fa-desktop</t>
  </si>
  <si>
    <t>fas fa-user-cog</t>
  </si>
  <si>
    <t>far fa-life-ring</t>
  </si>
  <si>
    <t>Menu gives options to manage your files</t>
  </si>
  <si>
    <t>Share Uyamak system with your friends and teachers</t>
  </si>
  <si>
    <t>Publish your Uyamak system to the public</t>
  </si>
  <si>
    <t>Print the Uyamak system</t>
  </si>
  <si>
    <t>Menu gives options to manage your Uyamak system</t>
  </si>
  <si>
    <t>Download the Uyamak system to your local device as a file</t>
  </si>
  <si>
    <t>Load a Uyamak system from your local device</t>
  </si>
  <si>
    <t>Organize your Uyamak systems on your cloud storage</t>
  </si>
  <si>
    <t>Cloud organizer</t>
  </si>
  <si>
    <t>Show Model Editor</t>
  </si>
  <si>
    <t>Show Simulation drawer</t>
  </si>
  <si>
    <t>Displays the Uyamak model editor where you can tweak the model settings</t>
  </si>
  <si>
    <t>Displays the simulation drawer where you can execute the Uyamak system</t>
  </si>
  <si>
    <t>Creates Uyamak sub-system out of the selected Uyamak models</t>
  </si>
  <si>
    <t>Dismantles all the selected Uyamak sub-systems.</t>
  </si>
  <si>
    <t>Copies the selected Uyamak models into the clipboard</t>
  </si>
  <si>
    <t>Copies the selected Uyamak models into the clipboard and deletes the original ones</t>
  </si>
  <si>
    <t>Pastes the clipboard Uyamak models to the present Uyamak system</t>
  </si>
  <si>
    <t>Clones the selected Uyamak models</t>
  </si>
  <si>
    <t>Delete the selected Uyamak models and Sub-systems</t>
  </si>
  <si>
    <t>Undo the recent changes</t>
  </si>
  <si>
    <t>Redo the recent changes</t>
  </si>
  <si>
    <t>Menu gives options to manipulate the Uyamak system</t>
  </si>
  <si>
    <t>Menu gives different options to visualize the Uyamak system</t>
  </si>
  <si>
    <t>Zooms in</t>
  </si>
  <si>
    <t>Zooms out</t>
  </si>
  <si>
    <t>Shows the original size. Some items may be out of view. You can see them by scrolling</t>
  </si>
  <si>
    <t>Shows the complete Uyamak system</t>
  </si>
  <si>
    <t>Minimizes the selected subsystem. If nothing is selected, all the sub-systems will be minimized</t>
  </si>
  <si>
    <t>Maximizes the selected subsystem. If nothing is selected, all the sub-systems will be maximized</t>
  </si>
  <si>
    <t>System outline</t>
  </si>
  <si>
    <t>Shows outline of the Uyamak system in a small window on the top right corner</t>
  </si>
  <si>
    <t>Shows or hide the grid lines</t>
  </si>
  <si>
    <t>When snap to grid is activated, the blocks are moved at a steps instead of smoothly</t>
  </si>
  <si>
    <t>Displays all the keyboard shortcuts</t>
  </si>
  <si>
    <t>Menu gives options to manage the user account</t>
  </si>
  <si>
    <t>Opens another page where you can manage your Uyamak profile</t>
  </si>
  <si>
    <t>Lets you extend the license period</t>
  </si>
  <si>
    <t>Signing out</t>
  </si>
  <si>
    <t>Menu gives access to documentation and help</t>
  </si>
  <si>
    <t>Takes you to the documentation page</t>
  </si>
  <si>
    <t>Shows the documentation for the selected Uyamak model</t>
  </si>
  <si>
    <t>Show Uyamak library</t>
  </si>
  <si>
    <t>Displays the Uyamak library drawer where you can find all the Uyamak models</t>
  </si>
  <si>
    <t>Create sub-system</t>
  </si>
  <si>
    <t>Dismantle sub-system</t>
  </si>
  <si>
    <t>function/width</t>
  </si>
  <si>
    <t>Ctrl</t>
  </si>
  <si>
    <t>Shift</t>
  </si>
  <si>
    <t>key</t>
  </si>
  <si>
    <t>O</t>
  </si>
  <si>
    <t>S</t>
  </si>
  <si>
    <t>C</t>
  </si>
  <si>
    <t>D</t>
  </si>
  <si>
    <t>L</t>
  </si>
  <si>
    <t>M</t>
  </si>
  <si>
    <t>P</t>
  </si>
  <si>
    <t>U</t>
  </si>
  <si>
    <t>R</t>
  </si>
  <si>
    <t>J</t>
  </si>
  <si>
    <t>G</t>
  </si>
  <si>
    <t xml:space="preserve"> </t>
  </si>
  <si>
    <t>E</t>
  </si>
  <si>
    <t>K</t>
  </si>
  <si>
    <t>X</t>
  </si>
  <si>
    <t>V</t>
  </si>
  <si>
    <t>Z</t>
  </si>
  <si>
    <t>+</t>
  </si>
  <si>
    <t>-</t>
  </si>
  <si>
    <t>F</t>
  </si>
  <si>
    <t>T</t>
  </si>
  <si>
    <t>Y</t>
  </si>
  <si>
    <t>A</t>
  </si>
  <si>
    <t>B</t>
  </si>
  <si>
    <t>W</t>
  </si>
  <si>
    <t>H</t>
  </si>
  <si>
    <t>Select all</t>
  </si>
  <si>
    <t>Select none</t>
  </si>
  <si>
    <t>far fa-square</t>
  </si>
  <si>
    <t>far fa-check-square</t>
  </si>
  <si>
    <t>alert()</t>
  </si>
  <si>
    <t>foldItems();</t>
  </si>
  <si>
    <t>foldItems(false);</t>
  </si>
  <si>
    <t>ArrowUp</t>
  </si>
  <si>
    <t>ArrowDown</t>
  </si>
  <si>
    <t>ArrowRight</t>
  </si>
  <si>
    <t>ArrowLeft</t>
  </si>
  <si>
    <t>Execution order</t>
  </si>
  <si>
    <t>fas fa-sort-numeric-up-alt</t>
  </si>
  <si>
    <t>Shows simulation order and errors</t>
  </si>
  <si>
    <t>displayExecutionOrder()</t>
  </si>
  <si>
    <t>Show Variable manager</t>
  </si>
  <si>
    <t>Displays the Variable manager where you can add, edit or delete the Uyamak variables.</t>
  </si>
  <si>
    <t>fas fa-equals</t>
  </si>
  <si>
    <t>ShowModelItem('variablesManager')</t>
  </si>
  <si>
    <t>Key code</t>
  </si>
  <si>
    <t>id</t>
  </si>
  <si>
    <t>desc</t>
  </si>
  <si>
    <t>fg</t>
  </si>
  <si>
    <t>bg</t>
  </si>
  <si>
    <t>width</t>
  </si>
  <si>
    <t>height</t>
  </si>
  <si>
    <t>category</t>
  </si>
  <si>
    <t>1563761824208</t>
  </si>
  <si>
    <t>Sum</t>
  </si>
  <si>
    <t>Adds two or more numbers, vector, or matrices. All the inputs should of same size.</t>
  </si>
  <si>
    <t>&lt;line x1='20' y1='50' x2= '80' y2='50' /&gt;&lt;line x1='50' y1='20' x2= '50' y2='80'/&gt;</t>
  </si>
  <si>
    <t>#1595C8</t>
  </si>
  <si>
    <t>#0D7CA7</t>
  </si>
  <si>
    <t>1563773379791</t>
  </si>
  <si>
    <t>Constant</t>
  </si>
  <si>
    <t>Generates scalar, vector or a matrix constant.</t>
  </si>
  <si>
    <t>&lt;text x='50' y='57' dominant-baseline='middle' text-anchor='middle' font-size='5em'&gt;C&lt;/text&gt;</t>
  </si>
  <si>
    <t>#5646BF</t>
  </si>
  <si>
    <t>#3A2B95</t>
  </si>
  <si>
    <t>1563789409994</t>
  </si>
  <si>
    <t>Displays result on screen</t>
  </si>
  <si>
    <t>Display</t>
  </si>
  <si>
    <t>&lt;text x='50' y='57' dominant-baseline='middle' text-anchor='middle' font-size='5em'&gt;#&lt;/text&gt;</t>
  </si>
  <si>
    <t>#0E4C89</t>
  </si>
  <si>
    <t>#112F4E</t>
  </si>
  <si>
    <t>Displays simple value vs time plot</t>
  </si>
  <si>
    <t>Time series</t>
  </si>
  <si>
    <t>1566440473596</t>
  </si>
  <si>
    <t>if (mainSystem.graph.isEnabled()) mainSystem.graph.removeCells();</t>
  </si>
  <si>
    <t>if (mainSystem.graph.isEnabled()) createSubModel();</t>
  </si>
  <si>
    <t>if (mainSystem.graph.isEnabled()) ungroupSubModel();</t>
  </si>
  <si>
    <t>mainSystem.graph.zoomIn();</t>
  </si>
  <si>
    <t>mainSystem.graph.zoomOut();</t>
  </si>
  <si>
    <t>mainSystem.graph.zoomActual();</t>
  </si>
  <si>
    <t>mainSystem.graph.fit();</t>
  </si>
  <si>
    <t>movemainSystem.graph("up");</t>
  </si>
  <si>
    <t>movemainSystem.graph("down");</t>
  </si>
  <si>
    <t>movemainSystem.graph("right");</t>
  </si>
  <si>
    <t>movemainSystem.graph("left");</t>
  </si>
  <si>
    <t>mainSystem.undoManager.undo();</t>
  </si>
  <si>
    <t>mainSystem.undoManager.redo();</t>
  </si>
  <si>
    <t>en-us</t>
  </si>
  <si>
    <t>es-mx</t>
  </si>
  <si>
    <t>Hide</t>
  </si>
  <si>
    <t>Esconder</t>
  </si>
  <si>
    <t>errorShortWidth</t>
  </si>
  <si>
    <t>errorShortHeight</t>
  </si>
  <si>
    <t xml:space="preserve">Your screen's width is too small to run this app. </t>
  </si>
  <si>
    <t xml:space="preserve">Your screen's height is too small to run this app. </t>
  </si>
  <si>
    <t>El ancho de su pantalla es demasiado pequeño para ejecutar esta aplicación.</t>
  </si>
  <si>
    <t>La altura de su pantalla es demasiado pequeña para ejecutar esta aplicación.</t>
  </si>
  <si>
    <t>hide</t>
  </si>
  <si>
    <t>button</t>
  </si>
  <si>
    <t>Keyboard schortcut</t>
  </si>
  <si>
    <t>Alt</t>
  </si>
  <si>
    <t>Key</t>
  </si>
  <si>
    <t>Keycode</t>
  </si>
  <si>
    <t>Function</t>
  </si>
  <si>
    <t>moreInfo</t>
  </si>
  <si>
    <t>backspace</t>
  </si>
  <si>
    <t>tab</t>
  </si>
  <si>
    <t>enter</t>
  </si>
  <si>
    <t>shift</t>
  </si>
  <si>
    <t>ctrl</t>
  </si>
  <si>
    <t>alt</t>
  </si>
  <si>
    <t>pause/break</t>
  </si>
  <si>
    <t>caps lock</t>
  </si>
  <si>
    <t>escape</t>
  </si>
  <si>
    <t>page up</t>
  </si>
  <si>
    <t>page down</t>
  </si>
  <si>
    <t>end</t>
  </si>
  <si>
    <t>home</t>
  </si>
  <si>
    <t>left arrow</t>
  </si>
  <si>
    <t>up arrow</t>
  </si>
  <si>
    <t>right arrow</t>
  </si>
  <si>
    <t>down arrow</t>
  </si>
  <si>
    <t>insert</t>
  </si>
  <si>
    <t>a</t>
  </si>
  <si>
    <t>b</t>
  </si>
  <si>
    <t>c</t>
  </si>
  <si>
    <t>d</t>
  </si>
  <si>
    <t>Code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</si>
  <si>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</si>
  <si>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</si>
  <si>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</si>
  <si>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</si>
  <si>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</si>
  <si>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</si>
  <si>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</si>
  <si>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</si>
  <si>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</si>
  <si>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</si>
  <si>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</si>
  <si>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</si>
  <si>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</si>
  <si>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</si>
  <si>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</si>
  <si>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</si>
  <si>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</si>
  <si>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</si>
  <si>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</si>
  <si>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z</t>
  </si>
  <si>
    <t>left window key</t>
  </si>
  <si>
    <t>right window key</t>
  </si>
  <si>
    <t>select key</t>
  </si>
  <si>
    <t>numpad 0</t>
  </si>
  <si>
    <t>numpad 1</t>
  </si>
  <si>
    <t>numpad 2</t>
  </si>
  <si>
    <t>numpad 3</t>
  </si>
  <si>
    <t>numpad 4</t>
  </si>
  <si>
    <t>numpad 5</t>
  </si>
  <si>
    <t>numpad 6</t>
  </si>
  <si>
    <t>numpad 7</t>
  </si>
  <si>
    <t>numpad 8</t>
  </si>
  <si>
    <t>numpad 9</t>
  </si>
  <si>
    <t>multiply</t>
  </si>
  <si>
    <t>add</t>
  </si>
  <si>
    <t>subtract</t>
  </si>
  <si>
    <t>decimal point</t>
  </si>
  <si>
    <t>divide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</si>
  <si>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</si>
  <si>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</si>
  <si>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</si>
  <si>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</si>
  <si>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</si>
  <si>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</si>
  <si>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</si>
  <si>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</si>
  <si>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</si>
  <si>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</si>
  <si>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</si>
  <si>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</si>
  <si>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num lock</t>
  </si>
  <si>
    <t>scroll lock</t>
  </si>
  <si>
    <t>semi-colon</t>
  </si>
  <si>
    <t>equal sign</t>
  </si>
  <si>
    <t>comma</t>
  </si>
  <si>
    <t>dash</t>
  </si>
  <si>
    <t>period</t>
  </si>
  <si>
    <t>forward slash</t>
  </si>
  <si>
    <t>grave accent</t>
  </si>
  <si>
    <t>open bracket</t>
  </si>
  <si>
    <t>back slash</t>
  </si>
  <si>
    <t>close braket</t>
  </si>
  <si>
    <t>single quote</t>
  </si>
  <si>
    <t>partBelow</t>
  </si>
  <si>
    <t>isTop</t>
  </si>
  <si>
    <t/>
  </si>
  <si>
    <t>Select all the blocks</t>
  </si>
  <si>
    <t>Deselect all the blocks</t>
  </si>
  <si>
    <t>Archivo</t>
  </si>
  <si>
    <t>Organizador de la nube</t>
  </si>
  <si>
    <t>Guardar en máquina local</t>
  </si>
  <si>
    <t>Cargar desde máquina local</t>
  </si>
  <si>
    <t>Comparte en privado</t>
  </si>
  <si>
    <t>Hacer público</t>
  </si>
  <si>
    <t>Impresión</t>
  </si>
  <si>
    <t>Sistema</t>
  </si>
  <si>
    <t>Mostrar biblioteca Uyamak</t>
  </si>
  <si>
    <t>Mostrar editor de modelos</t>
  </si>
  <si>
    <t>Mostrar cajón de simulación</t>
  </si>
  <si>
    <t>Crear subsistema</t>
  </si>
  <si>
    <t>Desmontar subsistema</t>
  </si>
  <si>
    <t>Editar</t>
  </si>
  <si>
    <t>Seleccionar todo</t>
  </si>
  <si>
    <t>No seleccionar ninguno</t>
  </si>
  <si>
    <t>Cortar</t>
  </si>
  <si>
    <t>Copiar</t>
  </si>
  <si>
    <t>Pegar</t>
  </si>
  <si>
    <t>Clon</t>
  </si>
  <si>
    <t>Eliminar</t>
  </si>
  <si>
    <t>Deshacer</t>
  </si>
  <si>
    <t>Rehacer</t>
  </si>
  <si>
    <t>Ver</t>
  </si>
  <si>
    <t>Acercarse</t>
  </si>
  <si>
    <t>Disminuir el zoom</t>
  </si>
  <si>
    <t>Tamaño original</t>
  </si>
  <si>
    <t>Ajustar todo</t>
  </si>
  <si>
    <t>Minimizar subsistema (s)</t>
  </si>
  <si>
    <t>Maximizar subsistema (s)</t>
  </si>
  <si>
    <t>Orden de ejecución</t>
  </si>
  <si>
    <t>Esquema del sistema</t>
  </si>
  <si>
    <t>Ayuda</t>
  </si>
  <si>
    <t>Documentación</t>
  </si>
  <si>
    <t>Ayuda contextual</t>
  </si>
  <si>
    <t>Acerca de</t>
  </si>
  <si>
    <t>El menú ofrece opciones para administrar sus archivos</t>
  </si>
  <si>
    <t>Organice sus sistemas Uyamak en su almacenamiento en la nube</t>
  </si>
  <si>
    <t>Comparte el sistema Uyamak con tus amigos y maestros</t>
  </si>
  <si>
    <t>Publica tu sistema Uyamak al público</t>
  </si>
  <si>
    <t>Imprime el sistema Uyamak</t>
  </si>
  <si>
    <t>El menú ofrece opciones para administrar su sistema Uyamak</t>
  </si>
  <si>
    <t>Muestra el cajón de la biblioteca Uyamak donde puedes encontrar todos los modelos Uyamak</t>
  </si>
  <si>
    <t>Muestra el editor de modelos de Uyamak donde puede ajustar la configuración del modelo</t>
  </si>
  <si>
    <t>Muestra el cajón de simulación donde puede ejecutar el sistema Uyamak</t>
  </si>
  <si>
    <t>Crea el subsistema Uyamak a partir de los modelos Uyamak seleccionados.</t>
  </si>
  <si>
    <t>Desmantela todos los subsistemas Uyamak seleccionados.</t>
  </si>
  <si>
    <t>Menú da opciones para manipular el sistema Uyamak</t>
  </si>
  <si>
    <t>Selecciona todos los bloques</t>
  </si>
  <si>
    <t>Anule la selección de todos los bloques.</t>
  </si>
  <si>
    <t>Copia los modelos Uyamak seleccionados en el portapapeles y elimina los originales.</t>
  </si>
  <si>
    <t>Copia los modelos Uyamak seleccionados en el portapapeles</t>
  </si>
  <si>
    <t>Pega los modelos de portapapeles Uyamak en el sistema Uyamak actual</t>
  </si>
  <si>
    <t>Clona los modelos Uyamak seleccionados</t>
  </si>
  <si>
    <t>Eliminar los modelos y subsistemas Uyamak seleccionados</t>
  </si>
  <si>
    <t>Deshacer los cambios recientes</t>
  </si>
  <si>
    <t>Rehacer los cambios recientes</t>
  </si>
  <si>
    <t>El menú ofrece diferentes opciones para visualizar el sistema Uyamak</t>
  </si>
  <si>
    <t>Se acerca</t>
  </si>
  <si>
    <t>Se aleja</t>
  </si>
  <si>
    <t>Muestra el tamaño original. Algunos artículos pueden estar fuera de la vista. Puedes verlos desplazándote</t>
  </si>
  <si>
    <t>Muestra el sistema Uyamak completo.</t>
  </si>
  <si>
    <t>Minimiza el subsistema seleccionado. Si no se selecciona nada, todos los subsistemas se minimizarán.</t>
  </si>
  <si>
    <t>Maximiza el subsistema seleccionado. Si no se selecciona nada, todos los subsistemas se maximizarán</t>
  </si>
  <si>
    <t>Muestra el orden de simulación y los errores.</t>
  </si>
  <si>
    <t>Muestra el esquema del sistema Uyamak en una pequeña ventana en la esquina superior derecha</t>
  </si>
  <si>
    <t>El menú da acceso a la documentación y ayuda</t>
  </si>
  <si>
    <t>Te lleva a la página de documentación</t>
  </si>
  <si>
    <t>Muestra la documentación para el modelo Uyamak seleccionado.</t>
  </si>
  <si>
    <t>lang_id</t>
  </si>
  <si>
    <t>key_backspace</t>
  </si>
  <si>
    <t>key_tab</t>
  </si>
  <si>
    <t>key_enter</t>
  </si>
  <si>
    <t>key_shift</t>
  </si>
  <si>
    <t>key_ctrl</t>
  </si>
  <si>
    <t>key_alt</t>
  </si>
  <si>
    <t>key_pause</t>
  </si>
  <si>
    <t>key_caps_lock</t>
  </si>
  <si>
    <t>key_escape</t>
  </si>
  <si>
    <t>key_page_up</t>
  </si>
  <si>
    <t>key_page_down</t>
  </si>
  <si>
    <t>key_end</t>
  </si>
  <si>
    <t>key_home</t>
  </si>
  <si>
    <t>key_left_arrow</t>
  </si>
  <si>
    <t>key_up_arrow</t>
  </si>
  <si>
    <t>key_right_arrow</t>
  </si>
  <si>
    <t>key_down_arrow</t>
  </si>
  <si>
    <t>key_insert</t>
  </si>
  <si>
    <t>key_delete</t>
  </si>
  <si>
    <t>key_0</t>
  </si>
  <si>
    <t>key_1</t>
  </si>
  <si>
    <t>key_2</t>
  </si>
  <si>
    <t>key_3</t>
  </si>
  <si>
    <t>key_4</t>
  </si>
  <si>
    <t>key_5</t>
  </si>
  <si>
    <t>key_6</t>
  </si>
  <si>
    <t>key_7</t>
  </si>
  <si>
    <t>key_8</t>
  </si>
  <si>
    <t>key_9</t>
  </si>
  <si>
    <t>key_a</t>
  </si>
  <si>
    <t>key_b</t>
  </si>
  <si>
    <t>key_c</t>
  </si>
  <si>
    <t>key_d</t>
  </si>
  <si>
    <t>key_e</t>
  </si>
  <si>
    <t>key_f</t>
  </si>
  <si>
    <t>key_g</t>
  </si>
  <si>
    <t>key_h</t>
  </si>
  <si>
    <t>key_i</t>
  </si>
  <si>
    <t>key_j</t>
  </si>
  <si>
    <t>key_k</t>
  </si>
  <si>
    <t>key_l</t>
  </si>
  <si>
    <t>key_m</t>
  </si>
  <si>
    <t>key_n</t>
  </si>
  <si>
    <t>key_o</t>
  </si>
  <si>
    <t>key_p</t>
  </si>
  <si>
    <t>key_q</t>
  </si>
  <si>
    <t>key_r</t>
  </si>
  <si>
    <t>key_s</t>
  </si>
  <si>
    <t>key_t</t>
  </si>
  <si>
    <t>key_u</t>
  </si>
  <si>
    <t>key_v</t>
  </si>
  <si>
    <t>key_w</t>
  </si>
  <si>
    <t>key_x</t>
  </si>
  <si>
    <t>key_y</t>
  </si>
  <si>
    <t>key_z</t>
  </si>
  <si>
    <t>key_left_win</t>
  </si>
  <si>
    <t>key_right_win</t>
  </si>
  <si>
    <t>key_select</t>
  </si>
  <si>
    <t>key_num_0</t>
  </si>
  <si>
    <t>key_num_1</t>
  </si>
  <si>
    <t>key_num_2</t>
  </si>
  <si>
    <t>key_num_3</t>
  </si>
  <si>
    <t>key_num_4</t>
  </si>
  <si>
    <t>key_num_5</t>
  </si>
  <si>
    <t>key_num_6</t>
  </si>
  <si>
    <t>key_num_7</t>
  </si>
  <si>
    <t>key_num_8</t>
  </si>
  <si>
    <t>key_num_9</t>
  </si>
  <si>
    <t>key_mul</t>
  </si>
  <si>
    <t>key_add</t>
  </si>
  <si>
    <t>key_sub</t>
  </si>
  <si>
    <t>key_point</t>
  </si>
  <si>
    <t>key_div</t>
  </si>
  <si>
    <t>key_f1</t>
  </si>
  <si>
    <t>key_f2</t>
  </si>
  <si>
    <t>key_f3</t>
  </si>
  <si>
    <t>key_f4</t>
  </si>
  <si>
    <t>key_f5</t>
  </si>
  <si>
    <t>key_f6</t>
  </si>
  <si>
    <t>key_f7</t>
  </si>
  <si>
    <t>key_f8</t>
  </si>
  <si>
    <t>key_f9</t>
  </si>
  <si>
    <t>key_f10</t>
  </si>
  <si>
    <t>key_f11</t>
  </si>
  <si>
    <t>key_f12</t>
  </si>
  <si>
    <t>key_num_lock</t>
  </si>
  <si>
    <t>key_scroll_lock</t>
  </si>
  <si>
    <t>key_semi_colon</t>
  </si>
  <si>
    <t>key_equal_sign</t>
  </si>
  <si>
    <t>key_forward_slash</t>
  </si>
  <si>
    <t>key_grave_accent</t>
  </si>
  <si>
    <t>key_open_bracket</t>
  </si>
  <si>
    <t>key_back_slash</t>
  </si>
  <si>
    <t>key_close_braket</t>
  </si>
  <si>
    <t>key_single_quote</t>
  </si>
  <si>
    <t>Backspace</t>
  </si>
  <si>
    <t>Tab</t>
  </si>
  <si>
    <t>Enter</t>
  </si>
  <si>
    <t>Pause</t>
  </si>
  <si>
    <t>Escape</t>
  </si>
  <si>
    <t>Home</t>
  </si>
  <si>
    <t>Insert</t>
  </si>
  <si>
    <t>I</t>
  </si>
  <si>
    <t>N</t>
  </si>
  <si>
    <t>Q</t>
  </si>
  <si>
    <t>Select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</si>
  <si>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</si>
  <si>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</si>
  <si>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</si>
  <si>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</si>
  <si>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</si>
  <si>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</si>
  <si>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</si>
  <si>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</si>
  <si>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</si>
  <si>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</si>
  <si>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</si>
  <si>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</si>
  <si>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Page up</t>
  </si>
  <si>
    <t>Caps lock</t>
  </si>
  <si>
    <t>Page down</t>
  </si>
  <si>
    <t>Left arrow</t>
  </si>
  <si>
    <t>Up arrow</t>
  </si>
  <si>
    <t>Right arrow</t>
  </si>
  <si>
    <t>Down arrow</t>
  </si>
  <si>
    <t>Num 0</t>
  </si>
  <si>
    <t>Num 1</t>
  </si>
  <si>
    <t>Num 2</t>
  </si>
  <si>
    <t>Num 3</t>
  </si>
  <si>
    <t>Num 4</t>
  </si>
  <si>
    <t>Num 5</t>
  </si>
  <si>
    <t>Num 6</t>
  </si>
  <si>
    <t>Num 7</t>
  </si>
  <si>
    <t>Num 8</t>
  </si>
  <si>
    <t>Num 9</t>
  </si>
  <si>
    <t>key_comma</t>
  </si>
  <si>
    <t>;</t>
  </si>
  <si>
    <t>=</t>
  </si>
  <si>
    <t>,</t>
  </si>
  <si>
    <t>key_dash</t>
  </si>
  <si>
    <t>key_period</t>
  </si>
  <si>
    <t>.</t>
  </si>
  <si>
    <t>/</t>
  </si>
  <si>
    <t>`</t>
  </si>
  <si>
    <t>[</t>
  </si>
  <si>
    <t>]</t>
  </si>
  <si>
    <t>'</t>
  </si>
  <si>
    <t>Num</t>
  </si>
  <si>
    <t>Scroll</t>
  </si>
  <si>
    <t>Num *</t>
  </si>
  <si>
    <t>Num +</t>
  </si>
  <si>
    <t>Num -</t>
  </si>
  <si>
    <t>Num .</t>
  </si>
  <si>
    <t>Num /</t>
  </si>
  <si>
    <t>Left ⊞</t>
  </si>
  <si>
    <t>Right ⊞</t>
  </si>
  <si>
    <t>\\</t>
  </si>
  <si>
    <t>langCode</t>
  </si>
  <si>
    <t>K_0</t>
  </si>
  <si>
    <t>K_1</t>
  </si>
  <si>
    <t>K_2</t>
  </si>
  <si>
    <t>K_3</t>
  </si>
  <si>
    <t>K_4</t>
  </si>
  <si>
    <t>K_5</t>
  </si>
  <si>
    <t>K_6</t>
  </si>
  <si>
    <t>K_7</t>
  </si>
  <si>
    <t>K_8</t>
  </si>
  <si>
    <t>K_9</t>
  </si>
  <si>
    <t>Full screen</t>
  </si>
  <si>
    <t>Makes the app run on full screen</t>
  </si>
  <si>
    <t>Pantalla completa</t>
  </si>
  <si>
    <t>Hace que la aplicación se ejecute en pantalla completa</t>
  </si>
  <si>
    <t>launchFullscreen()</t>
  </si>
  <si>
    <t>duplicate_check</t>
  </si>
  <si>
    <t>settings</t>
  </si>
  <si>
    <t>Settings</t>
  </si>
  <si>
    <t>Configuraciones</t>
  </si>
  <si>
    <t>Theme</t>
  </si>
  <si>
    <t>theme</t>
  </si>
  <si>
    <t>Light mode</t>
  </si>
  <si>
    <t>Dark mode</t>
  </si>
  <si>
    <t>language</t>
  </si>
  <si>
    <t>Language</t>
  </si>
  <si>
    <t>English (United states)</t>
  </si>
  <si>
    <t>Español (México)</t>
  </si>
  <si>
    <t>Tema</t>
  </si>
  <si>
    <t>Modo de luz</t>
  </si>
  <si>
    <t>Modo oscuro</t>
  </si>
  <si>
    <t>Idioma</t>
  </si>
  <si>
    <t>Inglés Estados Unidos)</t>
  </si>
  <si>
    <t>theme-dark</t>
  </si>
  <si>
    <t>theme-light</t>
  </si>
  <si>
    <t>Fuentes</t>
  </si>
  <si>
    <t>Las fuentes generan las señales para alimentar al modelo.</t>
  </si>
  <si>
    <t>Fregaderos</t>
  </si>
  <si>
    <t>Los sumideros generan la información. Pueden ser gráficos o descarga de archivos</t>
  </si>
  <si>
    <t>Operaciones básicas</t>
  </si>
  <si>
    <t>Operaciones lógicas</t>
  </si>
  <si>
    <t>Las operaciones lógicas están disponibles en esta sección.</t>
  </si>
  <si>
    <t>Tiempo continuo</t>
  </si>
  <si>
    <t>Las operaciones dinámicas están disponibles aquí para operaciones de tiempo continuo</t>
  </si>
  <si>
    <t>Tiempo discreto</t>
  </si>
  <si>
    <t>Las operaciones dinámicas están disponibles aquí para operaciones de tiempo discreto</t>
  </si>
  <si>
    <t>Herramientas de hardware</t>
  </si>
  <si>
    <t>Los bloques de E / S de hardware están disponibles aquí</t>
  </si>
  <si>
    <t>Lets you change settings</t>
  </si>
  <si>
    <t>Le permite cambiar configuraciones</t>
  </si>
  <si>
    <t>fas fa-cogs</t>
  </si>
  <si>
    <t>settingsVue.showGUI()</t>
  </si>
  <si>
    <t>hide_left_desc</t>
  </si>
  <si>
    <t>hide_right_desc</t>
  </si>
  <si>
    <t>Hides the left pane</t>
  </si>
  <si>
    <t>Hides the right pane</t>
  </si>
  <si>
    <t>sblocks</t>
  </si>
  <si>
    <t>Search blocks…</t>
  </si>
  <si>
    <t>Buscar bloques…</t>
  </si>
  <si>
    <t>#ffffff</t>
  </si>
  <si>
    <t>umk_1585601356516</t>
  </si>
  <si>
    <t>keywords</t>
  </si>
  <si>
    <t>sum add addition summation sumar aggregar plus</t>
  </si>
  <si>
    <t>Suma</t>
  </si>
  <si>
    <t>Agrega dos números, vectores o matrices.</t>
  </si>
  <si>
    <t>&lt;line x1='20' y1='50' x2='80' y2='50' /&gt;&lt;line x1='50' y1='20' x2='50' y2='80'/&gt;</t>
  </si>
  <si>
    <t>Adds two number, vectors, or matrices.</t>
  </si>
  <si>
    <t>sResults</t>
  </si>
  <si>
    <t>Search results</t>
  </si>
  <si>
    <t>Resultados de la búsqueda</t>
  </si>
  <si>
    <t>sResDesc</t>
  </si>
  <si>
    <t>Blocks matching the search query.</t>
  </si>
  <si>
    <t>Bloques que coinciden con la consulta de búsqueda.</t>
  </si>
  <si>
    <t>gridLines</t>
  </si>
  <si>
    <t>gLinesMinor</t>
  </si>
  <si>
    <t>gLinesMajor</t>
  </si>
  <si>
    <t>gLinesMega</t>
  </si>
  <si>
    <t>Major</t>
  </si>
  <si>
    <t>Mega</t>
  </si>
  <si>
    <t>Minor</t>
  </si>
  <si>
    <t>Líneas de cuadrícula</t>
  </si>
  <si>
    <t>Menor</t>
  </si>
  <si>
    <t>Mayor</t>
  </si>
  <si>
    <t>Gridlines</t>
  </si>
  <si>
    <t>navi</t>
  </si>
  <si>
    <t>Navigation</t>
  </si>
  <si>
    <t>Navegación</t>
  </si>
  <si>
    <t>gridSize</t>
  </si>
  <si>
    <t>showOutline</t>
  </si>
  <si>
    <t>Grid size</t>
  </si>
  <si>
    <t>Show outline</t>
  </si>
  <si>
    <t>Enable guides</t>
  </si>
  <si>
    <t>oSettings</t>
  </si>
  <si>
    <t>Other settings</t>
  </si>
  <si>
    <t>guidesEnabled</t>
  </si>
  <si>
    <t>Tamaño de la cuadrícula</t>
  </si>
  <si>
    <t>Mostrar esquema</t>
  </si>
  <si>
    <t>Habilitar guías</t>
  </si>
  <si>
    <t>Otros ajustes</t>
  </si>
  <si>
    <t>fab fa-vine</t>
  </si>
  <si>
    <t>Variable manager</t>
  </si>
  <si>
    <t>varManagerVue.showGUI()</t>
  </si>
  <si>
    <t>vManager</t>
  </si>
  <si>
    <t>var</t>
  </si>
  <si>
    <t>value</t>
  </si>
  <si>
    <t>Variable</t>
  </si>
  <si>
    <t>Value</t>
  </si>
  <si>
    <t>Administrador de variables</t>
  </si>
  <si>
    <t>Valor</t>
  </si>
  <si>
    <t>errSameBlkConn</t>
  </si>
  <si>
    <t>errOutOutConn</t>
  </si>
  <si>
    <t>errInpInpConn</t>
  </si>
  <si>
    <t>errOnlyOneInp</t>
  </si>
  <si>
    <t>Output cannot be connected to another output</t>
  </si>
  <si>
    <t>Only one input can be connected per terminal</t>
  </si>
  <si>
    <t>La salida no se puede conectar a otra salida</t>
  </si>
  <si>
    <t>Solo se puede conectar una entrada por terminal</t>
  </si>
  <si>
    <t>constants</t>
  </si>
  <si>
    <t>variables</t>
  </si>
  <si>
    <t>Constants</t>
  </si>
  <si>
    <t>Variables</t>
  </si>
  <si>
    <t>Constantes</t>
  </si>
  <si>
    <t>accept</t>
  </si>
  <si>
    <t>cPolicyText</t>
  </si>
  <si>
    <t>Accept</t>
  </si>
  <si>
    <t>We use cookies to improve the performance.</t>
  </si>
  <si>
    <t>Utilizamos cookies para mejorar el rendimiento.</t>
  </si>
  <si>
    <t>Aceptar</t>
  </si>
  <si>
    <t>Infinity</t>
  </si>
  <si>
    <t>LN2</t>
  </si>
  <si>
    <t>LN10</t>
  </si>
  <si>
    <t>LOG2E</t>
  </si>
  <si>
    <t>LOG10E</t>
  </si>
  <si>
    <t>NaN</t>
  </si>
  <si>
    <t>null</t>
  </si>
  <si>
    <t>phi</t>
  </si>
  <si>
    <t>pi</t>
  </si>
  <si>
    <t>PI</t>
  </si>
  <si>
    <t>SQRT1_2</t>
  </si>
  <si>
    <t>SQRT2</t>
  </si>
  <si>
    <t>tau</t>
  </si>
  <si>
    <t>mod</t>
  </si>
  <si>
    <t>to</t>
  </si>
  <si>
    <t>in</t>
  </si>
  <si>
    <t>and</t>
  </si>
  <si>
    <t>xor</t>
  </si>
  <si>
    <t>or</t>
  </si>
  <si>
    <t>not</t>
  </si>
  <si>
    <t>undefined</t>
  </si>
  <si>
    <t>aNewVar</t>
  </si>
  <si>
    <t>Add a new variable</t>
  </si>
  <si>
    <t>Agregar una nueva variable</t>
  </si>
  <si>
    <t>save</t>
  </si>
  <si>
    <t>cancel</t>
  </si>
  <si>
    <t>Save</t>
  </si>
  <si>
    <t>Cancel</t>
  </si>
  <si>
    <t>Guardar</t>
  </si>
  <si>
    <t>Cancelar</t>
  </si>
  <si>
    <t>umk_1586108946421</t>
  </si>
  <si>
    <t>constant</t>
  </si>
  <si>
    <t>A constant of scalar, vector or a matrix</t>
  </si>
  <si>
    <t>Constante</t>
  </si>
  <si>
    <t>Una constante de escalar, vector o una matriz</t>
  </si>
  <si>
    <t>errUblPlcBlock</t>
  </si>
  <si>
    <t>Unable to use this block. Please contact our support team.</t>
  </si>
  <si>
    <t>No se puede usar este bloque. Por favor contacte a nuestro equipo de soporte.</t>
  </si>
  <si>
    <t>label</t>
  </si>
  <si>
    <t>Etiqueta</t>
  </si>
  <si>
    <t>Input terminals count</t>
  </si>
  <si>
    <t>noOfOuts</t>
  </si>
  <si>
    <t>noOfIns</t>
  </si>
  <si>
    <t>Output terminals count</t>
  </si>
  <si>
    <t>Conteo de terminales de entrada</t>
  </si>
  <si>
    <t>Los terminales de salida cuentan</t>
  </si>
  <si>
    <t>preview</t>
  </si>
  <si>
    <t>Preview</t>
  </si>
  <si>
    <t>Vista previa</t>
  </si>
  <si>
    <t>params</t>
  </si>
  <si>
    <t>functionality</t>
  </si>
  <si>
    <t>Functionality</t>
  </si>
  <si>
    <t>aChanges</t>
  </si>
  <si>
    <t>rChanges</t>
  </si>
  <si>
    <t>Apply changes</t>
  </si>
  <si>
    <t>orientation</t>
  </si>
  <si>
    <t>Orientation</t>
  </si>
  <si>
    <t>Reset Changes</t>
  </si>
  <si>
    <t>Parámetros</t>
  </si>
  <si>
    <t>Funcionalidad</t>
  </si>
  <si>
    <t>Aplicar los cambios</t>
  </si>
  <si>
    <t>Restablecer cambios</t>
  </si>
  <si>
    <t>Orientación</t>
  </si>
  <si>
    <t>Show  labels</t>
  </si>
  <si>
    <t>showLabels</t>
  </si>
  <si>
    <t>Mostrar etiquetas</t>
  </si>
  <si>
    <t>Nombre</t>
  </si>
  <si>
    <t>errUnablGrping</t>
  </si>
  <si>
    <t>Unable to group the selected items</t>
  </si>
  <si>
    <t>subModel</t>
  </si>
  <si>
    <t>Sub model</t>
  </si>
  <si>
    <t>No se pueden agrupar los elementos seleccionados</t>
  </si>
  <si>
    <t>Submodelo</t>
  </si>
  <si>
    <t>document.getElementById('btn-edit').click()</t>
  </si>
  <si>
    <t>document.getElementById('btn-blocks').click()</t>
  </si>
  <si>
    <t>mainSystem.graph.createSubModel()</t>
  </si>
  <si>
    <t>mainSystem.graph.ungroupSubModel()</t>
  </si>
  <si>
    <t>mainSystem.graph.setSelectionCells(mainSystem.graph.getChildCells())</t>
  </si>
  <si>
    <t>mainSystem.graph.setSelectionCells([])</t>
  </si>
  <si>
    <t>mainSystem.graph.foldItems(true)</t>
  </si>
  <si>
    <t>mainSystem.graph.foldItems(false)</t>
  </si>
  <si>
    <t>mainSystem.navigate('zoomOut')</t>
  </si>
  <si>
    <t>mainSystem.navigate('zoomIn')</t>
  </si>
  <si>
    <t>mainSystem.navigate('zoomActual')</t>
  </si>
  <si>
    <t>mainSystem.navigate('fit')</t>
  </si>
  <si>
    <t>Rotate clockwise</t>
  </si>
  <si>
    <t>Rotates the selected blocks in the clockwise direction</t>
  </si>
  <si>
    <t>Rotates the selected blocks in the counter-clockwise direction</t>
  </si>
  <si>
    <t>Rotate counter-clockwise</t>
  </si>
  <si>
    <t>Girar en el sentido de las agujas del reloj</t>
  </si>
  <si>
    <t>Girar en el sentido contrario de las agujas del reloj</t>
  </si>
  <si>
    <t>Gira los bloques seleccionados en el sentido de las agujas del reloj.</t>
  </si>
  <si>
    <t>Gira los bloques seleccionados en sentido antihorario</t>
  </si>
  <si>
    <t>editorVue.rotateAll(false)</t>
  </si>
  <si>
    <t>editorVue.rotateAll(true)</t>
  </si>
  <si>
    <t>enterFileName</t>
  </si>
  <si>
    <t>myUmkModel</t>
  </si>
  <si>
    <t>myUyamakModel</t>
  </si>
  <si>
    <t>miModeloDeUyamak</t>
  </si>
  <si>
    <t>Enter a filename to save</t>
  </si>
  <si>
    <t>Ingrese un nombre de archivo para guardar</t>
  </si>
  <si>
    <t>fas fa-location-arrow</t>
  </si>
  <si>
    <t>Navigate</t>
  </si>
  <si>
    <t>Navegar</t>
  </si>
  <si>
    <t>Contains the commands to navigates through the graph</t>
  </si>
  <si>
    <t>Contiene los comandos para navegar a través del gráfico.</t>
  </si>
  <si>
    <t>Bring to front</t>
  </si>
  <si>
    <t>Send to back</t>
  </si>
  <si>
    <t>Traer al frente</t>
  </si>
  <si>
    <t>Mandado hacia atras</t>
  </si>
  <si>
    <t>Bring the selected blocks to the front</t>
  </si>
  <si>
    <t>Send the selected blocks to back</t>
  </si>
  <si>
    <t>Trae los bloques seleccionados al frente</t>
  </si>
  <si>
    <t>Enviar los bloques seleccionados al fondo</t>
  </si>
  <si>
    <t>mainSystem.graph.orderCells(false);mainSystem.refresh()</t>
  </si>
  <si>
    <t>mainSystem.graph.orderCells(true);mainSystem.refresh()</t>
  </si>
  <si>
    <t>uyamakCbManager.copy()</t>
  </si>
  <si>
    <t>uyamakCbManager.paste()</t>
  </si>
  <si>
    <t>uyamakCbManager.clone()</t>
  </si>
  <si>
    <t>uyamakCbManager.cut()</t>
  </si>
  <si>
    <t>class</t>
  </si>
  <si>
    <t>col-background-0</t>
  </si>
  <si>
    <t>col-background-1</t>
  </si>
  <si>
    <t>col-text-0</t>
  </si>
  <si>
    <t>col-text-1</t>
  </si>
  <si>
    <t>dark</t>
  </si>
  <si>
    <t>JS</t>
  </si>
  <si>
    <t>CSS</t>
  </si>
  <si>
    <t>light</t>
  </si>
  <si>
    <t>umk_1586738484106</t>
  </si>
  <si>
    <t>graph display output salida grafica</t>
  </si>
  <si>
    <t>Scope</t>
  </si>
  <si>
    <t>Scopio</t>
  </si>
  <si>
    <t>rRealTime</t>
  </si>
  <si>
    <t>endTime</t>
  </si>
  <si>
    <t>stepSize</t>
  </si>
  <si>
    <t>End time in seconds (negative for &amp;infin;)</t>
  </si>
  <si>
    <t>run</t>
  </si>
  <si>
    <t>stop</t>
  </si>
  <si>
    <t>pause</t>
  </si>
  <si>
    <t>nSteps</t>
  </si>
  <si>
    <t>Run simulation</t>
  </si>
  <si>
    <t>Stop simulation</t>
  </si>
  <si>
    <t>Pause simulation</t>
  </si>
  <si>
    <t>Next N-Steps to the simulation</t>
  </si>
  <si>
    <t>Run at real-time</t>
  </si>
  <si>
    <t>Step size in milliseconds</t>
  </si>
  <si>
    <t>Corre en tiempo real</t>
  </si>
  <si>
    <t>Tamaño de paso en milisegundos</t>
  </si>
  <si>
    <t>Ejecutar simulación</t>
  </si>
  <si>
    <t>Detener la simulación</t>
  </si>
  <si>
    <t>Pausa simulación</t>
  </si>
  <si>
    <t>N pasos siguientes a la simulación</t>
  </si>
  <si>
    <t>Tiempo de finalización en segundos (negativo para &amp;infin;)</t>
  </si>
  <si>
    <t>mainSystem.navigate('up')</t>
  </si>
  <si>
    <t>mainSystem.navigate('down')</t>
  </si>
  <si>
    <t>mainSystem.navigate('right')</t>
  </si>
  <si>
    <t>mainSystem.navigate('left')</t>
  </si>
  <si>
    <t>far fa-file</t>
  </si>
  <si>
    <t>New Uyamak model</t>
  </si>
  <si>
    <t>Lets you create a new Uyamak model</t>
  </si>
  <si>
    <t>Nuevo modelo de Uyamak</t>
  </si>
  <si>
    <t>Le permite crear un nuevo modelo Uyamak</t>
  </si>
  <si>
    <t>confirmLoss</t>
  </si>
  <si>
    <t>This operation will close the present model.\nAny unsaved data will be lost.\n\nDo you want to proceed?</t>
  </si>
  <si>
    <t>Esta operación cerrará el modelo actual.\nCualquier información no guardada se perderá.\n\nQuieres proceder?</t>
  </si>
  <si>
    <t>uyamakFileManager.newModel()</t>
  </si>
  <si>
    <t>errorGen</t>
  </si>
  <si>
    <t>Error: Unable to perform this action</t>
  </si>
  <si>
    <t>Error: no se puede realizar esta acción</t>
  </si>
  <si>
    <t>simVue.displayExecutionOrder()</t>
  </si>
  <si>
    <t>fas fa-sync-alt</t>
  </si>
  <si>
    <t>fas fa-sync-alt fa-flip-horizontal</t>
  </si>
  <si>
    <t>umk_1586901838454</t>
  </si>
  <si>
    <t>Monitor</t>
  </si>
  <si>
    <t>Displays the instantaneous result</t>
  </si>
  <si>
    <t>Muestra el resultado instantáneo.</t>
  </si>
  <si>
    <t>&lt;text x='50' y='57' dominant-baseline='middle' text-anchor='middle' font-size='5em' stroke-width='4'&gt;#&lt;/text&gt;</t>
  </si>
  <si>
    <t>aLoop</t>
  </si>
  <si>
    <t>showExeOrder</t>
  </si>
  <si>
    <t>Show execution order</t>
  </si>
  <si>
    <t>Mostrar orden de ejecución</t>
  </si>
  <si>
    <t>fas fa-clone fa-rotate-180</t>
  </si>
  <si>
    <t>Error: Possible algebraic loop</t>
  </si>
  <si>
    <t>Error: Posible lazo algebraico</t>
  </si>
  <si>
    <t>mDesign</t>
  </si>
  <si>
    <t>mSim</t>
  </si>
  <si>
    <t>mSimPause</t>
  </si>
  <si>
    <t>Design mode</t>
  </si>
  <si>
    <t>Simulating</t>
  </si>
  <si>
    <t>Simulation paused</t>
  </si>
  <si>
    <t>Modo de diseño</t>
  </si>
  <si>
    <t>Simulando</t>
  </si>
  <si>
    <t>Simulación en pausa</t>
  </si>
  <si>
    <t>There is no model to simulate. Pull blocks from the library and place on the graph.</t>
  </si>
  <si>
    <t>Navegador incompatible. Uyanmak requiere un navegador moderno para ejecutar la simulación.</t>
  </si>
  <si>
    <t>No hay modelo para simular. Extraiga bloques de la biblioteca y colóquelos en el gráfico.</t>
  </si>
  <si>
    <t>Unable to ungroup the selected items</t>
  </si>
  <si>
    <t>No se pueden desagrupar los elementos seleccionados</t>
  </si>
  <si>
    <t>Incompatible browser. Uyamak requires a modern browser to run the simulation.</t>
  </si>
  <si>
    <t>Unable to decode the parameter value. Try updating the variables.</t>
  </si>
  <si>
    <t>No se puede decodificar el valor del parámetro. Intenta actualizar las variables.</t>
  </si>
  <si>
    <t>Some parameters are incorrect. Please edit blocks with warning symbol.</t>
  </si>
  <si>
    <t>Algunos parámetros son incorrectos. Edite los bloques con el símbolo de advertencia.</t>
  </si>
  <si>
    <t>k169</t>
  </si>
  <si>
    <t>k170</t>
  </si>
  <si>
    <t>k171</t>
  </si>
  <si>
    <t>k172</t>
  </si>
  <si>
    <t>k173</t>
  </si>
  <si>
    <t>simErr</t>
  </si>
  <si>
    <t>Simulation error</t>
  </si>
  <si>
    <t>Error de simulación</t>
  </si>
  <si>
    <t>chartLang</t>
  </si>
  <si>
    <t>en</t>
  </si>
  <si>
    <t>es</t>
  </si>
  <si>
    <t>Record output for every X samples</t>
  </si>
  <si>
    <t>Grabar salida para cada X muestras</t>
  </si>
  <si>
    <t>sOEvery</t>
  </si>
  <si>
    <t>mHis</t>
  </si>
  <si>
    <t>History points in the memory per second</t>
  </si>
  <si>
    <t>Puntos de historia en la memoria por segundo</t>
  </si>
  <si>
    <t>hideGraphText</t>
  </si>
  <si>
    <t>errorParsing</t>
  </si>
  <si>
    <t>Unable to parse the input. If required, update your variables in the variable manager.</t>
  </si>
  <si>
    <t>No se puede analizar la entrada. Si es necesario, actualice sus variables en el administrador de variables.</t>
  </si>
  <si>
    <t>errParamEntry</t>
  </si>
  <si>
    <t>Parameter error</t>
  </si>
  <si>
    <t>Error de parametro</t>
  </si>
  <si>
    <t>errDetails</t>
  </si>
  <si>
    <t>errCompat</t>
  </si>
  <si>
    <t>Unknown error. Please contact the support team if  it continous.</t>
  </si>
  <si>
    <t>Compatibility error. We cannot proceed to save. Please a look at the functionality and correct your parameters.</t>
  </si>
  <si>
    <t>Error desconocido. Póngase en contacto con el equipo de soporte si es continuo.</t>
  </si>
  <si>
    <t>Error de compatibilidad No podemos proceder a guardar. Observe la funcionalidad y corrija sus parámetros.</t>
  </si>
  <si>
    <t>Hide text inside the blocks</t>
  </si>
  <si>
    <t>Ocultar texto dentro de los bloques</t>
  </si>
  <si>
    <t>snapToGrid</t>
  </si>
  <si>
    <t>Snap to grid</t>
  </si>
  <si>
    <t>Encajar a la cuadricula</t>
  </si>
  <si>
    <t>umk_1588580715574</t>
  </si>
  <si>
    <t>Sine</t>
  </si>
  <si>
    <t>Generates a sine wave</t>
  </si>
  <si>
    <t>Seno</t>
  </si>
  <si>
    <t>Genera una onda sinusoidal</t>
  </si>
  <si>
    <t>sine wave trigonometry trigonometría onda sinusoidal</t>
  </si>
  <si>
    <t>col-border-1</t>
  </si>
  <si>
    <t>col-border-0</t>
  </si>
  <si>
    <t>col-background-2</t>
  </si>
  <si>
    <t>col-background-3</t>
  </si>
  <si>
    <t>mode</t>
  </si>
  <si>
    <t>col-dis-back</t>
  </si>
  <si>
    <t>col-dis-fore</t>
  </si>
  <si>
    <t>#000000</t>
  </si>
  <si>
    <t>#b3e5fc</t>
  </si>
  <si>
    <t>#e6ffff</t>
  </si>
  <si>
    <t>#82b3c9</t>
  </si>
  <si>
    <t>#e1bee7</t>
  </si>
  <si>
    <t>#fff1ff</t>
  </si>
  <si>
    <t>#af8eb5</t>
  </si>
  <si>
    <t>#dc8665</t>
  </si>
  <si>
    <t>#cd7672</t>
  </si>
  <si>
    <t>#1a237e</t>
  </si>
  <si>
    <t>#534bae</t>
  </si>
  <si>
    <t>#000051</t>
  </si>
  <si>
    <t>#004d40</t>
  </si>
  <si>
    <t>#39796b</t>
  </si>
  <si>
    <t>#00251a</t>
  </si>
  <si>
    <t>#b71c1c</t>
  </si>
  <si>
    <t>#7f0000</t>
  </si>
  <si>
    <t>#f5f5f5</t>
  </si>
  <si>
    <t>#c2c2c2</t>
  </si>
  <si>
    <t>#cfd8dc</t>
  </si>
  <si>
    <t>#9ea7aa</t>
  </si>
  <si>
    <t>#37474f</t>
  </si>
  <si>
    <t>#62727b</t>
  </si>
  <si>
    <t>#102027</t>
  </si>
  <si>
    <t>#424242</t>
  </si>
  <si>
    <t>#6d6d6d</t>
  </si>
  <si>
    <t>#1b1b1b</t>
  </si>
  <si>
    <t>#f8bbd0</t>
  </si>
  <si>
    <t>#ffeeff</t>
  </si>
  <si>
    <t>#c48b9f</t>
  </si>
  <si>
    <t>#ef9a9a</t>
  </si>
  <si>
    <t>#ffcccb</t>
  </si>
  <si>
    <t>#ba6b6c</t>
  </si>
  <si>
    <t>#7b1fa2</t>
  </si>
  <si>
    <t>#ae52d4</t>
  </si>
  <si>
    <t>#4a0072</t>
  </si>
  <si>
    <t>#4527a0</t>
  </si>
  <si>
    <t>#7953d2</t>
  </si>
  <si>
    <t>#000070</t>
  </si>
  <si>
    <t>#bbdefb</t>
  </si>
  <si>
    <t>#eeffff</t>
  </si>
  <si>
    <t>#8aacc8</t>
  </si>
  <si>
    <t>#9fa8da</t>
  </si>
  <si>
    <t>#d1d9ff</t>
  </si>
  <si>
    <t>#6f79a8</t>
  </si>
  <si>
    <t>#0097a7</t>
  </si>
  <si>
    <t>#56c8d8</t>
  </si>
  <si>
    <t>#006978</t>
  </si>
  <si>
    <t>#0277bd</t>
  </si>
  <si>
    <t>#58a5f0</t>
  </si>
  <si>
    <t>#004c8c</t>
  </si>
  <si>
    <t>#2e7d32</t>
  </si>
  <si>
    <t>#60ad5e</t>
  </si>
  <si>
    <t>#005005</t>
  </si>
  <si>
    <t>Dark theme 2</t>
  </si>
  <si>
    <t>Dark theme 3</t>
  </si>
  <si>
    <t>Dark theme 4</t>
  </si>
  <si>
    <t>Light theme 2</t>
  </si>
  <si>
    <t>Light theme 3</t>
  </si>
  <si>
    <t>Light theme 4</t>
  </si>
  <si>
    <t>Dark theme 5</t>
  </si>
  <si>
    <t>dark2</t>
  </si>
  <si>
    <t>dark3</t>
  </si>
  <si>
    <t>dark4</t>
  </si>
  <si>
    <t>dark5</t>
  </si>
  <si>
    <t>light2</t>
  </si>
  <si>
    <t>light3</t>
  </si>
  <si>
    <t>light4</t>
  </si>
  <si>
    <t>light5</t>
  </si>
  <si>
    <t>#80d8ff</t>
  </si>
  <si>
    <t>#b5ffff</t>
  </si>
  <si>
    <t>#49a7cc</t>
  </si>
  <si>
    <t>#b388ff</t>
  </si>
  <si>
    <t>#e7b9ff</t>
  </si>
  <si>
    <t>#805acb</t>
  </si>
  <si>
    <t>Light theme 5</t>
  </si>
  <si>
    <t>Tema oscuro 2</t>
  </si>
  <si>
    <t>Tema oscuro 3</t>
  </si>
  <si>
    <t>Tema oscuro 4</t>
  </si>
  <si>
    <t>Tema oscuro 5</t>
  </si>
  <si>
    <t>Tema ligero 2</t>
  </si>
  <si>
    <t>Tema ligero 3</t>
  </si>
  <si>
    <t>Tema ligero 4</t>
  </si>
  <si>
    <t>Tema ligero 5</t>
  </si>
  <si>
    <t>umk_1588715754701</t>
  </si>
  <si>
    <t>gain ganancia</t>
  </si>
  <si>
    <t>Gain</t>
  </si>
  <si>
    <t>Ganancia</t>
  </si>
  <si>
    <t>Multiplies the input by a given constant.</t>
  </si>
  <si>
    <t>Multiplica la entrada por una constante dada.</t>
  </si>
  <si>
    <t>umk_1588716024472</t>
  </si>
  <si>
    <t>Integral</t>
  </si>
  <si>
    <t>Integrates the input with respect to the simulation time.</t>
  </si>
  <si>
    <t>Integra la entrada con respecto al tiempo de simulación.</t>
  </si>
  <si>
    <t>umk_1588716918922</t>
  </si>
  <si>
    <t>umk_1588723460913</t>
  </si>
  <si>
    <t>Join rows</t>
  </si>
  <si>
    <t>Join columns</t>
  </si>
  <si>
    <t>Unir filas</t>
  </si>
  <si>
    <t>Unir columnas</t>
  </si>
  <si>
    <t>Concatenate the rows of two matrices to become larger matrix</t>
  </si>
  <si>
    <t>Concatenate the columns of two matrices to become larger matrix</t>
  </si>
  <si>
    <t>Concatenar las filas de dos matrices para convertirse en una matriz más grande</t>
  </si>
  <si>
    <t>Concatenar las columnas de dos matrices para convertirse en una matriz más grande</t>
  </si>
  <si>
    <t>&lt;rect x='25' y='10' width='20' height='20'/&gt;&lt;rect x='55' y='10' width='20' height='20'/&gt;&lt;rect x='30' y='70' width='40' height='20'/&gt;&lt;line x1='50' y1='40' x2= '50' y2='60'/&gt;&lt;line x1='45' y1='55' x2= '50' y2='60'/&gt;&lt;line x1='55' y1='55' x2= '50' y2='60'/&gt;</t>
  </si>
  <si>
    <t>&lt;rect x='10' y='25' width='20' height='20'/&gt;&lt;rect x='10' y='55' width='20' height='20'/&gt;&lt;rect x='70' y='30' width='20' height='40'/&gt;&lt;line x1='40' y1='50' x2= '60' y2='50'/&gt;&lt;line x1='55' y1='45' x2= '60' y2='50'/&gt;&lt;line x1='55' y1='55' x2= '60' y2='50'/&gt;</t>
  </si>
  <si>
    <t>Tema oscuro 1</t>
  </si>
  <si>
    <t>Tema ligero 1 (predeterminado)</t>
  </si>
  <si>
    <t>Dark theme 1</t>
  </si>
  <si>
    <t>Light theme 1 (default)</t>
  </si>
  <si>
    <t>Show variable manager</t>
  </si>
  <si>
    <t>Mostrar administrador de variables</t>
  </si>
  <si>
    <t>Displays the system constants and lets you add variables to use in your models</t>
  </si>
  <si>
    <t>Muestra las constantes del sistema y le permite agregar variables para usar en sus modelos</t>
  </si>
  <si>
    <t>saveToLMach</t>
  </si>
  <si>
    <t>loadFrmLMach</t>
  </si>
  <si>
    <t>vars</t>
  </si>
  <si>
    <t>guiSet</t>
  </si>
  <si>
    <t>simSet</t>
  </si>
  <si>
    <t>model</t>
  </si>
  <si>
    <t>locFMgr</t>
  </si>
  <si>
    <t>Local file manager</t>
  </si>
  <si>
    <t>Open</t>
  </si>
  <si>
    <t>import</t>
  </si>
  <si>
    <t>Import</t>
  </si>
  <si>
    <t>open</t>
  </si>
  <si>
    <t>Simulation settings</t>
  </si>
  <si>
    <t>Editor settings</t>
  </si>
  <si>
    <t>Uyamak model</t>
  </si>
  <si>
    <t>Importar</t>
  </si>
  <si>
    <t>Abierto</t>
  </si>
  <si>
    <t>Modelo Uyamak</t>
  </si>
  <si>
    <t>Configuraciones de simulación</t>
  </si>
  <si>
    <t>Configuraciones del editor</t>
  </si>
  <si>
    <t>fas fa-save</t>
  </si>
  <si>
    <t>File manager</t>
  </si>
  <si>
    <t>Lets you import, open and save the model, variables, and settings</t>
  </si>
  <si>
    <t>Administrador de archivos</t>
  </si>
  <si>
    <t>Le permite importar, abrir y guardar el modelo, las variables y la configuración</t>
  </si>
  <si>
    <t>sFile</t>
  </si>
  <si>
    <t>Select a file by clicking here or you can drag and drop your file here.</t>
  </si>
  <si>
    <t>Seleccione un archivo haciendo clic aquí o puede arrastrar y soltar su archivo aquí.</t>
  </si>
  <si>
    <t>uyamak.lFManagerVue.showGUI()</t>
  </si>
  <si>
    <t>File is too big to open. Contact support for more information.</t>
  </si>
  <si>
    <t>El archivo es demasiado grande para abrir. Póngase en contacto con el soporte para más información.</t>
  </si>
  <si>
    <t>The selected file is empty or corrupted</t>
  </si>
  <si>
    <t>El archivo seleccionado está vacío o dañado.</t>
  </si>
  <si>
    <t>errFSize</t>
  </si>
  <si>
    <t>errCrpt</t>
  </si>
  <si>
    <t>fas fa-cloud</t>
  </si>
  <si>
    <t>&lt;path d='M 20 50 q 15 -70 30 00 q 15 70 30 0'/&gt;</t>
  </si>
  <si>
    <t>&lt;polyline points='10,90 50,90 50,10 90,10'/&gt;</t>
  </si>
  <si>
    <t>&lt;polyline points='10,50 50,10 50,90 90,50'/&gt;</t>
  </si>
  <si>
    <t>&lt;polyline points='10,50 10,10 50,10 50,90 90,90 90,50'/&gt;</t>
  </si>
  <si>
    <t>&lt;polyline points='10,90 30,90 90,10'/&gt;</t>
  </si>
  <si>
    <t>Step</t>
  </si>
  <si>
    <t>Ramp</t>
  </si>
  <si>
    <t>Sawtooth</t>
  </si>
  <si>
    <t>Square</t>
  </si>
  <si>
    <t>Generates a step function</t>
  </si>
  <si>
    <t>Generates a ramp function</t>
  </si>
  <si>
    <t>Genera una función de paso</t>
  </si>
  <si>
    <t>Genera una función de rampa</t>
  </si>
  <si>
    <t>umk_1589037918939</t>
  </si>
  <si>
    <t>umk_1589037930037</t>
  </si>
  <si>
    <t>umk_1589037943338</t>
  </si>
  <si>
    <t>umk_1589037990977</t>
  </si>
  <si>
    <t>&lt;polyline points='10,50 30,10 70,90 90,50'/&gt;</t>
  </si>
  <si>
    <t>umk_1589128861088</t>
  </si>
  <si>
    <t>Triangular</t>
  </si>
  <si>
    <t>Generates a sawtooth wave</t>
  </si>
  <si>
    <t>Generates a square wave</t>
  </si>
  <si>
    <t>Genera una onda cuadrada</t>
  </si>
  <si>
    <t>Genera una onda de diente de sierra</t>
  </si>
  <si>
    <t>Generates a triangular wave</t>
  </si>
  <si>
    <t>Genera una onda triangular</t>
  </si>
  <si>
    <t>mat</t>
  </si>
  <si>
    <t>Matrix operations</t>
  </si>
  <si>
    <t>Array, Matrix can be built, or modified using these operations</t>
  </si>
  <si>
    <t>Operaciones matriciales</t>
  </si>
  <si>
    <t>Array, Matrix se puede construir o modificar usando estas operaciones</t>
  </si>
  <si>
    <t>Basic mathematical operations are available in this section</t>
  </si>
  <si>
    <t>Las operaciones matemáticas básicas están disponibles en esta sección.</t>
  </si>
  <si>
    <t>fas fa-plug</t>
  </si>
  <si>
    <t>fas fa-lightbulb</t>
  </si>
  <si>
    <t>fas fa-calculator</t>
  </si>
  <si>
    <t>fas fa-th</t>
  </si>
  <si>
    <t>fas fa-minus</t>
  </si>
  <si>
    <t>fas fa-ellipsis-h</t>
  </si>
  <si>
    <t>fas fa-microchip</t>
  </si>
  <si>
    <t>fab fa-usb</t>
  </si>
  <si>
    <t>umk_1589169167396</t>
  </si>
  <si>
    <t>umk_1589169156908</t>
  </si>
  <si>
    <t>umk_1589169187265</t>
  </si>
  <si>
    <t>umk_1589169209121</t>
  </si>
  <si>
    <t>AND Gate</t>
  </si>
  <si>
    <t>OR Gate</t>
  </si>
  <si>
    <t>NOT Gate</t>
  </si>
  <si>
    <t>XOR Gate</t>
  </si>
  <si>
    <t>Compuerta AND</t>
  </si>
  <si>
    <t>Compuerta OR</t>
  </si>
  <si>
    <t>Compuerta NOT</t>
  </si>
  <si>
    <t>Compuerta XOR</t>
  </si>
  <si>
    <t>logic</t>
  </si>
  <si>
    <t>&lt;path d='M 10 10 L 70 50 L 10 90 z'/&gt;&lt;circle cx='81' cy='50' r='9'/&gt;</t>
  </si>
  <si>
    <t>&lt;path d='M 50 10 L 10 10 L 10 90 L 50 90 A 30 30 0 0 0 50 10'/&gt;</t>
  </si>
  <si>
    <t>&lt;path d='M 30 10 L 10 10 L 10 90 L 30 90 A 30 30 0 0 0 30 10'/&gt;&lt;circle cx='80' cy='50' r='10'/&gt;</t>
  </si>
  <si>
    <t>&lt;path d='M 10 10 Q 40 50 10 90 M 10 10 Q 130 50 10 90 '/&gt;&lt;circle cx='80' cy='50' r='10'/&gt;</t>
  </si>
  <si>
    <t>&lt;path d='M 10 10 Q 40 50 10 90 M 10 10 Q 165 50 10 90'/&gt;</t>
  </si>
  <si>
    <t>&lt;path d='M 10 10 L 90 50 L 10 90 z'/&gt;</t>
  </si>
  <si>
    <t>&lt;path d='M 10 15 Q 30 50 10 85 M 15 10 Q 40 50 15 90 M 15 10 Q 125 50 15 90 '/&gt;&lt;circle cx='82' cy='50' r='10'/&gt;</t>
  </si>
  <si>
    <t>Buffer</t>
  </si>
  <si>
    <t>XNOR Gate</t>
  </si>
  <si>
    <t>NAND Gate</t>
  </si>
  <si>
    <t>NOR Gate</t>
  </si>
  <si>
    <t>Compuerta NAND</t>
  </si>
  <si>
    <t>Compuerta NOR</t>
  </si>
  <si>
    <t>Compuerta XNOR</t>
  </si>
  <si>
    <t>Converts the input into a boolean output</t>
  </si>
  <si>
    <t>Convierte la entrada en una salida booleana.</t>
  </si>
  <si>
    <t>umk_1589178067392</t>
  </si>
  <si>
    <t>umk_1589178085993</t>
  </si>
  <si>
    <t>umk_1589178100992</t>
  </si>
  <si>
    <t>umk_1589178116273</t>
  </si>
  <si>
    <t>&lt;path d='M 10 15 Q 30 50 10 85 M 15 10 Q 40 50 15 90 M 15 10 Q 165 50 15 90 '/&gt;</t>
  </si>
  <si>
    <t>Absolute</t>
  </si>
  <si>
    <t>Cube root</t>
  </si>
  <si>
    <t>Ceil</t>
  </si>
  <si>
    <t>Cube</t>
  </si>
  <si>
    <t>&lt;path d='M 20 20 L 80 80 M 20 80 L 80 20'/&gt;</t>
  </si>
  <si>
    <t>Multiply</t>
  </si>
  <si>
    <t>Divide</t>
  </si>
  <si>
    <t>Power</t>
  </si>
  <si>
    <t>Scalar power</t>
  </si>
  <si>
    <t>Exponential</t>
  </si>
  <si>
    <t>Retuns a positive value for a real number and gives magnitude for complex numbers</t>
  </si>
  <si>
    <t>Returns cube root value</t>
  </si>
  <si>
    <t>Outputs the cube of the input</t>
  </si>
  <si>
    <t>Can be used for scalar, elementwise or matrix multiplication</t>
  </si>
  <si>
    <t>Can be used for scalar, elementwise or matrix division</t>
  </si>
  <si>
    <t>Raise the input to the selected power</t>
  </si>
  <si>
    <t>A constant raised to the power of the input</t>
  </si>
  <si>
    <t>One input raised to the power of another variable</t>
  </si>
  <si>
    <t>Exponential on a constant</t>
  </si>
  <si>
    <t>The transendantal number e is raised to the power of input</t>
  </si>
  <si>
    <t>Exponential minus 1</t>
  </si>
  <si>
    <t>The transendantal number e is raised to the power of input and 1 is subtracted for the final result</t>
  </si>
  <si>
    <t>Round the input towards the zero</t>
  </si>
  <si>
    <t>Fix</t>
  </si>
  <si>
    <t>&lt;line x1='10' y1='10' x2= '90' y2='10'/&gt;&lt;line x1='10' y1='90' x2= '90' y2='90'/&gt;&lt;g stroke-width='2'&gt;&lt;path d='M 20 50 L 70 50 L 70 15 M 75 25 L 70 15 L 65 25'/&gt;&lt;/g&gt;</t>
  </si>
  <si>
    <t>Outputs the inmediate integer towards the negative Infinity</t>
  </si>
  <si>
    <t>Outputs the inmediate integer towards the positive Infinity</t>
  </si>
  <si>
    <t>&lt;line x1='10' y1='10' x2= '90' y2='10'/&gt;&lt;line x1='10' y1='90' x2= '90' y2='90'/&gt;&lt;g stroke-width='2'&gt;&lt;path d='M 20 50 L 70 50 L 70 85 M 75 75 L 70 85 L 65 75'/&gt;&lt;/g&gt;</t>
  </si>
  <si>
    <t>Floor</t>
  </si>
  <si>
    <t>GCD</t>
  </si>
  <si>
    <t>Retunts the greatest common divisor</t>
  </si>
  <si>
    <t>Hypotenusa</t>
  </si>
  <si>
    <t>Calculates the hypotenusa for the given array or matrix</t>
  </si>
  <si>
    <t>N-th root(s)</t>
  </si>
  <si>
    <t>Obtains N-th root of the input which  gets N outputs</t>
  </si>
  <si>
    <t>Sign</t>
  </si>
  <si>
    <t>Square root</t>
  </si>
  <si>
    <t>Round</t>
  </si>
  <si>
    <t>Mod base n</t>
  </si>
  <si>
    <t>Mod base u</t>
  </si>
  <si>
    <t>Log plus 1 base n</t>
  </si>
  <si>
    <t>Ln</t>
  </si>
  <si>
    <t>Log base 10</t>
  </si>
  <si>
    <t>Log base n</t>
  </si>
  <si>
    <t>LCM</t>
  </si>
  <si>
    <t>Log base 2</t>
  </si>
  <si>
    <t>Calculates least common multiple</t>
  </si>
  <si>
    <t>Computes log for input plus 1 to the base n</t>
  </si>
  <si>
    <t>Obtains the remainder after division of one input to another input</t>
  </si>
  <si>
    <t>Modulus</t>
  </si>
  <si>
    <t>Obtains the remainder after division of one input to n</t>
  </si>
  <si>
    <t>Obtains the remainder after division of n to the input</t>
  </si>
  <si>
    <t>Rounds the input to the selected number of decimal places</t>
  </si>
  <si>
    <t>Calculaltes square root</t>
  </si>
  <si>
    <t>Gives sign of the inpu</t>
  </si>
  <si>
    <t>Obtians square of the input</t>
  </si>
  <si>
    <t>Absoluto</t>
  </si>
  <si>
    <t>raíz cúbica</t>
  </si>
  <si>
    <t>Fortificar techo</t>
  </si>
  <si>
    <t>Cubo</t>
  </si>
  <si>
    <t>Multiplicar</t>
  </si>
  <si>
    <t>Dividir</t>
  </si>
  <si>
    <t>Poder escalar</t>
  </si>
  <si>
    <t>Poder</t>
  </si>
  <si>
    <t>Exponencial en una constante</t>
  </si>
  <si>
    <t>Exponencial</t>
  </si>
  <si>
    <t>Exponencial menos 1</t>
  </si>
  <si>
    <t>Suelo</t>
  </si>
  <si>
    <t>Hipotenusa</t>
  </si>
  <si>
    <t>N-ésima raíz (s)</t>
  </si>
  <si>
    <t>Base de registro n</t>
  </si>
  <si>
    <t>Base de registro 10</t>
  </si>
  <si>
    <t>Base de registro 2</t>
  </si>
  <si>
    <t>Registro más 1 base n</t>
  </si>
  <si>
    <t>Módulo</t>
  </si>
  <si>
    <t>Redondo</t>
  </si>
  <si>
    <t>Raíz cuadrada</t>
  </si>
  <si>
    <t>Firmar</t>
  </si>
  <si>
    <t>Cuadrado</t>
  </si>
  <si>
    <t>Reajusta un valor positivo para un número real y da magnitud para números complejos</t>
  </si>
  <si>
    <t>Devuelve el valor raíz del cubo</t>
  </si>
  <si>
    <t>Emite el entero inmediato hacia el infinito positivo</t>
  </si>
  <si>
    <t>Da salida al cubo de la entrada</t>
  </si>
  <si>
    <t>Se puede usar para multiplicación escalar, por elementos o matriz</t>
  </si>
  <si>
    <t>Se puede usar para la división escalar, por elementos o matriz</t>
  </si>
  <si>
    <t>Eleve la entrada a la potencia seleccionada</t>
  </si>
  <si>
    <t>Una entrada elevada a la potencia de otra variable</t>
  </si>
  <si>
    <t>Una constante elevada a la potencia de la entrada.</t>
  </si>
  <si>
    <t>El número transendantal e se eleva a la potencia de entrada</t>
  </si>
  <si>
    <t>El número transendantal e se eleva a la potencia de entrada y 1 se resta para el resultado final</t>
  </si>
  <si>
    <t>Redondea la entrada hacia el cero</t>
  </si>
  <si>
    <t>Emite el entero inmediato hacia el infinito negativo</t>
  </si>
  <si>
    <t>Devuelve el mayor divisor común</t>
  </si>
  <si>
    <t>Calcula la hipotenusa para la matriz o matriz dada</t>
  </si>
  <si>
    <t>Obtiene la raíz N-ésima de la entrada que obtiene N salidas</t>
  </si>
  <si>
    <t>Calcula el mínimo común múltiplo</t>
  </si>
  <si>
    <t>Calcula el valor del logaritmo en la base n</t>
  </si>
  <si>
    <t>Calcula el valor del logaritmo para la base 10</t>
  </si>
  <si>
    <t>Calcula el valor del logaritmo en la base 2</t>
  </si>
  <si>
    <t>Calcula el logaritmo natural, es decir, el valor del logaritmo en la base e</t>
  </si>
  <si>
    <t>Calcula el registro para la entrada más 1 a la base n</t>
  </si>
  <si>
    <t>Obtiene el resto después de la división de una entrada a otra entrada</t>
  </si>
  <si>
    <t>Obtiene el resto después de la división de una entrada en n</t>
  </si>
  <si>
    <t>Obtiene el resto después de la división de n en la entrada</t>
  </si>
  <si>
    <t>Redondea la entrada al número seleccionado de lugares decimales</t>
  </si>
  <si>
    <t>Calcula la raíz cuadrada</t>
  </si>
  <si>
    <t>Da signo de la inpu</t>
  </si>
  <si>
    <t>Obtian cuadrado de la entrada</t>
  </si>
  <si>
    <t>Computes logarithm value to the base n</t>
  </si>
  <si>
    <t>Computes logarithm value to the base 10</t>
  </si>
  <si>
    <t>Computes logarithm value to the base 2</t>
  </si>
  <si>
    <t>Computes natural logarithm i.e. logarithm value to the base e</t>
  </si>
  <si>
    <t>umk_1589386475682</t>
  </si>
  <si>
    <t>umk_1589386497071</t>
  </si>
  <si>
    <t>umk_1589386508390</t>
  </si>
  <si>
    <t>umk_1589386524463</t>
  </si>
  <si>
    <t>umk_1589386537157</t>
  </si>
  <si>
    <t>umk_1589386555683</t>
  </si>
  <si>
    <t>umk_1589386565541</t>
  </si>
  <si>
    <t>umk_1589386591230</t>
  </si>
  <si>
    <t>umk_1589386600865</t>
  </si>
  <si>
    <t>umk_1589386612338</t>
  </si>
  <si>
    <t>umk_1589386621263</t>
  </si>
  <si>
    <t>umk_1589386632823</t>
  </si>
  <si>
    <t>umk_1589386645951</t>
  </si>
  <si>
    <t>umk_1589386660500</t>
  </si>
  <si>
    <t>umk_1589386674638</t>
  </si>
  <si>
    <t>umk_1589386687447</t>
  </si>
  <si>
    <t>umk_1589386712466</t>
  </si>
  <si>
    <t>umk_1589386733656</t>
  </si>
  <si>
    <t>umk_1589386760201</t>
  </si>
  <si>
    <t>umk_1589386786107</t>
  </si>
  <si>
    <t>umk_1589386828369</t>
  </si>
  <si>
    <t>umk_1589386851909</t>
  </si>
  <si>
    <t>umk_1589386875197</t>
  </si>
  <si>
    <t>umk_1589386898267</t>
  </si>
  <si>
    <t>umk_1589386920190</t>
  </si>
  <si>
    <t>umk_1589386948236</t>
  </si>
  <si>
    <t>umk_1589386968441</t>
  </si>
  <si>
    <t>umk_1589386996268</t>
  </si>
  <si>
    <t>umk_1589387014953</t>
  </si>
  <si>
    <t>Obtains the extended greatest common divisor</t>
  </si>
  <si>
    <t>GCD extendido</t>
  </si>
  <si>
    <t>Extended GCD</t>
  </si>
  <si>
    <t>Obtiene el mayor divisor común extendido</t>
  </si>
  <si>
    <t>umk_1589529570947</t>
  </si>
  <si>
    <t>umk_1589564768522</t>
  </si>
  <si>
    <t>Logarithm value for one input to the bases of another input</t>
  </si>
  <si>
    <t>Logarithmic</t>
  </si>
  <si>
    <t>Logarítmico</t>
  </si>
  <si>
    <t>Valor de logaritmo para una entrada a las bases de otra entrada</t>
  </si>
  <si>
    <t>Diente de sierra</t>
  </si>
  <si>
    <t>Onda Cuadrada</t>
  </si>
  <si>
    <t>Escalón</t>
  </si>
  <si>
    <t>Rampa</t>
  </si>
  <si>
    <t>Administrador de archivos locales</t>
  </si>
  <si>
    <t>for</t>
  </si>
  <si>
    <t>para</t>
  </si>
  <si>
    <t>trig</t>
  </si>
  <si>
    <t>Trigonometric functions</t>
  </si>
  <si>
    <t>fas fa-ruler-combined</t>
  </si>
  <si>
    <t>Funciones trigonométricas</t>
  </si>
  <si>
    <t>Contains the commonly used trigonometric functions</t>
  </si>
  <si>
    <t>Contiene las funciones trigonométricas de uso común.</t>
  </si>
  <si>
    <t>acos</t>
  </si>
  <si>
    <t>acosh</t>
  </si>
  <si>
    <t>acot</t>
  </si>
  <si>
    <t>acoth</t>
  </si>
  <si>
    <t>acsc</t>
  </si>
  <si>
    <t>acsch</t>
  </si>
  <si>
    <t>asec</t>
  </si>
  <si>
    <t>asech</t>
  </si>
  <si>
    <t>asin</t>
  </si>
  <si>
    <t>asinh</t>
  </si>
  <si>
    <t>atan</t>
  </si>
  <si>
    <t>atanh</t>
  </si>
  <si>
    <t>cos</t>
  </si>
  <si>
    <t>cosh</t>
  </si>
  <si>
    <t>cot</t>
  </si>
  <si>
    <t>coth</t>
  </si>
  <si>
    <t>csch</t>
  </si>
  <si>
    <t>csc</t>
  </si>
  <si>
    <t>sec</t>
  </si>
  <si>
    <t>sech</t>
  </si>
  <si>
    <t>sin</t>
  </si>
  <si>
    <t>sinh</t>
  </si>
  <si>
    <t>tan</t>
  </si>
  <si>
    <t>tanh</t>
  </si>
  <si>
    <t>Returns the inverse cosecant of the input</t>
  </si>
  <si>
    <t>Returns the inverse cosine of the input</t>
  </si>
  <si>
    <t>Returns the inverse hyperbolic-cosine of the input</t>
  </si>
  <si>
    <t>Returns the inverse cotangent of the input</t>
  </si>
  <si>
    <t>Returns the inverse hyperbolic-cotangent of the input</t>
  </si>
  <si>
    <t>Returns the inverse hyperbolic-cosecantof the input</t>
  </si>
  <si>
    <t>Returns the inverse secant of the input</t>
  </si>
  <si>
    <t>Returns the inverse hyperbolic-secantof the input</t>
  </si>
  <si>
    <t>Returns the inverse sine of the input</t>
  </si>
  <si>
    <t>Returns the inverse hyperbolic-sine of the input</t>
  </si>
  <si>
    <t>Returns the inverse tangent of the input</t>
  </si>
  <si>
    <t>Returns the inverse hyperbolic-tangent of the input</t>
  </si>
  <si>
    <t>Returns the cosine of the input</t>
  </si>
  <si>
    <t>Returns the hyperbolic-cosine of the input</t>
  </si>
  <si>
    <t>Returns the cotangent of the input</t>
  </si>
  <si>
    <t>Returns the hyperbolic-cotangent of the input</t>
  </si>
  <si>
    <t>Returns the cosecant of the input</t>
  </si>
  <si>
    <t>Returns the hyperbolic-cosecantof the input</t>
  </si>
  <si>
    <t>Returns the secant of the input</t>
  </si>
  <si>
    <t>Returns the hyperbolic-secantof the input</t>
  </si>
  <si>
    <t>Returns the sine of the input</t>
  </si>
  <si>
    <t>Returns the hyperbolic-sine of the input</t>
  </si>
  <si>
    <t>Returns the tangent of the input</t>
  </si>
  <si>
    <t>Returns the hyperbolic-tangent of the input</t>
  </si>
  <si>
    <t>umk_1589609258927</t>
  </si>
  <si>
    <t>umk_1589609273201</t>
  </si>
  <si>
    <t>umk_1589609289630</t>
  </si>
  <si>
    <t>umk_1589609306978</t>
  </si>
  <si>
    <t>umk_1589609332484</t>
  </si>
  <si>
    <t>umk_1589609346714</t>
  </si>
  <si>
    <t>umk_1589609362139</t>
  </si>
  <si>
    <t>umk_1589609383222</t>
  </si>
  <si>
    <t>umk_1589609402551</t>
  </si>
  <si>
    <t>umk_1589609418437</t>
  </si>
  <si>
    <t>umk_1589609428777</t>
  </si>
  <si>
    <t>umk_1589609440901</t>
  </si>
  <si>
    <t>umk_1589609456423</t>
  </si>
  <si>
    <t>umk_1589609471102</t>
  </si>
  <si>
    <t>umk_1589609485885</t>
  </si>
  <si>
    <t>umk_1589609508071</t>
  </si>
  <si>
    <t>umk_1589609529912</t>
  </si>
  <si>
    <t>umk_1589609543216</t>
  </si>
  <si>
    <t>umk_1589609558140</t>
  </si>
  <si>
    <t>umk_1589609571201</t>
  </si>
  <si>
    <t>umk_1589609587218</t>
  </si>
  <si>
    <t>umk_1589609602823</t>
  </si>
  <si>
    <t>umk_1589609617327</t>
  </si>
  <si>
    <t>umk_1589609633957</t>
  </si>
  <si>
    <t>Devuelve el coseno inverso de la entrada</t>
  </si>
  <si>
    <t>Devuelve el coseno hiperbólico inverso de la entrada</t>
  </si>
  <si>
    <t>Devuelve la cotangente inversa de la entrada.</t>
  </si>
  <si>
    <t>Devuelve la cotangente hiperbólica inversa de la entrada</t>
  </si>
  <si>
    <t>Devuelve la cosecante inversa de la entrada</t>
  </si>
  <si>
    <t>Devuelve la inversa cosecante hiperbólica de la entrada</t>
  </si>
  <si>
    <t>Devuelve la secante inversa de la entrada.</t>
  </si>
  <si>
    <t>Devuelve la secante hiperbólica inversa de la entrada</t>
  </si>
  <si>
    <t>Devuelve el seno inverso de la entrada</t>
  </si>
  <si>
    <t>Devuelve el seno hiperbólico inverso de la entrada</t>
  </si>
  <si>
    <t>Devuelve la tangente inversa de la entrada.</t>
  </si>
  <si>
    <t>Devuelve la tangente hiperbólica inversa de la entrada</t>
  </si>
  <si>
    <t>Devuelve el coseno de la entrada.</t>
  </si>
  <si>
    <t>Devuelve el coseno hiperbólico de la entrada.</t>
  </si>
  <si>
    <t>Devuelve la cotangente de la entrada.</t>
  </si>
  <si>
    <t>Devuelve la cotangente hiperbólica de la entrada.</t>
  </si>
  <si>
    <t>Devuelve la cosecante de la entrada</t>
  </si>
  <si>
    <t>Devuelve la cosecante hiperbólica de la entrada</t>
  </si>
  <si>
    <t>Devuelve la secante de la entrada.</t>
  </si>
  <si>
    <t>Devuelve la secante hiperbólica de la entrada</t>
  </si>
  <si>
    <t>Devuelve el seno de la entrada.</t>
  </si>
  <si>
    <t>Devuelve el seno hiperbólico de la entrada</t>
  </si>
  <si>
    <t>Devuelve la tangente de la entrada.</t>
  </si>
  <si>
    <t>Devuelve la tangente hiperbólica de la entrada</t>
  </si>
  <si>
    <t>intType</t>
  </si>
  <si>
    <t>Integration type</t>
  </si>
  <si>
    <t>Forward Euler</t>
  </si>
  <si>
    <t>Explicit midpoint method</t>
  </si>
  <si>
    <t>Heun's method</t>
  </si>
  <si>
    <t>Ralston's method</t>
  </si>
  <si>
    <t>Kutta's third-order method</t>
  </si>
  <si>
    <t>Heun's third-order method</t>
  </si>
  <si>
    <t>Ralston's third-order method</t>
  </si>
  <si>
    <t>Third-order Strong Stability Preserving Runge-Kutta (SSPRK3)</t>
  </si>
  <si>
    <t>Classic fourth-order method</t>
  </si>
  <si>
    <t>3/8-rule fourth-order method</t>
  </si>
  <si>
    <t>Método explícito de punto medio</t>
  </si>
  <si>
    <t>Método de Heun</t>
  </si>
  <si>
    <t>Método de Ralston</t>
  </si>
  <si>
    <t>Método de tercer orden de Kutta</t>
  </si>
  <si>
    <t>Método de tercer orden de Heun</t>
  </si>
  <si>
    <t>Método de tercer orden de Ralston</t>
  </si>
  <si>
    <t>Runge-Kutta de preservación de estabilidad fuerte de tercer orden (SSPRK3)</t>
  </si>
  <si>
    <t>Método clásico de cuarto orden</t>
  </si>
  <si>
    <t>Método de cuarto orden de 3/8 reglas</t>
  </si>
  <si>
    <t>Tipo de integración</t>
  </si>
  <si>
    <t>Adelante Euler</t>
  </si>
  <si>
    <t>int</t>
  </si>
  <si>
    <t>fo</t>
  </si>
  <si>
    <t>fe</t>
  </si>
  <si>
    <t>em</t>
  </si>
  <si>
    <t>hm</t>
  </si>
  <si>
    <t>rm</t>
  </si>
  <si>
    <t>k3</t>
  </si>
  <si>
    <t>h3</t>
  </si>
  <si>
    <t>r3</t>
  </si>
  <si>
    <t>s3</t>
  </si>
  <si>
    <t>k4</t>
  </si>
  <si>
    <t>[0]</t>
  </si>
  <si>
    <t>[1]</t>
  </si>
  <si>
    <t>[[0]]</t>
  </si>
  <si>
    <t>[[0,0],[0.5,0]]</t>
  </si>
  <si>
    <t>[0,1]</t>
  </si>
  <si>
    <t>[0,0.5]</t>
  </si>
  <si>
    <t>[[0,0],[1,0]]</t>
  </si>
  <si>
    <t>[0.5,0.5]</t>
  </si>
  <si>
    <t>[0,2/3]</t>
  </si>
  <si>
    <t>[0.25,0.75]</t>
  </si>
  <si>
    <t>[[0,0],[2/3,0]]</t>
  </si>
  <si>
    <t>[[0,0,0],[1/2,0,0],[-1,2,0]]</t>
  </si>
  <si>
    <t>[1/6,2/3,1/6]</t>
  </si>
  <si>
    <t>[0,1/2,1]</t>
  </si>
  <si>
    <t>[[0,0,0],[1/3,0,0],[0,2/3,0]]</t>
  </si>
  <si>
    <t>[0.25,0,0.75]</t>
  </si>
  <si>
    <t>[0,1/3,2/3]</t>
  </si>
  <si>
    <t>[[0,0,0],[1/2,0,0],[0,3/4,0]]</t>
  </si>
  <si>
    <t>[2/9,1/3,4/9]</t>
  </si>
  <si>
    <t>[0,1/2,3/4]</t>
  </si>
  <si>
    <t>[[0,0,0],[1,0,0],[1/4,1/4,0]]</t>
  </si>
  <si>
    <t>[1/6,1/6,2/3]</t>
  </si>
  <si>
    <t>[0,1,1/2]</t>
  </si>
  <si>
    <t>[[0,0,0,0],[1/2,0,0,0],[0,1/2,0,0],[0,0,1,0]]</t>
  </si>
  <si>
    <t>[1/6,1/3,1/3,1/6]</t>
  </si>
  <si>
    <t>[0,1/2,1/2,1]</t>
  </si>
  <si>
    <t>[[0,0,0,0],[1/3,0,0,0],[-1/3,0,0,0],[1,-1,1,0]]</t>
  </si>
  <si>
    <t>[1/8,3/8,3/8,1/8]</t>
  </si>
  <si>
    <t>[0,1/3,2/3,1]</t>
  </si>
  <si>
    <t>Transfer functions</t>
  </si>
  <si>
    <t>Funciones de transferencia</t>
  </si>
  <si>
    <t>Implement the continuous transfer function</t>
  </si>
  <si>
    <t>Implemente la función de transferencia continua</t>
  </si>
  <si>
    <t>umk_1589836016344</t>
  </si>
  <si>
    <t>State Space</t>
  </si>
  <si>
    <t>Implements state-space with variable A, B, C and D values</t>
  </si>
  <si>
    <t>State Space - 2</t>
  </si>
  <si>
    <t>Espacio de Estados</t>
  </si>
  <si>
    <t>Espacio Estatal - 2</t>
  </si>
  <si>
    <t>Implements state-space with constant A, B, C and D values</t>
  </si>
  <si>
    <t>Implementa espacio de estado con valores constantes de A, B, C y D</t>
  </si>
  <si>
    <t>Implementa espacio de estado con valores variables A, B, C y D</t>
  </si>
  <si>
    <t>umk_1590046944883</t>
  </si>
  <si>
    <t>umk_1590046975775</t>
  </si>
  <si>
    <t>Unit delay</t>
  </si>
  <si>
    <t>Transfer function</t>
  </si>
  <si>
    <t>Unidad de retraso</t>
  </si>
  <si>
    <t>Función de transferencia</t>
  </si>
  <si>
    <t>Implements a unit delay</t>
  </si>
  <si>
    <t>Implements the transfer function for discrete time</t>
  </si>
  <si>
    <t>Implementa una unidad de retraso</t>
  </si>
  <si>
    <t>Implementa la función de transferencia por tiempo discreto</t>
  </si>
  <si>
    <t>umk_1590074849722</t>
  </si>
  <si>
    <t>umk_1590074878536</t>
  </si>
  <si>
    <t>},</t>
  </si>
  <si>
    <t>blocks:{</t>
  </si>
  <si>
    <t>intTs</t>
  </si>
  <si>
    <t>Se actualiza integrales cada</t>
  </si>
  <si>
    <t>Integrals are updated every</t>
  </si>
  <si>
    <t>be</t>
  </si>
  <si>
    <t>Backward Euler</t>
  </si>
  <si>
    <t>Euler hacia atrás</t>
  </si>
  <si>
    <t>wMode</t>
  </si>
  <si>
    <t>Wire mode</t>
  </si>
  <si>
    <t>Modo de cable</t>
  </si>
  <si>
    <t>These two terminals are already connected</t>
  </si>
  <si>
    <t>Estos dos terminales ya están conectados</t>
  </si>
  <si>
    <t>A source is already connected</t>
  </si>
  <si>
    <t>Una fuente ya está conectada</t>
  </si>
  <si>
    <t>,"umk_1586901838454":{"icon":"&lt;text x='50' y='57' dominant-baseline='middle' text-anchor='middle' font-size='5em' stroke-width='4'&gt;#&lt;/text&gt;","bg":"#1595C8","fg":"#ffffff","width":48,"height":48,"keywords":"display","category":["sinks"],"name":{"en-us":"Display","es-mx":"Monitor"},"desc":{"en-us":"Displays the instantaneous result","es-mx":"Muestra el resultado instantáneo."}}</t>
  </si>
  <si>
    <t>,"umk_1588580715574":{"icon":"&lt;path d='M 20 50 q 15 -70 30 00 q 15 70 30 0'/&gt;","bg":"#1595C8","fg":"#ffffff","width":48,"height":48,"keywords":"sine wave trigonometry trigonometría onda sinusoidal","category":["sources"],"name":{"en-us":"Sine","es-mx":"Seno"},"desc":{"en-us":"Generates a sine wave","es-mx":"Genera una onda sinusoidal"}}</t>
  </si>
  <si>
    <t>,"umk_1588716918922":{"icon":"&lt;rect x='10' y='25' width='20' height='20'/&gt;&lt;rect x='10' y='55' width='20' height='20'/&gt;&lt;rect x='70' y='30' width='20' height='40'/&gt;&lt;line x1='40' y1='50' x2= '60' y2='50'/&gt;&lt;line x1='55' y1='45' x2= '60' y2='50'/&gt;&lt;line x1='55' y1='55' x2= '60' y2='50'/&gt;","bg":"","fg":"#ffffff","width":48,"height":48,"keywords":"","category":["mat"],"name":{"en-us":"Join rows","es-mx":"Unir filas"},"desc":{"en-us":"Concatenate the rows of two matrices to become larger matrix","es-mx":"Concatenar las filas de dos matrices para convertirse en una matriz más grande"}}</t>
  </si>
  <si>
    <t>,"umk_1588723460913":{"icon":"&lt;rect x='25' y='10' width='20' height='20'/&gt;&lt;rect x='55' y='10' width='20' height='20'/&gt;&lt;rect x='30' y='70' width='40' height='20'/&gt;&lt;line x1='50' y1='40' x2= '50' y2='60'/&gt;&lt;line x1='45' y1='55' x2= '50' y2='60'/&gt;&lt;line x1='55' y1='55' x2= '50' y2='60'/&gt;","bg":"","fg":"#ffffff","width":48,"height":48,"keywords":"","category":["mat"],"name":{"en-us":"Join columns","es-mx":"Unir columnas"},"desc":{"en-us":"Concatenate the columns of two matrices to become larger matrix","es-mx":"Concatenar las columnas de dos matrices para convertirse en una matriz más grande"}}</t>
  </si>
  <si>
    <t>,"umk_1589037918939":{"icon":"&lt;polyline points='10,90 50,90 50,10 90,10'/&gt;","bg":"","fg":"","width":48,"height":48,"keywords":"","category":["sources"],"name":{"en-us":"Step","es-mx":"Escalón"},"desc":{"en-us":"Generates a step function","es-mx":"Genera una función de paso"}}</t>
  </si>
  <si>
    <t>,"umk_1589037990977":{"icon":"&lt;polyline points='10,50 10,10 50,10 50,90 90,90 90,50'/&gt;","bg":"","fg":"","width":48,"height":48,"keywords":"","category":["sources"],"name":{"en-us":"Square","es-mx":"Onda Cuadrada"},"desc":{"en-us":"Generates a square wave","es-mx":"Genera una onda cuadrada"}}</t>
  </si>
  <si>
    <t>,"umk_1589037930037":{"icon":"&lt;polyline points='10,90 30,90 90,10'/&gt;","bg":"","fg":"","width":48,"height":48,"keywords":"","category":["sources"],"name":{"en-us":"Ramp","es-mx":"Rampa"},"desc":{"en-us":"Generates a ramp function","es-mx":"Genera una función de rampa"}}</t>
  </si>
  <si>
    <t>,"umk_1589128861088":{"icon":"&lt;polyline points='10,50 30,10 70,90 90,50'/&gt;","bg":"","fg":"","width":48,"height":48,"keywords":"","category":["sources"],"name":{"en-us":"Triangular","es-mx":"Triangular"},"desc":{"en-us":"Generates a triangular wave","es-mx":"Genera una onda triangular"}}</t>
  </si>
  <si>
    <t>,"umk_1589037943338":{"icon":"&lt;polyline points='10,50 50,10 50,90 90,50'/&gt;","bg":"","fg":"","width":48,"height":48,"keywords":"","category":["sources"],"name":{"en-us":"Sawtooth","es-mx":"Diente de sierra"},"desc":{"en-us":"Generates a sawtooth wave","es-mx":"Genera una onda de diente de sierra"}}</t>
  </si>
  <si>
    <t>,"umk_1589178100992":{"icon":"&lt;path d='M 10 10 L 90 50 L 10 90 z'/&gt;","bg":"","fg":"","width":48,"height":48,"keywords":"","category":["logic"],"name":{"en-us":"Buffer","es-mx":"Buffer"},"desc":{"en-us":"Converts the input into a boolean output","es-mx":"Convierte la entrada en una salida booleana."}}</t>
  </si>
  <si>
    <t>,"umk_1589169187265":{"icon":"&lt;path d='M 10 10 L 70 50 L 10 90 z'/&gt;&lt;circle cx='81' cy='50' r='9'/&gt;","bg":"","fg":"","width":48,"height":48,"keywords":"","category":["logic"],"name":{"en-us":"NOT Gate","es-mx":"Compuerta NOT"},"desc":{"en-us":"NOT Gate","es-mx":"Compuerta NOT"}}</t>
  </si>
  <si>
    <t>,"umk_1589169156908":{"icon":"&lt;path d='M 50 10 L 10 10 L 10 90 L 50 90 A 30 30 0 0 0 50 10'/&gt;","bg":"","fg":"","width":48,"height":48,"keywords":"","category":["logic"],"name":{"en-us":"AND Gate","es-mx":"Compuerta AND"},"desc":{"en-us":"AND Gate","es-mx":"Compuerta AND"}}</t>
  </si>
  <si>
    <t>,"umk_1589178067392":{"icon":"&lt;path d='M 30 10 L 10 10 L 10 90 L 30 90 A 30 30 0 0 0 30 10'/&gt;&lt;circle cx='80' cy='50' r='10'/&gt;","bg":"","fg":"","width":48,"height":48,"keywords":"","category":["logic"],"name":{"en-us":"NAND Gate","es-mx":"Compuerta NAND"},"desc":{"en-us":"NAND Gate","es-mx":"Compuerta NAND"}}</t>
  </si>
  <si>
    <t>,"umk_1589169167396":{"icon":"&lt;path d='M 10 10 Q 40 50 10 90 M 10 10 Q 165 50 10 90'/&gt;","bg":"","fg":"","width":48,"height":48,"keywords":"","category":["logic"],"name":{"en-us":"OR Gate","es-mx":"Compuerta OR"},"desc":{"en-us":"OR Gate","es-mx":"Compuerta OR"}}</t>
  </si>
  <si>
    <t>,"umk_1589178085993":{"icon":"&lt;path d='M 10 10 Q 40 50 10 90 M 10 10 Q 130 50 10 90 '/&gt;&lt;circle cx='80' cy='50' r='10'/&gt;","bg":"","fg":"","width":48,"height":48,"keywords":"","category":["logic"],"name":{"en-us":"NOR Gate","es-mx":"Compuerta NOR"},"desc":{"en-us":"NOR Gate","es-mx":"Compuerta NOR"}}</t>
  </si>
  <si>
    <t>,"umk_1589169209121":{"icon":"&lt;path d='M 10 15 Q 30 50 10 85 M 15 10 Q 40 50 15 90 M 15 10 Q 165 50 15 90 '/&gt;","bg":"","fg":"","width":48,"height":48,"keywords":"","category":["logic"],"name":{"en-us":"XOR Gate","es-mx":"Compuerta XOR"},"desc":{"en-us":"XOR Gate","es-mx":"Compuerta XOR"}}</t>
  </si>
  <si>
    <t>,"umk_1589178116273":{"icon":"&lt;path d='M 10 15 Q 30 50 10 85 M 15 10 Q 40 50 15 90 M 15 10 Q 125 50 15 90 '/&gt;&lt;circle cx='82' cy='50' r='10'/&gt;","bg":"","fg":"","width":48,"height":48,"keywords":"","category":["logic"],"name":{"en-us":"XNOR Gate","es-mx":"Compuerta XNOR"},"desc":{"en-us":"XNOR Gate","es-mx":"Compuerta XNOR"}}</t>
  </si>
  <si>
    <t>,"umk_1589386508390":{"icon":"&lt;line x1='10' y1='10' x2= '90' y2='10'/&gt;&lt;line x1='10' y1='90' x2= '90' y2='90'/&gt;&lt;g stroke-width='2'&gt;&lt;path d='M 20 50 L 70 50 L 70 15 M 75 25 L 70 15 L 65 25'/&gt;&lt;/g&gt;","bg":"","fg":"","width":48,"height":48,"keywords":"","category":["basics"],"name":{"en-us":"Ceil","es-mx":"Fortificar techo"},"desc":{"en-us":"Outputs the inmediate integer towards the positive Infinity","es-mx":"Emite el entero inmediato hacia el infinito positivo"}}</t>
  </si>
  <si>
    <t>,"umk_1589386537157":{"icon":"&lt;path d='M 20 20 L 80 80 M 20 80 L 80 20'/&gt;","bg":"","fg":"","width":48,"height":48,"keywords":"","category":["basics"],"name":{"en-us":"Multiply","es-mx":"Multiplicar"},"desc":{"en-us":"Can be used for scalar, elementwise or matrix multiplication","es-mx":"Se puede usar para multiplicación escalar, por elementos o matriz"}}</t>
  </si>
  <si>
    <t>,"umk_1589386645951":{"icon":"&lt;line x1='10' y1='10' x2= '90' y2='10'/&gt;&lt;line x1='10' y1='90' x2= '90' y2='90'/&gt;&lt;g stroke-width='2'&gt;&lt;path d='M 20 50 L 70 50 L 70 85 M 75 75 L 70 85 L 65 75'/&gt;&lt;/g&gt;","bg":"","fg":"","width":48,"height":48,"keywords":"","category":["basics"],"name":{"en-us":"Floor","es-mx":"Suelo"},"desc":{"en-us":"Outputs the inmediate integer towards the negative Infinity","es-mx":"Emite el entero inmediato hacia el infinito negativo"}}</t>
  </si>
  <si>
    <t>mainSystem.graph.deleteBtnPress()</t>
  </si>
  <si>
    <t>mainSystem.undoManager.undo()</t>
  </si>
  <si>
    <t>mainSystem.undoManager.redo()</t>
  </si>
  <si>
    <t>Remove useless wires</t>
  </si>
  <si>
    <t>Retire los cables inútiles</t>
  </si>
  <si>
    <t>Removes all the unconnected wires</t>
  </si>
  <si>
    <t>Elimina todos los cables desconectados.</t>
  </si>
  <si>
    <t>mainSystem.removeUselessEdges()</t>
  </si>
  <si>
    <t>umk_1594989068293</t>
  </si>
  <si>
    <t>XY Scope</t>
  </si>
  <si>
    <t>Scopio XY</t>
  </si>
  <si>
    <t>Plots the input signal against the simulation time</t>
  </si>
  <si>
    <t>Traza la señal de entrada contra el tiempo de simulación.</t>
  </si>
  <si>
    <t>Plots the input signal against another input signal.</t>
  </si>
  <si>
    <t>Traza la señal de entrada contra otra señal de entrada.</t>
  </si>
  <si>
    <t>&lt;polyline points='10,75 33.33,30 66.67,86  90,20'/&gt;&lt;path stroke-width='0.5' d='M 10 10 l 0 80 M 20 10 l 0 80 M 30 10 l 0 80 M 40 10 l 0 80 M 50 10 l 0 80 M 60 10 l 0 80 M 70 10 l 0 80 M 80 10 l 0 80 M 90 10 l 0 80 M 10 10 l 80 0 M 10 20 l 80 0 M 10 30 l 80 0 M 10 40 l 80 0 M 10 50 l 80 0 M 10 60 l 80 0 M 10 70 l 80 0 M 10 80 l 80 0 M 10 90 l 80 0'/&gt;</t>
  </si>
  <si>
    <t>,"umk_1586738484106":{"icon":"&lt;polyline points='10,75 33.33,30 66.67,86  90,20'/&gt;&lt;path stroke-width='0.5' d='M 10 10 l 0 80 M 20 10 l 0 80 M 30 10 l 0 80 M 40 10 l 0 80 M 50 10 l 0 80 M 60 10 l 0 80 M 70 10 l 0 80 M 80 10 l 0 80 M 90 10 l 0 80 M 10 10 l 80 0 M 10 20 l 80 0 M 10 30 l 80 0 M 10 40 l 80 0 M 10 50 l 80 0 M 10 60 l 80 0 M 10 70 l 80 0 M 10 80 l 80 0 M 10 90 l 80 0'/&gt;","bg":"#1595C8","fg":"#ffffff","width":96,"height":48,"keywords":"graph display output salida grafica","category":["sinks"],"name":{"en-us":"Scope","es-mx":"Scopio"},"desc":{"en-us":"Plots the input signal against the simulation time","es-mx":"Traza la señal de entrada contra el tiempo de simulación."}}</t>
  </si>
  <si>
    <t>&lt;path stroke-width='0.5' d='M 10 10 l 0 80 M 20 10 l 0 80 M 30 10 l 0 80 M 40 10 l 0 80 M 50 10 l 0 80 M 60 10 l 0 80 M 70 10 l 0 80 M 80 10 l 0 80 M 90 10 l 0 80 M 10 10 l 80 0 M 10 20 l 80 0 M 10 30 l 80 0 M 10 40 l 80 0 M 10 50 l 80 0 M 10 60 l 80 0 M 10 70 l 80 0 M 10 80 l 80 0 M 10 90 l 80 0'/&gt;&lt;path d='M 50,50 C -20,30 30,-20 50,50 120,70 70,120 50,50 120,30 70,-20 50,50 -20,70 30,120 50,50'/&gt;</t>
  </si>
  <si>
    <t>,"umk_1594989068293":{"icon":"&lt;path stroke-width='0.5' d='M 10 10 l 0 80 M 20 10 l 0 80 M 30 10 l 0 80 M 40 10 l 0 80 M 50 10 l 0 80 M 60 10 l 0 80 M 70 10 l 0 80 M 80 10 l 0 80 M 90 10 l 0 80 M 10 10 l 80 0 M 10 20 l 80 0 M 10 30 l 80 0 M 10 40 l 80 0 M 10 50 l 80 0 M 10 60 l 80 0 M 10 70 l 80 0 M 10 80 l 80 0 M 10 90 l 80 0'/&gt;&lt;path d='M 50,50 C -20,30 30,-20 50,50 120,70 70,120 50,50 120,30 70,-20 50,50 -20,70 30,120 50,50'/&gt;","bg":"","fg":"","width":96,"height":48,"keywords":"","category":["sinks"],"name":{"en-us":"XY Scope","es-mx":"Scopio XY"},"desc":{"en-us":"Plots the input signal against another input signal.","es-mx":"Traza la señal de entrada contra otra señal de entrada."}}</t>
  </si>
  <si>
    <t>alertWIP()</t>
  </si>
  <si>
    <t>umk_1595491915152</t>
  </si>
  <si>
    <t>&lt;polyline stroke-width='1' points='10,38 11,24 12,40 13,56 14,64 15,72 16,89 17,61 18,18 19,59 20,32 21,47 22,85 23,34 24,39 25,34 26,22 27,78 28,67 29,15 30,81 31,54 32,36 33,23 34,89 35,55 36,57 37,51 38,59 39,27 40,85 41,58 42,19 43,11 44,35 45,56 46,45 47,57 48,24 49,11 50,45 51,61 52,41 53,10 54,42 55,67 56,60 57,27 58,40 59,29 60,27 61,59 62,82 63,43 64,26 65,89 66,75 67,36 68,44 69,20 70,58 71,44 72,19 73,63 74,59 75,24 76,66 77,61 78,35 79,81 80,73 81,36 82,82 83,58 84,28 85,68 86,66 87,86 88,21 89,77 90,38'/&gt;</t>
  </si>
  <si>
    <t>umk_1595554572081</t>
  </si>
  <si>
    <t>Random</t>
  </si>
  <si>
    <t>Aleatoria</t>
  </si>
  <si>
    <t>Generates uniformly distributed random numbers</t>
  </si>
  <si>
    <t>Genera números aleatorios distribuidos uniformemente</t>
  </si>
  <si>
    <t>,"umk_1595554572081":{"icon":"&lt;polyline stroke-width='1' points='10,38 11,24 12,40 13,56 14,64 15,72 16,89 17,61 18,18 19,59 20,32 21,47 22,85 23,34 24,39 25,34 26,22 27,78 28,67 29,15 30,81 31,54 32,36 33,23 34,89 35,55 36,57 37,51 38,59 39,27 40,85 41,58 42,19 43,11 44,35 45,56 46,45 47,57 48,24 49,11 50,45 51,61 52,41 53,10 54,42 55,67 56,60 57,27 58,40 59,29 60,27 61,59 62,82 63,43 64,26 65,89 66,75 67,36 68,44 69,20 70,58 71,44 72,19 73,63 74,59 75,24 76,66 77,61 78,35 79,81 80,73 81,36 82,82 83,58 84,28 85,68 86,66 87,86 88,21 89,77 90,38'/&gt;","bg":"","fg":"","width":48,"height":48,"keywords":"","category":["sources"],"name":{"en-us":"Random","es-mx":"Aleatoria"},"desc":{"en-us":"Generates uniformly distributed random numbers","es-mx":"Genera números aleatorios distribuidos uniformemente"}}</t>
  </si>
  <si>
    <t>umk_1595556058847</t>
  </si>
  <si>
    <t>categories:[{"id":"sources","icon":"fas fa-plug","name":{"en-us":"Sources","es-mx":"Fuentes"},"desc":{"en-us":"Sources generate the signals to feed to the model.","es-mx":"Las fuentes generan las señales para alimentar al modelo."}},{"id":"sinks","icon":"fas fa-lightbulb","name":{"en-us":"Sinks","es-mx":"Fregaderos"},"desc":{"en-us":"Sinks output the information. They can be graphs or file download","es-mx":"Los sumideros generan la información. Pueden ser gráficos o descarga de archivos"}},{"id":"basics","icon":"fas fa-calculator","name":{"en-us":"Basic operations","es-mx":"Operaciones básicas"},"desc":{"en-us":"Basic mathematical operations are available in this section","es-mx":"Las operaciones matemáticas básicas están disponibles en esta sección."}},{"id":"trig","icon":"fas fa-ruler-combined","name":{"en-us":"Trigonometric functions","es-mx":"Funciones trigonométricas"},"desc":{"en-us":"Contains the commonly used trigonometric functions","es-mx":"Contiene las funciones trigonométricas de uso común."}},{"id":"mat","icon":"fas fa-th","name":{"en-us":"Matrix operations","es-mx":"Operaciones matriciales"},"desc":{"en-us":"Array, Matrix can be built, or modified using these operations","es-mx":"Array, Matrix se puede construir o modificar usando estas operaciones"}},{"id":"logic","icon":"fas fa-microchip","name":{"en-us":"Logical operations","es-mx":"Operaciones lógicas"},"desc":{"en-us":"Logical operations are available in this section","es-mx":"Las operaciones lógicas están disponibles en esta sección."}},{"id":"continuous","icon":"fas fa-minus","name":{"en-us":"Continuous time","es-mx":"Tiempo continuo"},"desc":{"en-us":"Dynamic operations are available here for continuous time operations","es-mx":"Las operaciones dinámicas están disponibles aquí para operaciones de tiempo continuo"}},{"id":"discrete","icon":"fas fa-ellipsis-h","name":{"en-us":"Discrete time","es-mx":"Tiempo discreto"},"desc":{"en-us":"Dynamic operations are available here for discrete time operations","es-mx":"Las operaciones dinámicas están disponibles aquí para operaciones de tiempo discreto"}}],</t>
  </si>
  <si>
    <t>6-DOF Robot</t>
  </si>
  <si>
    <t>A 6-DOF robot is shown whose position can be controlled</t>
  </si>
  <si>
    <t>Robot 6-GDL</t>
  </si>
  <si>
    <t>Se muestra un robot 6-GDL cuya posición se puede controlar</t>
  </si>
  <si>
    <t>Transpose</t>
  </si>
  <si>
    <t>Transposición</t>
  </si>
  <si>
    <t>Transposes the given matrix</t>
  </si>
  <si>
    <t>Transpone la matriz dada</t>
  </si>
  <si>
    <t>Determinant</t>
  </si>
  <si>
    <t>Determinante</t>
  </si>
  <si>
    <t>Calculates the determinant of the input matrix</t>
  </si>
  <si>
    <t>Calcula el determinante de la matriz de entrada.</t>
  </si>
  <si>
    <t>&lt;rect x='70' y='25' width='20' height='20'/&gt;&lt;rect x='70' y='55' width='20' height='20'/&gt;&lt;rect x='10' y='30' width='20' height='40'/&gt;&lt;line x1='40' y1='50' x2= '60' y2='50'/&gt;&lt;line x1='55' y1='45' x2= '60' y2='50'/&gt;&lt;line x1='55' y1='55' x2= '60' y2='50'/&gt;</t>
  </si>
  <si>
    <t>&lt;rect x='25' y='70' width='20' height='20'/&gt;&lt;rect x='55' y='70' width='20' height='20'/&gt;&lt;rect x='30' y='10' width='40' height='20'/&gt;&lt;line x1='50' y1='40' x2= '50' y2='60'/&gt;&lt;line x1='45' y1='55' x2= '50' y2='60'/&gt;&lt;line x1='55' y1='55' x2= '50' y2='60'/&gt;</t>
  </si>
  <si>
    <t>umk_1595700759570</t>
  </si>
  <si>
    <t>umk_1595700797066</t>
  </si>
  <si>
    <t>umk_1595700853173</t>
  </si>
  <si>
    <t>Split rows</t>
  </si>
  <si>
    <t>Split columns</t>
  </si>
  <si>
    <t>Separar filas</t>
  </si>
  <si>
    <t>Seperar columnas</t>
  </si>
  <si>
    <t>Splits the rows and each row is an output</t>
  </si>
  <si>
    <t>Separa las filas y cada fila es una salida</t>
  </si>
  <si>
    <t>Splits the columns and each column is an output</t>
  </si>
  <si>
    <t>Separa las columnas y cada columna es una salida</t>
  </si>
  <si>
    <t>,"umk_1595700797066":{"icon":"&lt;rect x='70' y='25' width='20' height='20'/&gt;&lt;rect x='70' y='55' width='20' height='20'/&gt;&lt;rect x='10' y='30' width='20' height='40'/&gt;&lt;line x1='40' y1='50' x2= '60' y2='50'/&gt;&lt;line x1='55' y1='45' x2= '60' y2='50'/&gt;&lt;line x1='55' y1='55' x2= '60' y2='50'/&gt;","bg":"","fg":"","width":48,"height":48,"keywords":"","category":["mat"],"name":{"en-us":"Split rows","es-mx":"Separar filas"},"desc":{"en-us":"Splits the rows and each row is an output","es-mx":"Separa las filas y cada fila es una salida"}}</t>
  </si>
  <si>
    <t>,"umk_1595700853173":{"icon":"&lt;rect x='25' y='70' width='20' height='20'/&gt;&lt;rect x='55' y='70' width='20' height='20'/&gt;&lt;rect x='30' y='10' width='40' height='20'/&gt;&lt;line x1='50' y1='40' x2= '50' y2='60'/&gt;&lt;line x1='45' y1='55' x2= '50' y2='60'/&gt;&lt;line x1='55' y1='55' x2= '50' y2='60'/&gt;","bg":"","fg":"","width":48,"height":48,"keywords":"","category":["mat"],"name":{"en-us":"Split columns","es-mx":"Seperar columnas"},"desc":{"en-us":"Splits the columns and each column is an output","es-mx":"Separa las columnas y cada columna es una salida"}}</t>
  </si>
  <si>
    <t>umk_1595703771325</t>
  </si>
  <si>
    <t>Hermitian transpose</t>
  </si>
  <si>
    <t>Transposición ermitaña</t>
  </si>
  <si>
    <t>Devuelve la transposición conjugada de la matriz de entrada</t>
  </si>
  <si>
    <t>umk_1595704138594</t>
  </si>
  <si>
    <t>Inverse matrix</t>
  </si>
  <si>
    <t>Matriz inversa</t>
  </si>
  <si>
    <t>Returns conjugate transpose of the input matrix</t>
  </si>
  <si>
    <t>Returns inverse of the input matrix</t>
  </si>
  <si>
    <t>Devuelve el inverso de la matriz de entrada</t>
  </si>
  <si>
    <t>Kronecker product</t>
  </si>
  <si>
    <t>&lt;circle cx='50' cy='50' r='30'/&gt;&lt;path d='M30,30L70,70M30,70L70,30'/&gt;</t>
  </si>
  <si>
    <t>umk_1595704561540</t>
  </si>
  <si>
    <t>Producto Kronecker</t>
  </si>
  <si>
    <t>Returns kronecker product for the input matrices</t>
  </si>
  <si>
    <t>Devuelve el producto kronecker para las matrices de entrada</t>
  </si>
  <si>
    <t>umk_1595704782234</t>
  </si>
  <si>
    <t>Trace</t>
  </si>
  <si>
    <t>Traza</t>
  </si>
  <si>
    <t>Returns trace of the input matrix</t>
  </si>
  <si>
    <t>Devuelve el traza de la matriz de entrada</t>
  </si>
  <si>
    <t>,"umk_1595704561540":{"icon":"&lt;circle cx='50' cy='50' r='30'/&gt;&lt;path d='M30,30L70,70M30,70L70,30'/&gt;","bg":"","fg":"","width":48,"height":48,"keywords":"","category":["mat"],"name":{"en-us":"Kronecker product","es-mx":"Producto Kronecker"},"desc":{"en-us":"Returns kronecker product for the input matrices","es-mx":"Devuelve el producto kronecker para las matrices de entrada"}}</t>
  </si>
  <si>
    <t>Fijar</t>
  </si>
  <si>
    <t>,"umk_1585601356516":{"icon":"&lt;line x1='20' y1='50' x2='80' y2='50' /&gt;&lt;line x1='50' y1='20' x2='50' y2='80'/&gt;","bg":"#1595C8","fg":"#ffffff","width":48,"height":48,"keywords":"sum add addition summation sumar aggregar plus","category":["basics"],"name":{"en-us":"Sum","es-mx":"Suma"},"desc":{"en-us":"Adds two number, vectors, or matrices.","es-mx":"Agrega dos números, vectores o matrices."}}</t>
  </si>
  <si>
    <t>umk_1595887565612</t>
  </si>
  <si>
    <t>Differentiation</t>
  </si>
  <si>
    <t>Diferenciación</t>
  </si>
  <si>
    <t>Derivatives the input with respect to the simulation time.</t>
  </si>
  <si>
    <t>Deriva la entrada con respecto al tiempo de simulación.</t>
  </si>
  <si>
    <t>Donate</t>
  </si>
  <si>
    <t>fas fa-donate</t>
  </si>
  <si>
    <t>fas fa-tshirt</t>
  </si>
  <si>
    <t>fab fa-patreon</t>
  </si>
  <si>
    <t>Be my Patreon</t>
  </si>
  <si>
    <t>Donate me on PayPal</t>
  </si>
  <si>
    <t>Buy my merchandise</t>
  </si>
  <si>
    <t>Shows different options how you can support me</t>
  </si>
  <si>
    <t>Be a Patreon member to show your support</t>
  </si>
  <si>
    <t>Make one-time or recurrent payment using the secured PayPal platform with a wide variety of payment options.</t>
  </si>
  <si>
    <t>You can buy some of our merchandise to support us.</t>
  </si>
  <si>
    <t>Donar</t>
  </si>
  <si>
    <t>Doname en PayPal</t>
  </si>
  <si>
    <t>Compra mi mercancía</t>
  </si>
  <si>
    <t>Ser mi Patreon</t>
  </si>
  <si>
    <t>Muestra diferentes opciones de cómo puedes apoyarme.</t>
  </si>
  <si>
    <t>Sea miembro de Patreon para mostrar su apoyo</t>
  </si>
  <si>
    <t>Realice un pago único o recurrente mediante la plataforma segura de PayPal con una amplia variedad de opciones de pago.</t>
  </si>
  <si>
    <t>Puede comprar algunos de nuestros productos para apoyarnos.</t>
  </si>
  <si>
    <t>window.open('https://www.patreon.com/skgadi','_blank');</t>
  </si>
  <si>
    <t>window.open('https://www.paypal.com/donate?hosted_button_id=SKRWAX2RLAB6S','_blank');</t>
  </si>
  <si>
    <t>window.open('https://shop.spreadshirt.com/skgadi/','_blank');</t>
  </si>
  <si>
    <t>fab fa-paypal</t>
  </si>
  <si>
    <t>const menu = [{"icon":"fas fa-file-alt","kbShort":{"ctrl":false,"alt":true,"shift":false,"key":"f","keycode":"70","langCode":"key_f"},"text":{"en-us":"File","es-mx":"Archivo"},"moreInfo":{"en-us":"Menu gives options to manage your files","es-mx":"El menú ofrece opciones para administrar sus archivos"},"subMenu":[{"icon":"far fa-file","kbShort":{"ctrl":false,"alt":false,"shift":false,"key":"","keycode":"","langCode":""},"text":{"en-us":"New Uyamak model","es-mx":"Nuevo modelo de Uyamak"},"moreInfo":{"en-us":"Lets you create a new Uyamak model","es-mx":"Le permite crear un nuevo modelo Uyamak"},"prtBelow":true,"func":"uyamakFileManager.newModel()"},{"icon":"fas fa-cloud","kbShort":{"ctrl":true,"alt":false,"shift":true,"key":"l","keycode":"76","langCode":"key_l"},"text":{"en-us":"Cloud organizer","es-mx":"Organizador de la nube"},"moreInfo":{"en-us":"Organize your Uyamak systems on your cloud storage","es-mx":"Organice sus sistemas Uyamak en su almacenamiento en la nube"},"prtBelow":false,"func":"alertWIP()"},{"icon":"fas fa-save","kbShort":{"ctrl":true,"alt":false,"shift":true,"key":"f","keycode":"70","langCode":"key_f"},"text":{"en-us":"File manager","es-mx":"Administrador de archivos"},"moreInfo":{"en-us":"Lets you import, open and save the model, variables, and settings","es-mx":"Le permite importar, abrir y guardar el modelo, las variables y la configuración"},"prtBelow":true,"func":"uyamak.lFManagerVue.showGUI()"},{"icon":"fas fa-share-alt-square","kbShort":{"ctrl":true,"alt":false,"shift":false,"key":"j","keycode":"74","langCode":"key_j"},"text":{"en-us":"Share privately","es-mx":"Comparte en privado"},"moreInfo":{"en-us":"Share Uyamak system with your friends and teachers","es-mx":"Comparte el sistema Uyamak con tus amigos y maestros"},"prtBelow":false,"func":"alertWIP()"},{"icon":"fas fa-share-alt","kbShort":{"ctrl":true,"alt":false,"shift":true,"key":"j","keycode":"74","langCode":"key_j"},"text":{"en-us":"Make public","es-mx":"Hacer público"},"moreInfo":{"en-us":"Publish your Uyamak system to the public","es-mx":"Publica tu sistema Uyamak al público"},"prtBelow":true,"func":"alertWIP()"},{"icon":"fas fa-print","kbShort":{"ctrl":true,"alt":false,"shift":false,"key":"p","keycode":"80","langCode":"key_p"},"text":{"en-us":"Print","es-mx":"Impresión"},"moreInfo":{"en-us":"Print the Uyamak system","es-mx":"Imprime el sistema Uyamak"},"prtBelow":false,"func":"alertWIP()"}]},{"icon":"fas fa-project-diagram","kbShort":{"ctrl":false,"alt":true,"shift":false,"key":"s","keycode":"83","langCode":"key_s"},"text":{"en-us":"System","es-mx":"Sistema"},"moreInfo":{"en-us":"Menu gives options to manage your Uyamak system","es-mx":"El menú ofrece opciones para administrar su sistema Uyamak"},"subMenu":[{"icon":"fas fa-puzzle-piece","kbShort":{"ctrl":true,"alt":false,"shift":false,"key":"u","keycode":"85","langCode":"key_u"},"text":{"en-us":"Show Uyamak library","es-mx":"Mostrar biblioteca Uyamak"},"moreInfo":{"en-us":"Displays the Uyamak library drawer where you can find all the Uyamak models","es-mx":"Muestra el cajón de la biblioteca Uyamak donde puedes encontrar todos los modelos Uyamak"},"prtBelow":false,"func":"document.getElementById('btn-blocks').click()"},{"icon":"fas fa-edit","kbShort":{"ctrl":true,"alt":false,"shift":false,"key":"e","keycode":"69","langCode":"key_e"},"text":{"en-us":"Show Model Editor","es-mx":"Mostrar editor de modelos"},"moreInfo":{"en-us":"Displays the Uyamak model editor where you can tweak the model settings","es-mx":"Muestra el editor de modelos de Uyamak donde puede ajustar la configuración del modelo"},"prtBelow":false,"func":"document.getElementById('btn-edit').click()"},{"icon":"fas fa-play","kbShort":{"ctrl":true,"alt":false,"shift":true,"key":"s","keycode":"83","langCode":"key_s"},"text":{"en-us":"Show Simulation drawer","es-mx":"Mostrar cajón de simulación"},"moreInfo":{"en-us":"Mostrar administrador de variables","es-mx":"Muestra el cajón de simulación donde puede ejecutar el sistema Uyamak"},"prtBelow":false,"func":"alertWIP()"},{"icon":"fas fa-equals","kbShort":{"ctrl":true,"alt":false,"shift":true,"key":"v","keycode":"86","langCode":"key_v"},"text":{"en-us":"Show variable manager","es-mx":"Mostrar administrador de variables"},"moreInfo":{"en-us":"Displays the system constants and lets you add variables to use in your models","es-mx":"Muestra las constantes del sistema y le permite agregar variables para usar en sus modelos"},"prtBelow":true,"func":"varManagerVue.showGUI()"},{"icon":"far fa-object-group","kbShort":{"ctrl":true,"alt":false,"shift":false,"key":"k","keycode":"75","langCode":"key_k"},"text":{"en-us":"Create sub-system","es-mx":"Crear subsistema"},"moreInfo":{"en-us":"Creates Uyamak sub-system out of the selected Uyamak models","es-mx":"Crea el subsistema Uyamak a partir de los modelos Uyamak seleccionados."},"prtBelow":false,"func":"mainSystem.graph.createSubModel()"},{"icon":"far fa-object-ungroup","kbShort":{"ctrl":true,"alt":false,"shift":true,"key":"k","keycode":"75","langCode":"key_k"},"text":{"en-us":"Dismantle sub-system","es-mx":"Desmontar subsistema"},"moreInfo":{"en-us":"Dismantles all the selected Uyamak sub-systems.","es-mx":"Desmantela todos los subsistemas Uyamak seleccionados."},"prtBelow":false,"func":"mainSystem.graph.ungroupSubModel()"}]},{"icon":"fas fa-pen","kbShort":{"ctrl":false,"alt":true,"shift":false,"key":"e","keycode":"69","langCode":"key_e"},"text":{"en-us":"Edit","es-mx":"Editar"},"moreInfo":{"en-us":"Menu gives options to manipulate the Uyamak system","es-mx":"Menú da opciones para manipular el sistema Uyamak"},"subMenu":[{"icon":"fas fa-cogs","kbShort":{"ctrl":true,"alt":true,"shift":true,"key":"s","keycode":"83","langCode":"key_s"},"text":{"en-us":"Settings","es-mx":"Configuraciones"},"moreInfo":{"en-us":"Lets you change settings","es-mx":"Le permite cambiar configuraciones"},"prtBelow":true,"func":"settingsVue.showGUI()"},{"icon":"far fa-check-square","kbShort":{"ctrl":true,"alt":false,"shift":false,"key":"a","keycode":"65","langCode":"key_a"},"text":{"en-us":"Select all","es-mx":"Seleccionar todo"},"moreInfo":{"en-us":"Select all the blocks","es-mx":"Selecciona todos los bloques"},"prtBelow":false,"func":"mainSystem.graph.setSelectionCells(mainSystem.graph.getChildCells())"},{"icon":"far fa-square","kbShort":{"ctrl":true,"alt":false,"shift":true,"key":"a","keycode":"65","langCode":"key_a"},"text":{"en-us":"Select none","es-mx":"No seleccionar ninguno"},"moreInfo":{"en-us":"Deselect all the blocks","es-mx":"Anule la selección de todos los bloques."},"prtBelow":true,"func":"mainSystem.graph.setSelectionCells([])"},{"icon":"fas fa-cut","kbShort":{"ctrl":true,"alt":false,"shift":false,"key":"x","keycode":"88","langCode":"key_x"},"text":{"en-us":"Cut","es-mx":"Cortar"},"moreInfo":{"en-us":"Copies the selected Uyamak models into the clipboard and deletes the original ones","es-mx":"Copia los modelos Uyamak seleccionados en el portapapeles y elimina los originales."},"prtBelow":false,"func":"uyamakCbManager.cut()"},{"icon":"fas fa-copy","kbShort":{"ctrl":true,"alt":false,"shift":false,"key":"c","keycode":"67","langCode":"key_c"},"text":{"en-us":"Copy","es-mx":"Copiar"},"moreInfo":{"en-us":"Copies the selected Uyamak models into the clipboard","es-mx":"Copia los modelos Uyamak seleccionados en el portapapeles"},"prtBelow":false,"func":"uyamakCbManager.copy()"},{"icon":"fas fa-paste","kbShort":{"ctrl":true,"alt":false,"shift":false,"key":"v","keycode":"86","langCode":"key_v"},"text":{"en-us":"Paste","es-mx":"Pegar"},"moreInfo":{"en-us":"Pastes the clipboard Uyamak models to the present Uyamak system","es-mx":"Pega los modelos de portapapeles Uyamak en el sistema Uyamak actual"},"prtBelow":false,"func":"uyamakCbManager.paste()"},{"icon":"fas fa-clone","kbShort":{"ctrl":true,"alt":false,"shift":true,"key":"c","keycode":"67","langCode":"key_c"},"text":{"en-us":"Clone","es-mx":"Clon"},"moreInfo":{"en-us":"Clones the selected Uyamak models","es-mx":"Clona los modelos Uyamak seleccionados"},"prtBelow":false,"func":"uyamakCbManager.clone()"},{"icon":"fas fa-trash-alt","kbShort":{"ctrl":false,"alt":false,"shift":false,"key":"delete","keycode":"46","langCode":"key_delete"},"text":{"en-us":"Delete","es-mx":"Eliminar"},"moreInfo":{"en-us":"Delete the selected Uyamak models and Sub-systems","es-mx":"Eliminar los modelos y subsistemas Uyamak seleccionados"},"prtBelow":true,"func":"mainSystem.graph.deleteBtnPress()"},{"icon":"fas fa-eraser","kbShort":{"ctrl":true,"alt":false,"shift":false,"key":"d","keycode":"68","langCode":"key_d"},"text":{"en-us":"Remove useless wires","es-mx":"Retire los cables inútiles"},"moreInfo":{"en-us":"Removes all the unconnected wires","es-mx":"Elimina todos los cables desconectados."},"prtBelow":true,"func":"mainSystem.removeUselessEdges()"},{"icon":"fas fa-undo","kbShort":{"ctrl":true,"alt":false,"shift":false,"key":"z","keycode":"90","langCode":"key_z"},"text":{"en-us":"Undo","es-mx":"Deshacer"},"moreInfo":{"en-us":"Undo the recent changes","es-mx":"Deshacer los cambios recientes"},"prtBelow":false,"func":"mainSystem.undoManager.undo()"},{"icon":"fas fa-redo","kbShort":{"ctrl":true,"alt":false,"shift":true,"key":"z","keycode":"90","langCode":"key_z"},"text":{"en-us":"Redo","es-mx":"Rehacer"},"moreInfo":{"en-us":"Redo the recent changes","es-mx":"Rehacer los cambios recientes"},"prtBelow":false,"func":"mainSystem.undoManager.redo()"}]},{"icon":"fas fa-location-arrow","kbShort":{"ctrl":false,"alt":true,"shift":false,"key":"n","keycode":"78","langCode":"key_n"},"text":{"en-us":"Navigate","es-mx":"Navegar"},"moreInfo":{"en-us":"Contains the commands to navigates through the graph","es-mx":"Contiene los comandos para navegar a través del gráfico."},"subMenu":[{"icon":"fas fa-search-plus","kbShort":{"ctrl":true,"alt":false,"shift":false,"key":"add","keycode":"107","langCode":"key_add"},"text":{"en-us":"Zoom in","es-mx":"Acercarse"},"moreInfo":{"en-us":"Zooms in","es-mx":"Se acerca"},"prtBelow":false,"func":"mainSystem.navigate('zoomIn')"},{"icon":"fas fa-search-minus","kbShort":{"ctrl":true,"alt":false,"shift":false,"key":"subtract","keycode":"109","langCode":"key_sub"},"text":{"en-us":"Zoom out","es-mx":"Disminuir el zoom"},"moreInfo":{"en-us":"Zooms out","es-mx":"Se aleja"},"prtBelow":false,"func":"mainSystem.navigate('zoomOut')"},{"icon":"fas fa-compress","kbShort":{"ctrl":true,"alt":false,"shift":false,"key":"k_0","keycode":"48","langCode":"key_0"},"text":{"en-us":"Original size","es-mx":"Tamaño original"},"moreInfo":{"en-us":"Shows the original size. Some items may be out of view. You can see them by scrolling","es-mx":"Muestra el tamaño original. Algunos artículos pueden estar fuera de la vista. Puedes verlos desplazándote"},"prtBelow":false,"func":"mainSystem.navigate('zoomActual')"},{"icon":"fas fa-expand","kbShort":{"ctrl":true,"alt":false,"shift":true,"key":"k_0","keycode":"48","langCode":"key_0"},"text":{"en-us":"Fit all","es-mx":"Ajustar todo"},"moreInfo":{"en-us":"Shows the complete Uyamak system","es-mx":"Muestra el sistema Uyamak completo."},"prtBelow":true,"func":"mainSystem.navigate('fit')"},{"icon":"fab fa-vine","kbShort":{"ctrl":true,"alt":true,"shift":true,"key":"a","keycode":"65","langCode":"key_a"},"text":{"en-us":"System outline","es-mx":"Esquema del sistema"},"moreInfo":{"en-us":"Shows outline of the Uyamak system in a small window on the top right corner","es-mx":"Muestra el esquema del sistema Uyamak en una pequeña ventana en la esquina superior derecha"},"prtBelow":false,"func":"alertWIP()"}]},{"icon":"fas fa-desktop","kbShort":{"ctrl":false,"alt":true,"shift":false,"key":"v","keycode":"86","langCode":"key_v"},"text":{"en-us":"View","es-mx":"Ver"},"moreInfo":{"en-us":"Menu gives different options to visualize the Uyamak system","es-mx":"El menú ofrece diferentes opciones para visualizar el sistema Uyamak"},"subMenu":[{"icon":"fas fa-desktop","kbShort":{"ctrl":true,"alt":true,"shift":true,"key":"f","keycode":"70","langCode":"key_f"},"text":{"en-us":"Full screen","es-mx":"Pantalla completa"},"moreInfo":{"en-us":"Makes the app run on full screen","es-mx":"Hace que la aplicación se ejecute en pantalla completa"},"prtBelow":false,"func":"launchFullscreen()"},{"icon":"fas fa-window-minimize","kbShort":{"ctrl":true,"alt":false,"shift":false,"key":"m","keycode":"77","langCode":"key_m"},"text":{"en-us":"Minimize  subsystem(s)","es-mx":"Minimizar subsistema (s)"},"moreInfo":{"en-us":"Minimizes the selected subsystem. If nothing is selected, all the sub-systems will be minimized","es-mx":"Minimiza el subsistema seleccionado. Si no se selecciona nada, todos los subsistemas se minimizarán."},"prtBelow":false,"func":"mainSystem.graph.foldItems(true)"},{"icon":"fas fa-window-maximize","kbShort":{"ctrl":true,"alt":false,"shift":true,"key":"m","keycode":"77","langCode":"key_m"},"text":{"en-us":"Maximize  subsystem(s)","es-mx":"Maximizar subsistema (s)"},"moreInfo":{"en-us":"Maximizes the selected subsystem. If nothing is selected, all the sub-systems will be maximized","es-mx":"Maximiza el subsistema seleccionado. Si no se selecciona nada, todos los subsistemas se maximizarán"},"prtBelow":true,"func":"mainSystem.graph.foldItems(false)"},{"icon":"fas fa-sync-alt","kbShort":{"ctrl":true,"alt":false,"shift":false,"key":"r","keycode":"82","langCode":"key_r"},"text":{"en-us":"Rotate clockwise","es-mx":"Girar en el sentido de las agujas del reloj"},"moreInfo":{"en-us":"Rotates the selected blocks in the clockwise direction","es-mx":"Gira los bloques seleccionados en el sentido de las agujas del reloj."},"prtBelow":false,"func":"editorVue.rotateAll(true)"},{"icon":"fas fa-sync-alt fa-flip-horizontal","kbShort":{"ctrl":true,"alt":false,"shift":true,"key":"r","keycode":"82","langCode":"key_r"},"text":{"en-us":"Rotate counter-clockwise","es-mx":"Girar en el sentido contrario de las agujas del reloj"},"moreInfo":{"en-us":"Rotates the selected blocks in the counter-clockwise direction","es-mx":"Gira los bloques seleccionados en sentido antihorario"},"prtBelow":true,"func":"editorVue.rotateAll(false)"},{"icon":"fas fa-clone","kbShort":{"ctrl":true,"alt":false,"shift":false,"key":"f","keycode":"70","langCode":"key_f"},"text":{"en-us":"Bring to front","es-mx":"Traer al frente"},"moreInfo":{"en-us":"Bring the selected blocks to the front","es-mx":"Trae los bloques seleccionados al frente"},"prtBelow":false,"func":"mainSystem.graph.orderCells(false);mainSystem.refresh()"},{"icon":"fas fa-clone fa-rotate-180","kbShort":{"ctrl":true,"alt":false,"shift":false,"key":"b","keycode":"66","langCode":"key_b"},"text":{"en-us":"Send to back","es-mx":"Mandado hacia atras"},"moreInfo":{"en-us":"Send the selected blocks to back","es-mx":"Enviar los bloques seleccionados al fondo"},"prtBelow":false,"func":"mainSystem.graph.orderCells(true);mainSystem.refresh()"},{"icon":"fas fa-sort-numeric-up-alt","kbShort":{"ctrl":false,"alt":false,"shift":false,"key":"","keycode":"","langCode":""},"text":{"en-us":"Execution order","es-mx":"Orden de ejecución"},"moreInfo":{"en-us":"Shows simulation order and errors","es-mx":"Muestra el orden de simulación y los errores."},"prtBelow":false,"func":"simVue.displayExecutionOrder()"}]},{"icon":"far fa-life-ring","kbShort":{"ctrl":false,"alt":true,"shift":false,"key":"h","keycode":"72","langCode":"key_h"},"text":{"en-us":"Help","es-mx":"Ayuda"},"moreInfo":{"en-us":"Menu gives access to documentation and help","es-mx":"El menú da acceso a la documentación y ayuda"},"subMenu":[{"icon":"fas fa-book","kbShort":{"ctrl":true,"alt":false,"shift":false,"key":"h","keycode":"72","langCode":"key_h"},"text":{"en-us":"Documentation","es-mx":"Documentación"},"moreInfo":{"en-us":"Takes you to the documentation page","es-mx":"Te lleva a la página de documentación"},"prtBelow":false,"func":"alertWIP()"},{"icon":"far fa-question-circle","kbShort":{"ctrl":true,"alt":false,"shift":true,"key":"h","keycode":"72","langCode":"key_h"},"text":{"en-us":"Context help","es-mx":"Ayuda contextual"},"moreInfo":{"en-us":"Shows the documentation for the selected Uyamak model","es-mx":"Muestra la documentación para el modelo Uyamak seleccionado."},"prtBelow":true,"func":"alertWIP()"},{"icon":"fas fa-info","kbShort":{"ctrl":false,"alt":false,"shift":false,"key":"","keycode":"","langCode":""},"text":{"en-us":"About","es-mx":"Acerca de"},"moreInfo":{"en-us":"Shows the documentation for the selected Uyamak model","es-mx":"Muestra la documentación para el modelo Uyamak seleccionado."},"prtBelow":false,"func":"alertWIP()"}]},{"icon":"fas fa-donate","kbShort":{"ctrl":false,"alt":false,"shift":false,"key":"","keycode":"","langCode":""},"text":{"en-us":"Donate","es-mx":"Donar"},"moreInfo":{"en-us":"Shows different options how you can support me","es-mx":"Muestra diferentes opciones de cómo puedes apoyarme."},"subMenu":[{"icon":"fab fa-patreon","kbShort":{"ctrl":false,"alt":false,"shift":false,"key":"","keycode":"","langCode":""},"text":{"en-us":"Be my Patreon","es-mx":"Ser mi Patreon"},"moreInfo":{"en-us":"Be a Patreon member to show your support","es-mx":"Sea miembro de Patreon para mostrar su apoyo"},"prtBelow":false,"func":"window.open('https://www.patreon.com/skgadi','_blank');"},{"icon":"fab fa-paypal","kbShort":{"ctrl":false,"alt":false,"shift":false,"key":"","keycode":"","langCode":""},"text":{"en-us":"Donate me on PayPal","es-mx":"Doname en PayPal"},"moreInfo":{"en-us":"Make one-time or recurrent payment using the secured PayPal platform with a wide variety of payment options.","es-mx":"Realice un pago único o recurrente mediante la plataforma segura de PayPal con una amplia variedad de opciones de pago."},"prtBelow":false,"func":"window.open('https://www.paypal.com/donate?hosted_button_id=SKRWAX2RLAB6S','_blank');"},{"icon":"fas fa-tshirt","kbShort":{"ctrl":false,"alt":false,"shift":false,"key":"","keycode":"","langCode":""},"text":{"en-us":"Buy my merchandise","es-mx":"Compra mi mercancía"},"moreInfo":{"en-us":"You can buy some of our merchandise to support us.","es-mx":"Puede comprar algunos de nuestros productos para apoyarnos."},"prtBelow":false,"func":"window.open('https://shop.spreadshirt.com/skgadi/','_blank');"}]}];</t>
  </si>
  <si>
    <t>Property</t>
  </si>
  <si>
    <t>const settings = {</t>
  </si>
  <si>
    <t>lang</t>
  </si>
  <si>
    <t>["en-us", "es-mx"].indexOf(possibleLang) &gt;= 0 ? possibleLang : "en-us"</t>
  </si>
  <si>
    <t>true</t>
  </si>
  <si>
    <t>App language</t>
  </si>
  <si>
    <t>Default theme</t>
  </si>
  <si>
    <t>Grid lines</t>
  </si>
  <si>
    <t>Grid lines big</t>
  </si>
  <si>
    <t>Gridlines mega</t>
  </si>
  <si>
    <t xml:space="preserve">Show outline </t>
  </si>
  <si>
    <t>Default grid size</t>
  </si>
  <si>
    <t>Enable or disable guides</t>
  </si>
  <si>
    <t>Show labels</t>
  </si>
  <si>
    <t>Show the execution order</t>
  </si>
  <si>
    <t>Keep the label name blank when added</t>
  </si>
  <si>
    <t>"theme-light"</t>
  </si>
  <si>
    <t>Crear bloques sin capción</t>
  </si>
  <si>
    <t>Create blocks without a caption</t>
  </si>
  <si>
    <t>etyCap</t>
  </si>
  <si>
    <t>test</t>
  </si>
  <si>
    <t>#f6f6ff</t>
  </si>
  <si>
    <t>#ececff</t>
  </si>
  <si>
    <t>#a0a0ff</t>
  </si>
  <si>
    <t>#101019</t>
  </si>
  <si>
    <t>Light theme 6</t>
  </si>
  <si>
    <t>Tema ligero 6</t>
  </si>
  <si>
    <t>#e3e3ff</t>
  </si>
  <si>
    <t>#7070b3</t>
  </si>
  <si>
    <t>darktest</t>
  </si>
  <si>
    <t>#202033</t>
  </si>
  <si>
    <t>#30304c</t>
  </si>
  <si>
    <t>#bdbdff</t>
  </si>
  <si>
    <t>&lt;g stroke-width='1' fill='var(--col-text-0)'&gt;&lt;text x='12' y='87'font-size='8em'&gt;C&lt;/text&gt;&lt;/g&gt;</t>
  </si>
  <si>
    <t>&lt;path stroke-width='1' d='M20,20 L10,90 90,90 80,20 20,20 M27.5,20 L20,90 M35,20 L30,90 M42.5,20 L40,90 M50,20 L50,90 M57.5,20 L60,90 M65,20 L70,90 M72.75,20 L80,90 M11.7,78.85 L 88.3,78.85 M13.2,68.5 L 86.8,68.5 M14.5,58.8 L 85.5,58.8 M15.8,50 L 84.2,50 M16.9,41.7 L 83.1,41.7 M18,34.0 L 82,34.0 M19.1,26.8 L 80.9,26.8'/&gt;&lt;ellipse fill='var(--col-text-0)' stroke-width='0.1' cx='50' cy='50' rx='20' ry='10'/&gt;&lt;ellipse fill='var(--col-text-0)' stroke-width='0.1' cx='50' cy='55' rx='20' ry='10'/&gt;&lt;rect fill='var(--col-text-0)' stroke-width='0.1' x='30' y='50' width='40' height='5'/&gt;&lt;line stroke-width='5' x1='50' y1='50' x2= '50' y2='25'/&gt;&lt;line stroke-width='5' x1='48' y1='28' x2= '80' y2='10'/&gt;&lt;line stroke-width='5' x1='77' y1='9' x2= '90' y2='30'/&gt;</t>
  </si>
  <si>
    <t>&lt;g stroke-width='1' fill='var(--col-text-0)'&gt;&lt;text x='12' y='57'font-size='2em'&gt;Gain&lt;/text&gt;&lt;/g&gt;</t>
  </si>
  <si>
    <t>&lt;g stroke-width='1' fill='var(--col-text-0)'&gt;&lt;text x='1' y='95' font-size='10em'&gt;÷&lt;/text&gt;&lt;/g&gt;</t>
  </si>
  <si>
    <t>&lt;line x1='10' y1='50' x2= '90' y2='50'/&gt;&lt;g stroke-width='1' fill='var(--col-text-0)'&gt;&lt;text x='35' y='90' font-size='3em'&gt;0&lt;/text&gt;&lt;line x1='50' y1='45' x2= '50' y2='55'/&gt;&lt;/g&gt;&lt;path d='M 15 30 l 25 0 m -10 -10 l 10 10 l -10 10'/&gt;&lt;path d='M 85 30 l -25 0 m 10 -10 l -10 10 l 10 10'/&gt;</t>
  </si>
  <si>
    <t>&lt;line x1='10' y1='10' x2= '90' y2='10'/&gt;&lt;line x1='10' y1='90' x2= '90' y2='90'/&gt;&lt;g stroke-width='2'&gt;&lt;path d='M 40 50 L 70 50 L 70 85 M 75 75 L 70 85 L 65 75 M 70 50 L 70 15 M 75 25 L 70 15 L 65 25'/&gt;&lt;text x='10' y='65'fill='var(--col-text-0)' font-size='3em'&gt;?&lt;/text&gt;&lt;/g&gt;</t>
  </si>
  <si>
    <t>&lt;g stroke-width='1' fill='var(--col-text-0)'&gt;&lt;text x='25' y='90' font-size='5em'&gt;?&lt;/text&gt;&lt;text x='2' y='30' font-size='2em'&gt;-/0/+&lt;/text&gt;&lt;/g&gt;</t>
  </si>
  <si>
    <t>&lt;text x='15' y='73' font-size='7em' stroke-width='1' fill='var(--col-text-0)'&gt;u&lt;/text&gt;&lt;line x1='10' y1='10' x2= '10' y2='90'/&gt;&lt;line x1='90' y1='10' x2= '90' y2='90'/&gt;</t>
  </si>
  <si>
    <t>&lt;g stroke-width='1' fill='var(--col-text-0)'&gt;&lt;text x='2' y='90' font-size='8em'&gt;u&lt;/text&gt;&lt;text x='63' y='42' font-size='3.5em'&gt;2&lt;/text&gt;&lt;/g&gt;</t>
  </si>
  <si>
    <t>&lt;path fill='none' d='M 10 50 l 10 32 l 30 -70 l 40 0'/&gt;&lt;g stroke-width='2'&gt;&lt;text x='45' y='65'fill='var(--col-text-0)' font-size='4em'&gt;u&lt;/text&gt;&lt;/g&gt;</t>
  </si>
  <si>
    <t>&lt;g stroke-width='1' fill='var(--col-text-0)'&gt;&lt;text x='2' y='90' font-size='8em'&gt;u&lt;/text&gt;&lt;text x='63' y='42' font-size='3.5em'&gt;3&lt;/text&gt;&lt;/g&gt;</t>
  </si>
  <si>
    <t>&lt;path fill='none' d='M 10 50 l 10 32 l 30 -70 l 40 0'/&gt;&lt;g stroke-width='1' fill='var(--col-text-0)'&gt;&lt;text x='45' y='65' font-size='5em'&gt;u&lt;/text&gt;&lt;text x='13' y='48' font-size='2em'&gt;3&lt;/text&gt;&lt;/g&gt;</t>
  </si>
  <si>
    <t>&lt;g stroke-width='1' fill='var(--col-text-0)'&gt;&lt;text x='5' y='80'  font-size='5em'&gt;u&lt;/text&gt;&lt;text x='45' y='45'  font-size='5em'&gt;a&lt;/text&gt;&lt;/g&gt;</t>
  </si>
  <si>
    <t>&lt;path fill='none' d='M 10 50 l 10 32 l 30 -70 l 40 0'/&gt;&lt;g stroke-width='1' fill='var(--col-text-0)'&gt;&lt;text x='45' y='65' font-size='5em'&gt;u&lt;/text&gt;&lt;text x='13' y='48' font-size='2em'&gt;n&lt;/text&gt;&lt;/g&gt;</t>
  </si>
  <si>
    <t>&lt;path fill='none' d='M 10 50 l 10 40 l 10 -80 l 60 0'/&gt;&lt;g stroke-width='1' fill='var(--col-text-0)'&gt;&lt;text x='35' y='57' font-size='3em'&gt;&amp;sum;&lt;/text&gt;&lt;text x='60' y='55' font-size='2em'&gt;u&lt;/text&gt;&lt;text x='80' y='57' stroke-width='0.5' font-size='0.5em'&gt;i,j&lt;/text&gt;&lt;text x='78' y='45' font-size='1em'&gt;2&lt;/text&gt;&lt;/g&gt;</t>
  </si>
  <si>
    <t>&lt;g stroke-width='1' fill='var(--col-text-0)'&gt;&lt;text x='2' y='80' font-size='5em'&gt;u&lt;/text&gt;&lt;text x='46' y='90' font-size='2em'&gt;1&lt;/text&gt;&lt;text x='35' y='45' font-size='5em'&gt;u&lt;/text&gt;&lt;text x='78' y='60' font-size='2em'&gt;2&lt;/text&gt;&lt;/g&gt;</t>
  </si>
  <si>
    <t>&lt;g stroke-width='1' fill='var(--col-text-0)'&gt;&lt;text x='8' y='80'  font-size='5em'&gt;a&lt;/text&gt;&lt;text x='40' y='45'  font-size='5em'&gt;u&lt;/text&gt;&lt;/g&gt;</t>
  </si>
  <si>
    <t>&lt;g stroke-width='1' fill='var(--col-text-0)'&gt;&lt;text x='7' y='80' font-size='5em'&gt;e&lt;/text&gt;&lt;text x='40' y='45' font-size='5em'&gt;u&lt;/text&gt;&lt;/g&gt;</t>
  </si>
  <si>
    <t>&lt;g stroke-width='1' fill='var(--col-text-0)'&gt;&lt;text x='0' y='70' font-size='4em'&gt;e&lt;/text&gt;&lt;text x='25' y='45' font-size='3em'&gt;u&lt;/text&gt;&lt;text x='42' y='70' font-size='3em'&gt;-1&lt;/text&gt;&lt;/g&gt;</t>
  </si>
  <si>
    <t>&lt;g stroke-width='1' fill='var(--col-text-0)'&gt;&lt;text x='0' y='55'font-size='2.2em'&gt;ln(u)&lt;/text&gt;&lt;/g&gt;</t>
  </si>
  <si>
    <t>&lt;g stroke-width='1' fill='var(--col-text-0)'&gt;&lt;text x='1' y='50'font-size='1.32em'&gt;log(u+1)&lt;/text&gt;&lt;text x='37' y='60'font-size='1em'&gt;n&lt;/text&gt;&lt;/g&gt;</t>
  </si>
  <si>
    <t>&lt;g stroke-width='1' fill='var(--col-text-0)'&gt;&lt;text x='1' y='50'font-size='1.8em'&gt;log(u)&lt;/text&gt;&lt;text x='48' y='65'font-size='1em'&gt;10&lt;/text&gt;&lt;/g&gt;</t>
  </si>
  <si>
    <t>&lt;g stroke-width='1' fill='var(--col-text-0)'&gt;&lt;text x='1' y='50'font-size='1.8em'&gt;log(u)&lt;/text&gt;&lt;text x='50' y='62'font-size='1.4em'&gt;2&lt;/text&gt;&lt;/g&gt;</t>
  </si>
  <si>
    <t>&lt;g stroke-width='1' fill='var(--col-text-0)'&gt;&lt;text x='1' y='50'font-size='1.8em'&gt;log(u)&lt;/text&gt;&lt;text x='51' y='62'font-size='1.4em'&gt;n&lt;/text&gt;&lt;/g&gt;</t>
  </si>
  <si>
    <t>&lt;g stroke-width='1' fill='var(--col-text-0)'&gt;&lt;text x='1' y='50'font-size='1.8em'&gt;log( )&lt;/text&gt;&lt;text x='67' y='50'font-size='1.8em'&gt;u&lt;/text&gt;&lt;text x='51' y='62'font-size='1.4em'&gt;u&lt;/text&gt;&lt;text x='83' y='57'font-size='1em'&gt;1&lt;/text&gt;&lt;text x='64' y='67'font-size='0.8em'&gt;2&lt;/text&gt;&lt;/g&gt;</t>
  </si>
  <si>
    <t>&lt;text x='5' y='60'fill='var(--col-text-0)' stroke-width='1' font-size='3em'&gt;LCM&lt;/text&gt;</t>
  </si>
  <si>
    <t>&lt;text x='5' y='60'fill='var(--col-text-0)' stroke-width='1' font-size='3em'&gt;GCD&lt;/text&gt;</t>
  </si>
  <si>
    <t>&lt;text x='2' y='60'fill='var(--col-text-0)' stroke-width='1' font-size='2em'&gt;X-GCD&lt;/text&gt;</t>
  </si>
  <si>
    <t>&lt;g stroke-width='1' fill='var(--col-text-0)'&gt;&lt;text x='1' y='60'font-size='3em'&gt;u&lt;/text&gt;&lt;text x='68' y='60'font-size='3em'&gt;n&lt;/text&gt;&lt;text x='30' y='70'font-size='4em'&gt;%&lt;/text&gt;&lt;/g&gt;</t>
  </si>
  <si>
    <t>&lt;g stroke-width='1' fill='var(--col-text-0)'&gt;&lt;text x='1' y='60'font-size='3em'&gt;n&lt;/text&gt;&lt;text x='70' y='60'font-size='3em'&gt;u&lt;/text&gt;&lt;text x='31' y='70'font-size='4em'&gt;%&lt;/text&gt;&lt;/g&gt;</t>
  </si>
  <si>
    <t>&lt;g stroke-width='1' fill='var(--col-text-0)'&gt;&lt;text x='1' y='60'font-size='3em'&gt;u&lt;/text&gt;&lt;text x='62' y='60'font-size='3em'&gt;u&lt;/text&gt;&lt;text x='28' y='70'font-size='4em'&gt;%&lt;/text&gt;&lt;text x='28' y='70'font-size='1em'&gt;1&lt;/text&gt;&lt;text x='88' y='70'font-size='1em'&gt;2&lt;/text&gt;&lt;/g&gt;</t>
  </si>
  <si>
    <t>&lt;g stroke-width='1' fill='var(--col-text-0)'&gt;&lt;text x='22' y='60'font-size='2em'&gt;Sin&lt;/text&gt;&lt;/g&gt;</t>
  </si>
  <si>
    <t>&lt;g stroke-width='1' fill='var(--col-text-0)'&gt;&lt;text x='22' y='60'font-size='2em'&gt;Cos&lt;/text&gt;&lt;/g&gt;</t>
  </si>
  <si>
    <t>&lt;g stroke-width='1' fill='var(--col-text-0)'&gt;&lt;text x='22' y='60'font-size='2em'&gt;Tan&lt;/text&gt;&lt;/g&gt;</t>
  </si>
  <si>
    <t>&lt;g stroke-width='1' fill='var(--col-text-0)'&gt;&lt;text x='22' y='60'font-size='2em'&gt;Csc&lt;/text&gt;&lt;/g&gt;</t>
  </si>
  <si>
    <t>&lt;g stroke-width='1' fill='var(--col-text-0)'&gt;&lt;text x='22' y='60'font-size='2em'&gt;Sec&lt;/text&gt;&lt;/g&gt;</t>
  </si>
  <si>
    <t>&lt;g stroke-width='1' fill='var(--col-text-0)'&gt;&lt;text x='22' y='60'font-size='2em'&gt;Cot&lt;/text&gt;&lt;/g&gt;</t>
  </si>
  <si>
    <t>&lt;g stroke-width='1' fill='var(--col-text-0)'&gt;&lt;text x='12' y='60'font-size='2em'&gt;Asin&lt;/text&gt;&lt;/g&gt;</t>
  </si>
  <si>
    <t>&lt;g stroke-width='1' fill='var(--col-text-0)'&gt;&lt;text x='12' y='60'font-size='2em'&gt;Acos&lt;/text&gt;&lt;/g&gt;</t>
  </si>
  <si>
    <t>&lt;g stroke-width='1' fill='var(--col-text-0)'&gt;&lt;text x='12' y='60'font-size='2em'&gt;Atan&lt;/text&gt;&lt;/g&gt;</t>
  </si>
  <si>
    <t>&lt;g stroke-width='1' fill='var(--col-text-0)'&gt;&lt;text x='12' y='60'font-size='2em'&gt;Acsc&lt;/text&gt;&lt;/g&gt;</t>
  </si>
  <si>
    <t>&lt;g stroke-width='1' fill='var(--col-text-0)'&gt;&lt;text x='12' y='60'font-size='2em'&gt;Asec&lt;/text&gt;&lt;/g&gt;</t>
  </si>
  <si>
    <t>&lt;g stroke-width='1' fill='var(--col-text-0)'&gt;&lt;text x='12' y='60'font-size='2em'&gt;Acot&lt;/text&gt;&lt;/g&gt;</t>
  </si>
  <si>
    <t>&lt;g stroke-width='1' fill='var(--col-text-0)'&gt;&lt;text x='11' y='60'font-size='2em'&gt;Sinh&lt;/text&gt;&lt;/g&gt;</t>
  </si>
  <si>
    <t>&lt;g stroke-width='1' fill='var(--col-text-0)'&gt;&lt;text x='11' y='60'font-size='2em'&gt;Cosh&lt;/text&gt;&lt;/g&gt;</t>
  </si>
  <si>
    <t>&lt;g stroke-width='1' fill='var(--col-text-0)'&gt;&lt;text x='11' y='60'font-size='2em'&gt;Tanh&lt;/text&gt;&lt;/g&gt;</t>
  </si>
  <si>
    <t>&lt;g stroke-width='1' fill='var(--col-text-0)'&gt;&lt;text x='11' y='60'font-size='2em'&gt;Csch&lt;/text&gt;&lt;/g&gt;</t>
  </si>
  <si>
    <t>&lt;g stroke-width='1' fill='var(--col-text-0)'&gt;&lt;text x='11' y='60'font-size='2em'&gt;Sech&lt;/text&gt;&lt;/g&gt;</t>
  </si>
  <si>
    <t>&lt;g stroke-width='1' fill='var(--col-text-0)'&gt;&lt;text x='11' y='60'font-size='2em'&gt;Coth&lt;/text&gt;&lt;/g&gt;</t>
  </si>
  <si>
    <t>&lt;g stroke-width='1' fill='var(--col-text-0)'&gt;&lt;text x='2.5' y='60'font-size='2em'&gt;Asinh&lt;/text&gt;&lt;/g&gt;</t>
  </si>
  <si>
    <t>&lt;g stroke-width='1' fill='var(--col-text-0)'&gt;&lt;text x='2.5' y='60'font-size='2em'&gt;Acosh&lt;/text&gt;&lt;/g&gt;</t>
  </si>
  <si>
    <t>&lt;g stroke-width='1' fill='var(--col-text-0)'&gt;&lt;text x='2.5' y='60'font-size='2em'&gt;Atanh&lt;/text&gt;&lt;/g&gt;</t>
  </si>
  <si>
    <t>&lt;g stroke-width='1' fill='var(--col-text-0)'&gt;&lt;text x='2.5' y='60'font-size='2em'&gt;Acsch&lt;/text&gt;&lt;/g&gt;</t>
  </si>
  <si>
    <t>&lt;g stroke-width='1' fill='var(--col-text-0)'&gt;&lt;text x='2.5' y='60'font-size='2em'&gt;Asech&lt;/text&gt;&lt;/g&gt;</t>
  </si>
  <si>
    <t>&lt;g stroke-width='1' fill='var(--col-text-0)'&gt;&lt;text x='2.5' y='60'font-size='2em'&gt;Acoth&lt;/text&gt;&lt;/g&gt;</t>
  </si>
  <si>
    <t>&lt;text x='20' y='73' stroke-width='1' fill='var(--col-text-0)' font-size='4em'&gt;u&lt;/text&gt;&lt;text x='55' y='52' stroke-width='1' fill='var(--col-text-0)' font-size='3em'&gt;T&lt;/text&gt;</t>
  </si>
  <si>
    <t>&lt;text x='20' y='73' stroke-width='1' fill='var(--col-text-0)' font-size='4em'&gt;u&lt;/text&gt;&lt;text x='55' y='52' stroke-width='1' fill='var(--col-text-0)' font-size='3em'&gt;H&lt;/text&gt;</t>
  </si>
  <si>
    <t>&lt;text x='6' y='56' stroke-width='1' fill='var(--col-text-0)' font-size='2em'&gt;tr(u)&lt;/text&gt;</t>
  </si>
  <si>
    <t>&lt;text x='6' y='55' stroke-width='1' fill='var(--col-text-0)' font-size='1.7em'&gt;det(u)&lt;/text&gt;</t>
  </si>
  <si>
    <t>&lt;text x='20' y='73' stroke-width='1' fill='var(--col-text-0)' font-size='4em'&gt;u&lt;/text&gt;&lt;text x='45' y='45' stroke-width='1' fill='var(--col-text-0)' font-size='2em'&gt;-1&lt;/text&gt;</t>
  </si>
  <si>
    <t>&lt;g stroke-width='1' fill='var(--col-text-0)'&gt;&lt;text x='22' y='40' font-size='3em'&gt;du&lt;/text&gt;&lt;text x='22' y='85' font-size='3em'&gt;dt&lt;/text&gt;&lt;/g&gt;&lt;line stroke-width='3' fill='var(--col-text-0)' x1='20' y1='50' x2= '80' y2='50'/&gt;</t>
  </si>
  <si>
    <t>&lt;g stroke-width='1' fill='var(--col-text-0)'&gt;&lt;text x='35' y='45' font-size='3em'&gt;1&lt;/text&gt;&lt;line x1='30' y1='50' x2= '70' y2='50'/&gt;&lt;text x='30' y='82' font-size='4em'&gt;s&lt;/text&gt;&lt;/g&gt;</t>
  </si>
  <si>
    <t>&lt;g stroke-width='1' fill='var(--col-text-0)'&gt;&lt;text x='15' y='35' font-size='2em'&gt;y(s)&lt;/text&gt;&lt;line x1='10' y1='50' x2= '90' y2='50'/&gt;&lt;text x='15' y='75' font-size='2em'&gt;u(s)&lt;/text&gt;&lt;/g&gt;</t>
  </si>
  <si>
    <t>&lt;g stroke-width='1' fill='var(--col-text-0)'&gt;&lt;text x='1' y='35' font-size='1.45em'&gt;x=Ax+Bu&lt;/text&gt;&lt;text x='1' y='75' font-size='1.45em'&gt;y=Cx+Du&lt;/text&gt;&lt;text x='1' y='22' font-size='1.45em'&gt;.&lt;/text&gt;&lt;/g&gt;</t>
  </si>
  <si>
    <t>&lt;g stroke-width='1' fill='var(--col-text-0)'&gt;&lt;text x='1' y='35' font-size='1.45em'&gt;x=ax+bu&lt;/text&gt;&lt;text x='1' y='75' font-size='1.45em'&gt;y=cx+du&lt;/text&gt;&lt;text x='1' y='22' font-size='1.45em'&gt;.&lt;/text&gt;&lt;/g&gt;</t>
  </si>
  <si>
    <t>&lt;g stroke-width='1' fill='var(--col-text-0)'&gt;&lt;text x='35' y='45' font-size='3em'&gt;1&lt;/text&gt;&lt;line x1='30' y1='50' x2= '70' y2='50'/&gt;&lt;text x='30' y='82' font-size='4em'&gt;z&lt;/text&gt;&lt;/g&gt;</t>
  </si>
  <si>
    <t>&lt;g stroke-width='1' fill='var(--col-text-0)'&gt;&lt;text x='15' y='35' font-size='2em'&gt;y(z)&lt;/text&gt;&lt;line x1='10' y1='50' x2= '90' y2='50'/&gt;&lt;text x='15' y='75' font-size='2em'&gt;u(z)&lt;/text&gt;&lt;/g&gt;</t>
  </si>
  <si>
    <t>"umk_1586108946421":{"icon":"&lt;g stroke-width='1' fill='var(--col-text-0)'&gt;&lt;text x='12' y='87'font-size='8em'&gt;C&lt;/text&gt;&lt;/g&gt;","bg":"#1595C8","fg":"#ffffff","width":48,"height":48,"keywords":"constant","category":["sources"],"name":{"en-us":"Constant","es-mx":"Constante"},"desc":{"en-us":"A constant of scalar, vector or a matrix","es-mx":"Una constante de escalar, vector o una matriz"}}</t>
  </si>
  <si>
    <t>,"umk_1595556058847":{"icon":"&lt;path stroke-width='1' d='M20,20 L10,90 90,90 80,20 20,20 M27.5,20 L20,90 M35,20 L30,90 M42.5,20 L40,90 M50,20 L50,90 M57.5,20 L60,90 M65,20 L70,90 M72.75,20 L80,90 M11.7,78.85 L 88.3,78.85 M13.2,68.5 L 86.8,68.5 M14.5,58.8 L 85.5,58.8 M15.8,50 L 84.2,50 M16.9,41.7 L 83.1,41.7 M18,34.0 L 82,34.0 M19.1,26.8 L 80.9,26.8'/&gt;&lt;ellipse fill='var(--col-text-0)' stroke-width='0.1' cx='50' cy='50' rx='20' ry='10'/&gt;&lt;ellipse fill='var(--col-text-0)' stroke-width='0.1' cx='50' cy='55' rx='20' ry='10'/&gt;&lt;rect fill='var(--col-text-0)' stroke-width='0.1' x='30' y='50' width='40' height='5'/&gt;&lt;line stroke-width='5' x1='50' y1='50' x2= '50' y2='25'/&gt;&lt;line stroke-width='5' x1='48' y1='28' x2= '80' y2='10'/&gt;&lt;line stroke-width='5' x1='77' y1='9' x2= '90' y2='30'/&gt;","bg":"","fg":"","width":96,"height":96,"keywords":"","category":["sinks"],"name":{"en-us":"6-DOF Robot","es-mx":"Robot 6-GDL"},"desc":{"en-us":"A 6-DOF robot is shown whose position can be controlled","es-mx":"Se muestra un robot 6-GDL cuya posición se puede controlar"}}</t>
  </si>
  <si>
    <t>,"umk_1588715754701":{"icon":"&lt;g stroke-width='1' fill='var(--col-text-0)'&gt;&lt;text x='12' y='57'font-size='2em'&gt;Gain&lt;/text&gt;&lt;/g&gt;","bg":"#1595C8","fg":"#ffffff","width":48,"height":48,"keywords":"gain ganancia","category":["basics"],"name":{"en-us":"Gain","es-mx":"Ganancia"},"desc":{"en-us":"Multiplies the input by a given constant.","es-mx":"Multiplica la entrada por una constante dada."}}</t>
  </si>
  <si>
    <t>,"umk_1589386555683":{"icon":"&lt;g stroke-width='1' fill='var(--col-text-0)'&gt;&lt;text x='1' y='95' font-size='10em'&gt;÷&lt;/text&gt;&lt;/g&gt;","bg":"","fg":"","width":48,"height":48,"keywords":"","category":["basics"],"name":{"en-us":"Divide","es-mx":"Dividir"},"desc":{"en-us":"Can be used for scalar, elementwise or matrix division","es-mx":"Se puede usar para la división escalar, por elementos o matriz"}}</t>
  </si>
  <si>
    <t>,"umk_1589386632823":{"icon":"&lt;line x1='10' y1='50' x2= '90' y2='50'/&gt;&lt;g stroke-width='1' fill='var(--col-text-0)'&gt;&lt;text x='35' y='90' font-size='3em'&gt;0&lt;/text&gt;&lt;line x1='50' y1='45' x2= '50' y2='55'/&gt;&lt;/g&gt;&lt;path d='M 15 30 l 25 0 m -10 -10 l 10 10 l -10 10'/&gt;&lt;path d='M 85 30 l -25 0 m 10 -10 l -10 10 l 10 10'/&gt;","bg":"","fg":"","width":48,"height":48,"keywords":"","category":["basics"],"name":{"en-us":"Fix","es-mx":"Fijar"},"desc":{"en-us":"Round the input towards the zero","es-mx":"Redondea la entrada hacia el cero"}}</t>
  </si>
  <si>
    <t>,"umk_1589386948236":{"icon":"&lt;line x1='10' y1='10' x2= '90' y2='10'/&gt;&lt;line x1='10' y1='90' x2= '90' y2='90'/&gt;&lt;g stroke-width='2'&gt;&lt;path d='M 40 50 L 70 50 L 70 85 M 75 75 L 70 85 L 65 75 M 70 50 L 70 15 M 75 25 L 70 15 L 65 25'/&gt;&lt;text x='10' y='65'fill='var(--col-text-0)' font-size='3em'&gt;?&lt;/text&gt;&lt;/g&gt;","bg":"","fg":"","width":48,"height":48,"keywords":"","category":["basics"],"name":{"en-us":"Round","es-mx":"Redondo"},"desc":{"en-us":"Rounds the input to the selected number of decimal places","es-mx":"Redondea la entrada al número seleccionado de lugares decimales"}}</t>
  </si>
  <si>
    <t>,"umk_1589386996268":{"icon":"&lt;g stroke-width='1' fill='var(--col-text-0)'&gt;&lt;text x='25' y='90' font-size='5em'&gt;?&lt;/text&gt;&lt;text x='2' y='30' font-size='2em'&gt;-/0/+&lt;/text&gt;&lt;/g&gt;","bg":"","fg":"","width":48,"height":48,"keywords":"","category":["basics"],"name":{"en-us":"Sign","es-mx":"Firmar"},"desc":{"en-us":"Gives sign of the inpu","es-mx":"Da signo de la inpu"}}</t>
  </si>
  <si>
    <t>,"umk_1589386475682":{"icon":"&lt;text x='15' y='73' font-size='7em' stroke-width='1' fill='var(--col-text-0)'&gt;u&lt;/text&gt;&lt;line x1='10' y1='10' x2= '10' y2='90'/&gt;&lt;line x1='90' y1='10' x2= '90' y2='90'/&gt;","bg":"","fg":"","width":48,"height":48,"keywords":"","category":["basics"],"name":{"en-us":"Absolute","es-mx":"Absoluto"},"desc":{"en-us":"Retuns a positive value for a real number and gives magnitude for complex numbers","es-mx":"Reajusta un valor positivo para un número real y da magnitud para números complejos"}}</t>
  </si>
  <si>
    <t>,"umk_1589387014953":{"icon":"&lt;g stroke-width='1' fill='var(--col-text-0)'&gt;&lt;text x='2' y='90' font-size='8em'&gt;u&lt;/text&gt;&lt;text x='63' y='42' font-size='3.5em'&gt;2&lt;/text&gt;&lt;/g&gt;","bg":"","fg":"","width":48,"height":48,"keywords":"","category":["basics"],"name":{"en-us":"Square","es-mx":"Cuadrado"},"desc":{"en-us":"Obtians square of the input","es-mx":"Obtian cuadrado de la entrada"}}</t>
  </si>
  <si>
    <t>,"umk_1589386968441":{"icon":"&lt;path fill='none' d='M 10 50 l 10 32 l 30 -70 l 40 0'/&gt;&lt;g stroke-width='2'&gt;&lt;text x='45' y='65'fill='var(--col-text-0)' font-size='4em'&gt;u&lt;/text&gt;&lt;/g&gt;","bg":"","fg":"","width":48,"height":48,"keywords":"","category":["basics"],"name":{"en-us":"Square root","es-mx":"Raíz cuadrada"},"desc":{"en-us":"Calculaltes square root","es-mx":"Calcula la raíz cuadrada"}}</t>
  </si>
  <si>
    <t>,"umk_1589386524463":{"icon":"&lt;g stroke-width='1' fill='var(--col-text-0)'&gt;&lt;text x='2' y='90' font-size='8em'&gt;u&lt;/text&gt;&lt;text x='63' y='42' font-size='3.5em'&gt;3&lt;/text&gt;&lt;/g&gt;","bg":"","fg":"","width":48,"height":48,"keywords":"","category":["basics"],"name":{"en-us":"Cube","es-mx":"Cubo"},"desc":{"en-us":"Outputs the cube of the input","es-mx":"Da salida al cubo de la entrada"}}</t>
  </si>
  <si>
    <t>,"umk_1589386497071":{"icon":"&lt;path fill='none' d='M 10 50 l 10 32 l 30 -70 l 40 0'/&gt;&lt;g stroke-width='1' fill='var(--col-text-0)'&gt;&lt;text x='45' y='65' font-size='5em'&gt;u&lt;/text&gt;&lt;text x='13' y='48' font-size='2em'&gt;3&lt;/text&gt;&lt;/g&gt;","bg":"","fg":"","width":48,"height":48,"keywords":"","category":["basics"],"name":{"en-us":"Cube root","es-mx":"raíz cúbica"},"desc":{"en-us":"Returns cube root value","es-mx":"Devuelve el valor raíz del cubo"}}</t>
  </si>
  <si>
    <t>,"umk_1589386565541":{"icon":"&lt;g stroke-width='1' fill='var(--col-text-0)'&gt;&lt;text x='5' y='80'  font-size='5em'&gt;u&lt;/text&gt;&lt;text x='45' y='45'  font-size='5em'&gt;a&lt;/text&gt;&lt;/g&gt;","bg":"","fg":"","width":48,"height":48,"keywords":"","category":["basics"],"name":{"en-us":"Scalar power","es-mx":"Poder escalar"},"desc":{"en-us":"Raise the input to the selected power","es-mx":"Eleve la entrada a la potencia seleccionada"}}</t>
  </si>
  <si>
    <t>,"umk_1589386687447":{"icon":"&lt;path fill='none' d='M 10 50 l 10 32 l 30 -70 l 40 0'/&gt;&lt;g stroke-width='1' fill='var(--col-text-0)'&gt;&lt;text x='45' y='65' font-size='5em'&gt;u&lt;/text&gt;&lt;text x='13' y='48' font-size='2em'&gt;n&lt;/text&gt;&lt;/g&gt;","bg":"","fg":"","width":48,"height":48,"keywords":"","category":["basics"],"name":{"en-us":"N-th root(s)","es-mx":"N-ésima raíz (s)"},"desc":{"en-us":"Obtains N-th root of the input which  gets N outputs","es-mx":"Obtiene la raíz N-ésima de la entrada que obtiene N salidas"}}</t>
  </si>
  <si>
    <t>,"umk_1589386674638":{"icon":"&lt;path fill='none' d='M 10 50 l 10 40 l 10 -80 l 60 0'/&gt;&lt;g stroke-width='1' fill='var(--col-text-0)'&gt;&lt;text x='35' y='57' font-size='3em'&gt;&amp;sum;&lt;/text&gt;&lt;text x='60' y='55' font-size='2em'&gt;u&lt;/text&gt;&lt;text x='80' y='57' stroke-width='0.5' font-size='0.5em'&gt;i,j&lt;/text&gt;&lt;text x='78' y='45' font-size='1em'&gt;2&lt;/text&gt;&lt;/g&gt;","bg":"","fg":"","width":48,"height":48,"keywords":"","category":["basics"],"name":{"en-us":"Hypotenusa","es-mx":"Hipotenusa"},"desc":{"en-us":"Calculates the hypotenusa for the given array or matrix","es-mx":"Calcula la hipotenusa para la matriz o matriz dada"}}</t>
  </si>
  <si>
    <t>,"umk_1589386591230":{"icon":"&lt;g stroke-width='1' fill='var(--col-text-0)'&gt;&lt;text x='2' y='80' font-size='5em'&gt;u&lt;/text&gt;&lt;text x='46' y='90' font-size='2em'&gt;1&lt;/text&gt;&lt;text x='35' y='45' font-size='5em'&gt;u&lt;/text&gt;&lt;text x='78' y='60' font-size='2em'&gt;2&lt;/text&gt;&lt;/g&gt;","bg":"","fg":"","width":48,"height":48,"keywords":"","category":["basics"],"name":{"en-us":"Power","es-mx":"Poder"},"desc":{"en-us":"One input raised to the power of another variable","es-mx":"Una entrada elevada a la potencia de otra variable"}}</t>
  </si>
  <si>
    <t>,"umk_1589386600865":{"icon":"&lt;g stroke-width='1' fill='var(--col-text-0)'&gt;&lt;text x='8' y='80'  font-size='5em'&gt;a&lt;/text&gt;&lt;text x='40' y='45'  font-size='5em'&gt;u&lt;/text&gt;&lt;/g&gt;","bg":"","fg":"","width":48,"height":48,"keywords":"","category":["basics"],"name":{"en-us":"Exponential on a constant","es-mx":"Exponencial en una constante"},"desc":{"en-us":"A constant raised to the power of the input","es-mx":"Una constante elevada a la potencia de la entrada."}}</t>
  </si>
  <si>
    <t>,"umk_1589386612338":{"icon":"&lt;g stroke-width='1' fill='var(--col-text-0)'&gt;&lt;text x='7' y='80' font-size='5em'&gt;e&lt;/text&gt;&lt;text x='40' y='45' font-size='5em'&gt;u&lt;/text&gt;&lt;/g&gt;","bg":"","fg":"","width":48,"height":48,"keywords":"","category":["basics"],"name":{"en-us":"Exponential","es-mx":"Exponencial"},"desc":{"en-us":"The transendantal number e is raised to the power of input","es-mx":"El número transendantal e se eleva a la potencia de entrada"}}</t>
  </si>
  <si>
    <t>,"umk_1589386621263":{"icon":"&lt;g stroke-width='1' fill='var(--col-text-0)'&gt;&lt;text x='0' y='70' font-size='4em'&gt;e&lt;/text&gt;&lt;text x='25' y='45' font-size='3em'&gt;u&lt;/text&gt;&lt;text x='42' y='70' font-size='3em'&gt;-1&lt;/text&gt;&lt;/g&gt;","bg":"","fg":"","width":48,"height":48,"keywords":"","category":["basics"],"name":{"en-us":"Exponential minus 1","es-mx":"Exponencial menos 1"},"desc":{"en-us":"The transendantal number e is raised to the power of input and 1 is subtracted for the final result","es-mx":"El número transendantal e se eleva a la potencia de entrada y 1 se resta para el resultado final"}}</t>
  </si>
  <si>
    <t>,"umk_1589386828369":{"icon":"&lt;g stroke-width='1' fill='var(--col-text-0)'&gt;&lt;text x='0' y='55'font-size='2.2em'&gt;ln(u)&lt;/text&gt;&lt;/g&gt;","bg":"","fg":"","width":48,"height":48,"keywords":"","category":["basics"],"name":{"en-us":"Ln","es-mx":"Ln"},"desc":{"en-us":"Computes natural logarithm i.e. logarithm value to the base e","es-mx":"Calcula el logaritmo natural, es decir, el valor del logaritmo en la base e"}}</t>
  </si>
  <si>
    <t>,"umk_1589386851909":{"icon":"&lt;g stroke-width='1' fill='var(--col-text-0)'&gt;&lt;text x='1' y='50'font-size='1.32em'&gt;log(u+1)&lt;/text&gt;&lt;text x='37' y='60'font-size='1em'&gt;n&lt;/text&gt;&lt;/g&gt;","bg":"","fg":"","width":48,"height":48,"keywords":"","category":["basics"],"name":{"en-us":"Log plus 1 base n","es-mx":"Registro más 1 base n"},"desc":{"en-us":"Computes log for input plus 1 to the base n","es-mx":"Calcula el registro para la entrada más 1 a la base n"}}</t>
  </si>
  <si>
    <t>,"umk_1589386760201":{"icon":"&lt;g stroke-width='1' fill='var(--col-text-0)'&gt;&lt;text x='1' y='50'font-size='1.8em'&gt;log(u)&lt;/text&gt;&lt;text x='48' y='65'font-size='1em'&gt;10&lt;/text&gt;&lt;/g&gt;","bg":"","fg":"","width":48,"height":48,"keywords":"","category":["basics"],"name":{"en-us":"Log base 10","es-mx":"Base de registro 10"},"desc":{"en-us":"Computes logarithm value to the base 10","es-mx":"Calcula el valor del logaritmo para la base 10"}}</t>
  </si>
  <si>
    <t>,"umk_1589386786107":{"icon":"&lt;g stroke-width='1' fill='var(--col-text-0)'&gt;&lt;text x='1' y='50'font-size='1.8em'&gt;log(u)&lt;/text&gt;&lt;text x='50' y='62'font-size='1.4em'&gt;2&lt;/text&gt;&lt;/g&gt;","bg":"","fg":"","width":48,"height":48,"keywords":"","category":["basics"],"name":{"en-us":"Log base 2","es-mx":"Base de registro 2"},"desc":{"en-us":"Computes logarithm value to the base 2","es-mx":"Calcula el valor del logaritmo en la base 2"}}</t>
  </si>
  <si>
    <t>,"umk_1589386733656":{"icon":"&lt;g stroke-width='1' fill='var(--col-text-0)'&gt;&lt;text x='1' y='50'font-size='1.8em'&gt;log(u)&lt;/text&gt;&lt;text x='51' y='62'font-size='1.4em'&gt;n&lt;/text&gt;&lt;/g&gt;","bg":"","fg":"","width":48,"height":48,"keywords":"","category":["basics"],"name":{"en-us":"Log base n","es-mx":"Base de registro n"},"desc":{"en-us":"Computes logarithm value to the base n","es-mx":"Calcula el valor del logaritmo en la base n"}}</t>
  </si>
  <si>
    <t>,"umk_1589564768522":{"icon":"&lt;g stroke-width='1' fill='var(--col-text-0)'&gt;&lt;text x='1' y='50'font-size='1.8em'&gt;log( )&lt;/text&gt;&lt;text x='67' y='50'font-size='1.8em'&gt;u&lt;/text&gt;&lt;text x='51' y='62'font-size='1.4em'&gt;u&lt;/text&gt;&lt;text x='83' y='57'font-size='1em'&gt;1&lt;/text&gt;&lt;text x='64' y='67'font-size='0.8em'&gt;2&lt;/text&gt;&lt;/g&gt;","bg":"","fg":"","width":96,"height":48,"keywords":"","category":["basics"],"name":{"en-us":"Logarithmic","es-mx":"Logarítmico"},"desc":{"en-us":"Logarithm value for one input to the bases of another input","es-mx":"Valor de logaritmo para una entrada a las bases de otra entrada"}}</t>
  </si>
  <si>
    <t>,"umk_1589386712466":{"icon":"&lt;text x='5' y='60'fill='var(--col-text-0)' stroke-width='1' font-size='3em'&gt;LCM&lt;/text&gt;","bg":"","fg":"","width":48,"height":48,"keywords":"","category":["basics"],"name":{"en-us":"LCM","es-mx":"LCM"},"desc":{"en-us":"Calculates least common multiple","es-mx":"Calcula el mínimo común múltiplo"}}</t>
  </si>
  <si>
    <t>,"umk_1589386660500":{"icon":"&lt;text x='5' y='60'fill='var(--col-text-0)' stroke-width='1' font-size='3em'&gt;GCD&lt;/text&gt;","bg":"","fg":"","width":48,"height":48,"keywords":"","category":["basics"],"name":{"en-us":"GCD","es-mx":"GCD"},"desc":{"en-us":"Retunts the greatest common divisor","es-mx":"Devuelve el mayor divisor común"}}</t>
  </si>
  <si>
    <t>,"umk_1589529570947":{"icon":"&lt;text x='2' y='60'fill='var(--col-text-0)' stroke-width='1' font-size='2em'&gt;X-GCD&lt;/text&gt;","bg":"","fg":"","width":48,"height":48,"keywords":"","category":["basics"],"name":{"en-us":"Extended GCD","es-mx":"GCD extendido"},"desc":{"en-us":"Obtains the extended greatest common divisor","es-mx":"Obtiene el mayor divisor común extendido"}}</t>
  </si>
  <si>
    <t>,"umk_1589386898267":{"icon":"&lt;g stroke-width='1' fill='var(--col-text-0)'&gt;&lt;text x='1' y='60'font-size='3em'&gt;u&lt;/text&gt;&lt;text x='68' y='60'font-size='3em'&gt;n&lt;/text&gt;&lt;text x='30' y='70'font-size='4em'&gt;%&lt;/text&gt;&lt;/g&gt;","bg":"","fg":"","width":48,"height":48,"keywords":"","category":["basics"],"name":{"en-us":"Mod base n","es-mx":"Mod base n"},"desc":{"en-us":"Obtains the remainder after division of one input to n","es-mx":"Obtiene el resto después de la división de una entrada en n"}}</t>
  </si>
  <si>
    <t>,"umk_1589386920190":{"icon":"&lt;g stroke-width='1' fill='var(--col-text-0)'&gt;&lt;text x='1' y='60'font-size='3em'&gt;n&lt;/text&gt;&lt;text x='70' y='60'font-size='3em'&gt;u&lt;/text&gt;&lt;text x='31' y='70'font-size='4em'&gt;%&lt;/text&gt;&lt;/g&gt;","bg":"","fg":"","width":48,"height":48,"keywords":"","category":["basics"],"name":{"en-us":"Mod base u","es-mx":"Mod base u"},"desc":{"en-us":"Obtains the remainder after division of n to the input","es-mx":"Obtiene el resto después de la división de n en la entrada"}}</t>
  </si>
  <si>
    <t>,"umk_1589386875197":{"icon":"&lt;g stroke-width='1' fill='var(--col-text-0)'&gt;&lt;text x='1' y='60'font-size='3em'&gt;u&lt;/text&gt;&lt;text x='62' y='60'font-size='3em'&gt;u&lt;/text&gt;&lt;text x='28' y='70'font-size='4em'&gt;%&lt;/text&gt;&lt;text x='28' y='70'font-size='1em'&gt;1&lt;/text&gt;&lt;text x='88' y='70'font-size='1em'&gt;2&lt;/text&gt;&lt;/g&gt;","bg":"","fg":"","width":48,"height":48,"keywords":"","category":["basics"],"name":{"en-us":"Modulus","es-mx":"Módulo"},"desc":{"en-us":"Obtains the remainder after division of one input to another input","es-mx":"Obtiene el resto después de la división de una entrada a otra entrada"}}</t>
  </si>
  <si>
    <t>,"umk_1589609587218":{"icon":"&lt;g stroke-width='1' fill='var(--col-text-0)'&gt;&lt;text x='22' y='60'font-size='2em'&gt;Sin&lt;/text&gt;&lt;/g&gt;","bg":"","fg":"","width":48,"height":48,"keywords":"","category":["trig"],"name":{"en-us":"sin","es-mx":"sin"},"desc":{"en-us":"Returns the sine of the input","es-mx":"Devuelve el seno de la entrada."}}</t>
  </si>
  <si>
    <t>,"umk_1589609456423":{"icon":"&lt;g stroke-width='1' fill='var(--col-text-0)'&gt;&lt;text x='22' y='60'font-size='2em'&gt;Cos&lt;/text&gt;&lt;/g&gt;","bg":"","fg":"","width":48,"height":48,"keywords":"","category":["trig"],"name":{"en-us":"cos","es-mx":"cos"},"desc":{"en-us":"Returns the cosine of the input","es-mx":"Devuelve el coseno de la entrada."}}</t>
  </si>
  <si>
    <t>,"umk_1589609617327":{"icon":"&lt;g stroke-width='1' fill='var(--col-text-0)'&gt;&lt;text x='22' y='60'font-size='2em'&gt;Tan&lt;/text&gt;&lt;/g&gt;","bg":"","fg":"","width":48,"height":48,"keywords":"","category":["trig"],"name":{"en-us":"tan","es-mx":"tan"},"desc":{"en-us":"Returns the tangent of the input","es-mx":"Devuelve la tangente de la entrada."}}</t>
  </si>
  <si>
    <t>,"umk_1589609529912":{"icon":"&lt;g stroke-width='1' fill='var(--col-text-0)'&gt;&lt;text x='22' y='60'font-size='2em'&gt;Csc&lt;/text&gt;&lt;/g&gt;","bg":"","fg":"","width":48,"height":48,"keywords":"","category":["trig"],"name":{"en-us":"csc","es-mx":"csc"},"desc":{"en-us":"Returns the cosecant of the input","es-mx":"Devuelve la cosecante de la entrada"}}</t>
  </si>
  <si>
    <t>,"umk_1589609558140":{"icon":"&lt;g stroke-width='1' fill='var(--col-text-0)'&gt;&lt;text x='22' y='60'font-size='2em'&gt;Sec&lt;/text&gt;&lt;/g&gt;","bg":"","fg":"","width":48,"height":48,"keywords":"","category":["trig"],"name":{"en-us":"sec","es-mx":"sec"},"desc":{"en-us":"Returns the secant of the input","es-mx":"Devuelve la secante de la entrada."}}</t>
  </si>
  <si>
    <t>,"umk_1589609485885":{"icon":"&lt;g stroke-width='1' fill='var(--col-text-0)'&gt;&lt;text x='22' y='60'font-size='2em'&gt;Cot&lt;/text&gt;&lt;/g&gt;","bg":"","fg":"","width":48,"height":48,"keywords":"","category":["trig"],"name":{"en-us":"cot","es-mx":"cot"},"desc":{"en-us":"Returns the cotangent of the input","es-mx":"Devuelve la cotangente de la entrada."}}</t>
  </si>
  <si>
    <t>,"umk_1589609402551":{"icon":"&lt;g stroke-width='1' fill='var(--col-text-0)'&gt;&lt;text x='12' y='60'font-size='2em'&gt;Asin&lt;/text&gt;&lt;/g&gt;","bg":"","fg":"","width":48,"height":48,"keywords":"","category":["trig"],"name":{"en-us":"asin","es-mx":"asin"},"desc":{"en-us":"Returns the inverse sine of the input","es-mx":"Devuelve el seno inverso de la entrada"}}</t>
  </si>
  <si>
    <t>,"umk_1589609258927":{"icon":"&lt;g stroke-width='1' fill='var(--col-text-0)'&gt;&lt;text x='12' y='60'font-size='2em'&gt;Acos&lt;/text&gt;&lt;/g&gt;","bg":"","fg":"","width":48,"height":48,"keywords":"","category":["trig"],"name":{"en-us":"acos","es-mx":"acos"},"desc":{"en-us":"Returns the inverse cosine of the input","es-mx":"Devuelve el coseno inverso de la entrada"}}</t>
  </si>
  <si>
    <t>,"umk_1589609428777":{"icon":"&lt;g stroke-width='1' fill='var(--col-text-0)'&gt;&lt;text x='12' y='60'font-size='2em'&gt;Atan&lt;/text&gt;&lt;/g&gt;","bg":"","fg":"","width":48,"height":48,"keywords":"","category":["trig"],"name":{"en-us":"atan","es-mx":"atan"},"desc":{"en-us":"Returns the inverse tangent of the input","es-mx":"Devuelve la tangente inversa de la entrada."}}</t>
  </si>
  <si>
    <t>,"umk_1589609332484":{"icon":"&lt;g stroke-width='1' fill='var(--col-text-0)'&gt;&lt;text x='12' y='60'font-size='2em'&gt;Acsc&lt;/text&gt;&lt;/g&gt;","bg":"","fg":"","width":48,"height":48,"keywords":"","category":["trig"],"name":{"en-us":"acsc","es-mx":"acsc"},"desc":{"en-us":"Returns the inverse cosecant of the input","es-mx":"Devuelve la cosecante inversa de la entrada"}}</t>
  </si>
  <si>
    <t>,"umk_1589609362139":{"icon":"&lt;g stroke-width='1' fill='var(--col-text-0)'&gt;&lt;text x='12' y='60'font-size='2em'&gt;Asec&lt;/text&gt;&lt;/g&gt;","bg":"","fg":"","width":48,"height":48,"keywords":"","category":["trig"],"name":{"en-us":"asec","es-mx":"asec"},"desc":{"en-us":"Returns the inverse secant of the input","es-mx":"Devuelve la secante inversa de la entrada."}}</t>
  </si>
  <si>
    <t>,"umk_1589609289630":{"icon":"&lt;g stroke-width='1' fill='var(--col-text-0)'&gt;&lt;text x='12' y='60'font-size='2em'&gt;Acot&lt;/text&gt;&lt;/g&gt;","bg":"","fg":"","width":48,"height":48,"keywords":"","category":["trig"],"name":{"en-us":"acot","es-mx":"acot"},"desc":{"en-us":"Returns the inverse cotangent of the input","es-mx":"Devuelve la cotangente inversa de la entrada."}}</t>
  </si>
  <si>
    <t>,"umk_1589609602823":{"icon":"&lt;g stroke-width='1' fill='var(--col-text-0)'&gt;&lt;text x='11' y='60'font-size='2em'&gt;Sinh&lt;/text&gt;&lt;/g&gt;","bg":"","fg":"","width":48,"height":48,"keywords":"","category":["trig"],"name":{"en-us":"sinh","es-mx":"sinh"},"desc":{"en-us":"Returns the hyperbolic-sine of the input","es-mx":"Devuelve el seno hiperbólico de la entrada"}}</t>
  </si>
  <si>
    <t>,"umk_1589609471102":{"icon":"&lt;g stroke-width='1' fill='var(--col-text-0)'&gt;&lt;text x='11' y='60'font-size='2em'&gt;Cosh&lt;/text&gt;&lt;/g&gt;","bg":"","fg":"","width":48,"height":48,"keywords":"","category":["trig"],"name":{"en-us":"cosh","es-mx":"cosh"},"desc":{"en-us":"Returns the hyperbolic-cosine of the input","es-mx":"Devuelve el coseno hiperbólico de la entrada."}}</t>
  </si>
  <si>
    <t>,"umk_1589609633957":{"icon":"&lt;g stroke-width='1' fill='var(--col-text-0)'&gt;&lt;text x='11' y='60'font-size='2em'&gt;Tanh&lt;/text&gt;&lt;/g&gt;","bg":"","fg":"","width":48,"height":48,"keywords":"","category":["trig"],"name":{"en-us":"tanh","es-mx":"tanh"},"desc":{"en-us":"Returns the hyperbolic-tangent of the input","es-mx":"Devuelve la tangente hiperbólica de la entrada"}}</t>
  </si>
  <si>
    <t>,"umk_1589609543216":{"icon":"&lt;g stroke-width='1' fill='var(--col-text-0)'&gt;&lt;text x='11' y='60'font-size='2em'&gt;Csch&lt;/text&gt;&lt;/g&gt;","bg":"","fg":"","width":48,"height":48,"keywords":"","category":["trig"],"name":{"en-us":"csch","es-mx":"csch"},"desc":{"en-us":"Returns the hyperbolic-cosecantof the input","es-mx":"Devuelve la cosecante hiperbólica de la entrada"}}</t>
  </si>
  <si>
    <t>,"umk_1589609571201":{"icon":"&lt;g stroke-width='1' fill='var(--col-text-0)'&gt;&lt;text x='11' y='60'font-size='2em'&gt;Sech&lt;/text&gt;&lt;/g&gt;","bg":"","fg":"","width":48,"height":48,"keywords":"","category":["trig"],"name":{"en-us":"sech","es-mx":"sech"},"desc":{"en-us":"Returns the hyperbolic-secantof the input","es-mx":"Devuelve la secante hiperbólica de la entrada"}}</t>
  </si>
  <si>
    <t>,"umk_1589609508071":{"icon":"&lt;g stroke-width='1' fill='var(--col-text-0)'&gt;&lt;text x='11' y='60'font-size='2em'&gt;Coth&lt;/text&gt;&lt;/g&gt;","bg":"","fg":"","width":48,"height":48,"keywords":"","category":["trig"],"name":{"en-us":"coth","es-mx":"coth"},"desc":{"en-us":"Returns the hyperbolic-cotangent of the input","es-mx":"Devuelve la cotangente hiperbólica de la entrada."}}</t>
  </si>
  <si>
    <t>,"umk_1589609418437":{"icon":"&lt;g stroke-width='1' fill='var(--col-text-0)'&gt;&lt;text x='2.5' y='60'font-size='2em'&gt;Asinh&lt;/text&gt;&lt;/g&gt;","bg":"","fg":"","width":48,"height":48,"keywords":"","category":["trig"],"name":{"en-us":"asinh","es-mx":"asinh"},"desc":{"en-us":"Returns the inverse hyperbolic-sine of the input","es-mx":"Devuelve el seno hiperbólico inverso de la entrada"}}</t>
  </si>
  <si>
    <t>,"umk_1589609273201":{"icon":"&lt;g stroke-width='1' fill='var(--col-text-0)'&gt;&lt;text x='2.5' y='60'font-size='2em'&gt;Acosh&lt;/text&gt;&lt;/g&gt;","bg":"","fg":"","width":48,"height":48,"keywords":"","category":["trig"],"name":{"en-us":"acosh","es-mx":"acosh"},"desc":{"en-us":"Returns the inverse hyperbolic-cosine of the input","es-mx":"Devuelve el coseno hiperbólico inverso de la entrada"}}</t>
  </si>
  <si>
    <t>,"umk_1589609440901":{"icon":"&lt;g stroke-width='1' fill='var(--col-text-0)'&gt;&lt;text x='2.5' y='60'font-size='2em'&gt;Atanh&lt;/text&gt;&lt;/g&gt;","bg":"","fg":"","width":48,"height":48,"keywords":"","category":["trig"],"name":{"en-us":"atanh","es-mx":"atanh"},"desc":{"en-us":"Returns the inverse hyperbolic-tangent of the input","es-mx":"Devuelve la tangente hiperbólica inversa de la entrada"}}</t>
  </si>
  <si>
    <t>,"umk_1589609346714":{"icon":"&lt;g stroke-width='1' fill='var(--col-text-0)'&gt;&lt;text x='2.5' y='60'font-size='2em'&gt;Acsch&lt;/text&gt;&lt;/g&gt;","bg":"","fg":"","width":48,"height":48,"keywords":"","category":["trig"],"name":{"en-us":"acsch","es-mx":"acsch"},"desc":{"en-us":"Returns the inverse hyperbolic-cosecantof the input","es-mx":"Devuelve la inversa cosecante hiperbólica de la entrada"}}</t>
  </si>
  <si>
    <t>,"umk_1589609383222":{"icon":"&lt;g stroke-width='1' fill='var(--col-text-0)'&gt;&lt;text x='2.5' y='60'font-size='2em'&gt;Asech&lt;/text&gt;&lt;/g&gt;","bg":"","fg":"","width":48,"height":48,"keywords":"","category":["trig"],"name":{"en-us":"asech","es-mx":"asech"},"desc":{"en-us":"Returns the inverse hyperbolic-secantof the input","es-mx":"Devuelve la secante hiperbólica inversa de la entrada"}}</t>
  </si>
  <si>
    <t>,"umk_1589609306978":{"icon":"&lt;g stroke-width='1' fill='var(--col-text-0)'&gt;&lt;text x='2.5' y='60'font-size='2em'&gt;Acoth&lt;/text&gt;&lt;/g&gt;","bg":"","fg":"","width":48,"height":48,"keywords":"","category":["trig"],"name":{"en-us":"acoth","es-mx":"acoth"},"desc":{"en-us":"Returns the inverse hyperbolic-cotangent of the input","es-mx":"Devuelve la cotangente hiperbólica inversa de la entrada"}}</t>
  </si>
  <si>
    <t>,"umk_1595491915152":{"icon":"&lt;text x='20' y='73' stroke-width='1' fill='var(--col-text-0)' font-size='4em'&gt;u&lt;/text&gt;&lt;text x='55' y='52' stroke-width='1' fill='var(--col-text-0)' font-size='3em'&gt;T&lt;/text&gt;","bg":"","fg":"","width":48,"height":48,"keywords":"","category":["mat"],"name":{"en-us":"Transpose","es-mx":"Transposición"},"desc":{"en-us":"Transposes the given matrix","es-mx":"Transpone la matriz dada"}}</t>
  </si>
  <si>
    <t>,"umk_1595703771325":{"icon":"&lt;text x='20' y='73' stroke-width='1' fill='var(--col-text-0)' font-size='4em'&gt;u&lt;/text&gt;&lt;text x='55' y='52' stroke-width='1' fill='var(--col-text-0)' font-size='3em'&gt;H&lt;/text&gt;","bg":"","fg":"","width":48,"height":48,"keywords":"","category":["mat"],"name":{"en-us":"Hermitian transpose","es-mx":"Transposición ermitaña"},"desc":{"en-us":"Returns conjugate transpose of the input matrix","es-mx":"Devuelve la transposición conjugada de la matriz de entrada"}}</t>
  </si>
  <si>
    <t>,"umk_1595704782234":{"icon":"&lt;text x='6' y='56' stroke-width='1' fill='var(--col-text-0)' font-size='2em'&gt;tr(u)&lt;/text&gt;","bg":"","fg":"","width":48,"height":48,"keywords":"","category":["mat"],"name":{"en-us":"Trace","es-mx":"Traza"},"desc":{"en-us":"Returns trace of the input matrix","es-mx":"Devuelve el traza de la matriz de entrada"}}</t>
  </si>
  <si>
    <t>,"umk_1595700759570":{"icon":"&lt;text x='6' y='55' stroke-width='1' fill='var(--col-text-0)' font-size='1.7em'&gt;det(u)&lt;/text&gt;","bg":"","fg":"","width":48,"height":48,"keywords":"","category":["mat"],"name":{"en-us":"Determinant","es-mx":"Determinante"},"desc":{"en-us":"Calculates the determinant of the input matrix","es-mx":"Calcula el determinante de la matriz de entrada."}}</t>
  </si>
  <si>
    <t>,"umk_1595704138594":{"icon":"&lt;text x='20' y='73' stroke-width='1' fill='var(--col-text-0)' font-size='4em'&gt;u&lt;/text&gt;&lt;text x='45' y='45' stroke-width='1' fill='var(--col-text-0)' font-size='2em'&gt;-1&lt;/text&gt;","bg":"","fg":"","width":48,"height":48,"keywords":"","category":["mat"],"name":{"en-us":"Inverse matrix","es-mx":"Matriz inversa"},"desc":{"en-us":"Returns inverse of the input matrix","es-mx":"Devuelve el inverso de la matriz de entrada"}}</t>
  </si>
  <si>
    <t>,"umk_1595887565612":{"icon":"&lt;g stroke-width='1' fill='var(--col-text-0)'&gt;&lt;text x='22' y='40' font-size='3em'&gt;du&lt;/text&gt;&lt;text x='22' y='85' font-size='3em'&gt;dt&lt;/text&gt;&lt;/g&gt;&lt;line stroke-width='3' fill='var(--col-text-0)' x1='20' y1='50' x2= '80' y2='50'/&gt;","bg":"","fg":"","width":48,"height":48,"keywords":"","category":["continuous"],"name":{"en-us":"Differentiation","es-mx":"Diferenciación"},"desc":{"en-us":"Derivatives the input with respect to the simulation time.","es-mx":"Deriva la entrada con respecto al tiempo de simulación."}}</t>
  </si>
  <si>
    <t>,"umk_1588716024472":{"icon":"&lt;g stroke-width='1' fill='var(--col-text-0)'&gt;&lt;text x='35' y='45' font-size='3em'&gt;1&lt;/text&gt;&lt;line x1='30' y1='50' x2= '70' y2='50'/&gt;&lt;text x='30' y='82' font-size='4em'&gt;s&lt;/text&gt;&lt;/g&gt;","bg":"#1595C8","fg":"#ffffff","width":48,"height":48,"keywords":"","category":["continuous"],"name":{"en-us":"Integral","es-mx":"Integral"},"desc":{"en-us":"Integrates the input with respect to the simulation time.","es-mx":"Integra la entrada con respecto al tiempo de simulación."}}</t>
  </si>
  <si>
    <t>,"umk_1589836016344":{"icon":"&lt;g stroke-width='1' fill='var(--col-text-0)'&gt;&lt;text x='15' y='35' font-size='2em'&gt;y(s)&lt;/text&gt;&lt;line x1='10' y1='50' x2= '90' y2='50'/&gt;&lt;text x='15' y='75' font-size='2em'&gt;u(s)&lt;/text&gt;&lt;/g&gt;","bg":"","fg":"","width":48,"height":48,"keywords":"","category":["continuous"],"name":{"en-us":"Transfer functions","es-mx":"Funciones de transferencia"},"desc":{"en-us":"Implement the continuous transfer function","es-mx":"Implemente la función de transferencia continua"}}</t>
  </si>
  <si>
    <t>,"umk_1590046944883":{"icon":"&lt;g stroke-width='1' fill='var(--col-text-0)'&gt;&lt;text x='1' y='35' font-size='1.45em'&gt;x=Ax+Bu&lt;/text&gt;&lt;text x='1' y='75' font-size='1.45em'&gt;y=Cx+Du&lt;/text&gt;&lt;text x='1' y='22' font-size='1.45em'&gt;.&lt;/text&gt;&lt;/g&gt;","bg":"","fg":"","width":192,"height":48,"keywords":"","category":["continuous"],"name":{"en-us":"State Space","es-mx":"Espacio de Estados"},"desc":{"en-us":"Implements state-space with constant A, B, C and D values","es-mx":"Implementa espacio de estado con valores constantes de A, B, C y D"}}</t>
  </si>
  <si>
    <t>,"umk_1590046975775":{"icon":"&lt;g stroke-width='1' fill='var(--col-text-0)'&gt;&lt;text x='1' y='35' font-size='1.45em'&gt;x=ax+bu&lt;/text&gt;&lt;text x='1' y='75' font-size='1.45em'&gt;y=cx+du&lt;/text&gt;&lt;text x='1' y='22' font-size='1.45em'&gt;.&lt;/text&gt;&lt;/g&gt;","bg":"","fg":"","width":288,"height":96,"keywords":"","category":["continuous"],"name":{"en-us":"State Space - 2","es-mx":"Espacio Estatal - 2"},"desc":{"en-us":"Implements state-space with variable A, B, C and D values","es-mx":"Implementa espacio de estado con valores variables A, B, C y D"}}</t>
  </si>
  <si>
    <t>,"umk_1590074849722":{"icon":"&lt;g stroke-width='1' fill='var(--col-text-0)'&gt;&lt;text x='35' y='45' font-size='3em'&gt;1&lt;/text&gt;&lt;line x1='30' y1='50' x2= '70' y2='50'/&gt;&lt;text x='30' y='82' font-size='4em'&gt;z&lt;/text&gt;&lt;/g&gt;","bg":"","fg":"","width":48,"height":48,"keywords":"","category":["discrete"],"name":{"en-us":"Unit delay","es-mx":"Unidad de retraso"},"desc":{"en-us":"Implements a unit delay","es-mx":"Implementa una unidad de retraso"}}</t>
  </si>
  <si>
    <t>,"umk_1590074878536":{"icon":"&lt;g stroke-width='1' fill='var(--col-text-0)'&gt;&lt;text x='15' y='35' font-size='2em'&gt;y(z)&lt;/text&gt;&lt;line x1='10' y1='50' x2= '90' y2='50'/&gt;&lt;text x='15' y='75' font-size='2em'&gt;u(z)&lt;/text&gt;&lt;/g&gt;","bg":"","fg":"","width":48,"height":48,"keywords":"","category":["discrete"],"name":{"en-us":"Transfer function","es-mx":"Función de transferencia"},"desc":{"en-us":"Implements the transfer function for discrete time","es-mx":"Implementa la función de transferencia por tiempo discreto"}}</t>
  </si>
  <si>
    <t>pPLink</t>
  </si>
  <si>
    <t>tNCLink</t>
  </si>
  <si>
    <t>Términos y condiciones</t>
  </si>
  <si>
    <t>Terms and Conditions</t>
  </si>
  <si>
    <t>Política de privacidad</t>
  </si>
  <si>
    <t>Privacy Policy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</si>
</sst>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1"/>
      <name val="Courier New"/>
      <family val="3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8">
    <xf numFmtId="0" fontId="0" fillId="0" borderId="0" xfId="0"/>
    <xf numFmtId="0" fontId="0" fillId="0" borderId="0" xfId="0" quotePrefix="1"/>
    <xf numFmtId="0" fontId="0" fillId="0" borderId="0" xfId="0" quotePrefix="1" applyAlignment="1">
      <alignment wrapText="1"/>
    </xf>
    <xf numFmtId="0" fontId="0" fillId="0" borderId="0" xfId="0" quotePrefix="1" applyAlignment="1"/>
    <xf numFmtId="0" fontId="0" fillId="0" borderId="0" xfId="0" applyAlignment="1"/>
    <xf numFmtId="49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0" xfId="0" applyFill="1" applyAlignment="1">
      <alignment vertical="center"/>
    </xf>
    <xf numFmtId="0" fontId="0" fillId="2" borderId="0" xfId="0" applyFill="1"/>
    <xf numFmtId="0" fontId="0" fillId="0" borderId="0" xfId="0" applyAlignment="1">
      <alignment horizontal="center"/>
    </xf>
    <xf numFmtId="0" fontId="0" fillId="3" borderId="0" xfId="0" applyFill="1" applyAlignment="1">
      <alignment vertical="center"/>
    </xf>
    <xf numFmtId="0" fontId="0" fillId="3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</cellXfs>
  <cellStyles count="2">
    <cellStyle name="Hyperlink" xfId="1" builtinId="8"/>
    <cellStyle name="Normal" xfId="0" builtinId="0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1</xdr:row>
          <xdr:rowOff>0</xdr:rowOff>
        </xdr:from>
        <xdr:to>
          <xdr:col>24</xdr:col>
          <xdr:colOff>236220</xdr:colOff>
          <xdr:row>5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9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2</xdr:row>
          <xdr:rowOff>7620</xdr:rowOff>
        </xdr:from>
        <xdr:to>
          <xdr:col>17</xdr:col>
          <xdr:colOff>457200</xdr:colOff>
          <xdr:row>7</xdr:row>
          <xdr:rowOff>99060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C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 categories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7620</xdr:colOff>
          <xdr:row>1</xdr:row>
          <xdr:rowOff>175260</xdr:rowOff>
        </xdr:from>
        <xdr:to>
          <xdr:col>20</xdr:col>
          <xdr:colOff>167640</xdr:colOff>
          <xdr:row>11</xdr:row>
          <xdr:rowOff>160020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D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182880</xdr:colOff>
      <xdr:row>15</xdr:row>
      <xdr:rowOff>129540</xdr:rowOff>
    </xdr:from>
    <xdr:to>
      <xdr:col>19</xdr:col>
      <xdr:colOff>168300</xdr:colOff>
      <xdr:row>28</xdr:row>
      <xdr:rowOff>137367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537960" y="2872740"/>
          <a:ext cx="7620660" cy="23852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\" TargetMode="External"/><Relationship Id="rId1" Type="http://schemas.openxmlformats.org/officeDocument/2006/relationships/hyperlink" Target="\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AF13B-AD09-4EC1-B187-55BF9EDB6D77}">
  <sheetPr codeName="Sheet1"/>
  <dimension ref="A1:J11"/>
  <sheetViews>
    <sheetView workbookViewId="0">
      <selection activeCell="J1" sqref="J1"/>
    </sheetView>
  </sheetViews>
  <sheetFormatPr defaultRowHeight="14.4" x14ac:dyDescent="0.3"/>
  <sheetData>
    <row r="1" spans="1:10" x14ac:dyDescent="0.3">
      <c r="A1" t="s">
        <v>21</v>
      </c>
      <c r="B1" t="s">
        <v>22</v>
      </c>
      <c r="C1" t="s">
        <v>23</v>
      </c>
      <c r="D1" t="s">
        <v>24</v>
      </c>
      <c r="E1" t="s">
        <v>35</v>
      </c>
      <c r="F1" t="s">
        <v>38</v>
      </c>
      <c r="G1" t="s">
        <v>37</v>
      </c>
      <c r="H1" t="s">
        <v>36</v>
      </c>
      <c r="J1" t="str">
        <f ca="1">CHAR(34)&amp;MID(CELL("filename",A1),FIND("]",CELL("filename",A1))+1,255)&amp;CHAR(34)&amp;":{"&amp;_xlfn.CONCAT(I:I)&amp;"}"</f>
        <v>"tools":{"newFile":{"icon":"fas fa-file","function":"openLeftMenu()","text":"New file","display":false,"y":"0","x":"0","order":"0"},"saveFile":{"icon":"far fa-save","function":"openLeftMenu()","text":"Save file","display":false,"y":"0","x":"40","order":"1"},"deleteFile":{"icon":"far fa-trash-alt","function":"openLeftMenu()","text":"Delete file","display":false,"y":"0","x":"80","order":"2"},"addBlock":{"icon":"far fa-plus-square","function":"openLeftMenu('ADD_BLOCK')","text":"Add block","display":false,"y":"0","x":"120","order":"3"},"editBlock":{"icon":"far fa-edit","function":"openLeftMenu('EDIT_BLOCK')","text":"Edit block","display":false,"y":"0","x":"160","order":"4"},"addConnection":{"icon":"fas fa-project-diagram","function":"openLeftMenu()","text":"Add connection","display":false,"y":"0","x":"200","order":"5"},"editConnection":{"icon":"fas fa-pencil-alt","function":"openLeftMenu()","text":"Edit connection","display":false,"y":"0","x":"240","order":"6"},"delete":{"icon":"fas fa-eraser","function":"openLeftMenu()","text":"Delete","display":false,"y":"0","x":"280","order":"7"},"filesView":{"icon":"far fa-folder-open","function":"openLeftMenu()","text":"Files view","display":false,"y":"0","x":"320","order":"8"},"simView":{"icon":"fas fa-play","function":"openLeftMenu()","text":"Simulation view","display":false,"y":"0","x":"360","order":"9"}}</v>
      </c>
    </row>
    <row r="2" spans="1:10" x14ac:dyDescent="0.3">
      <c r="A2" t="s">
        <v>0</v>
      </c>
      <c r="B2" t="s">
        <v>10</v>
      </c>
      <c r="C2" t="s">
        <v>20</v>
      </c>
      <c r="D2" t="s">
        <v>25</v>
      </c>
      <c r="E2" s="1" t="s">
        <v>39</v>
      </c>
      <c r="F2">
        <v>0</v>
      </c>
      <c r="G2">
        <v>0</v>
      </c>
      <c r="H2">
        <v>0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,"&amp;CHAR(34)&amp;$E$1&amp;CHAR(34)&amp;":"&amp;E2&amp;","&amp;CHAR(34)&amp;$F$1&amp;CHAR(34)&amp;":"&amp;CHAR(34)&amp;F2&amp;CHAR(34)&amp;","&amp;CHAR(34)&amp;$G$1&amp;CHAR(34)&amp;":"&amp;CHAR(34)&amp;G2&amp;CHAR(34)&amp;","&amp;CHAR(34)&amp;$H$1&amp;CHAR(34)&amp;":"&amp;CHAR(34)&amp;H2&amp;CHAR(34)&amp;"}"&amp;IF(ISBLANK(A3),"",",")</f>
        <v>"newFile":{"icon":"fas fa-file","function":"openLeftMenu()","text":"New file","display":false,"y":"0","x":"0","order":"0"},</v>
      </c>
    </row>
    <row r="3" spans="1:10" x14ac:dyDescent="0.3">
      <c r="A3" t="s">
        <v>1</v>
      </c>
      <c r="B3" t="s">
        <v>11</v>
      </c>
      <c r="C3" t="s">
        <v>20</v>
      </c>
      <c r="D3" t="s">
        <v>26</v>
      </c>
      <c r="E3" s="1" t="str">
        <f>E2</f>
        <v>false</v>
      </c>
      <c r="F3">
        <v>0</v>
      </c>
      <c r="G3">
        <f>+G2+40</f>
        <v>40</v>
      </c>
      <c r="H3">
        <v>1</v>
      </c>
      <c r="I3" t="str">
        <f t="shared" ref="I3:I11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,"&amp;CHAR(34)&amp;$E$1&amp;CHAR(34)&amp;":"&amp;E3&amp;","&amp;CHAR(34)&amp;$F$1&amp;CHAR(34)&amp;":"&amp;CHAR(34)&amp;F3&amp;CHAR(34)&amp;","&amp;CHAR(34)&amp;$G$1&amp;CHAR(34)&amp;":"&amp;CHAR(34)&amp;G3&amp;CHAR(34)&amp;","&amp;CHAR(34)&amp;$H$1&amp;CHAR(34)&amp;":"&amp;CHAR(34)&amp;H3&amp;CHAR(34)&amp;"}"&amp;IF(ISBLANK(A4),"",",")</f>
        <v>"saveFile":{"icon":"far fa-save","function":"openLeftMenu()","text":"Save file","display":false,"y":"0","x":"40","order":"1"},</v>
      </c>
    </row>
    <row r="4" spans="1:10" x14ac:dyDescent="0.3">
      <c r="A4" t="s">
        <v>2</v>
      </c>
      <c r="B4" t="s">
        <v>12</v>
      </c>
      <c r="C4" t="s">
        <v>20</v>
      </c>
      <c r="D4" t="s">
        <v>27</v>
      </c>
      <c r="E4" s="1" t="str">
        <f t="shared" ref="E4:E11" si="1">E3</f>
        <v>false</v>
      </c>
      <c r="F4">
        <v>0</v>
      </c>
      <c r="G4">
        <f t="shared" ref="G4:G11" si="2">+G3+40</f>
        <v>80</v>
      </c>
      <c r="H4">
        <v>2</v>
      </c>
      <c r="I4" t="str">
        <f t="shared" si="0"/>
        <v>"deleteFile":{"icon":"far fa-trash-alt","function":"openLeftMenu()","text":"Delete file","display":false,"y":"0","x":"80","order":"2"},</v>
      </c>
    </row>
    <row r="5" spans="1:10" x14ac:dyDescent="0.3">
      <c r="A5" t="s">
        <v>3</v>
      </c>
      <c r="B5" t="s">
        <v>13</v>
      </c>
      <c r="C5" t="s">
        <v>108</v>
      </c>
      <c r="D5" t="s">
        <v>28</v>
      </c>
      <c r="E5" s="1" t="str">
        <f t="shared" si="1"/>
        <v>false</v>
      </c>
      <c r="F5">
        <v>0</v>
      </c>
      <c r="G5">
        <f t="shared" si="2"/>
        <v>120</v>
      </c>
      <c r="H5">
        <v>3</v>
      </c>
      <c r="I5" t="str">
        <f t="shared" si="0"/>
        <v>"addBlock":{"icon":"far fa-plus-square","function":"openLeftMenu('ADD_BLOCK')","text":"Add block","display":false,"y":"0","x":"120","order":"3"},</v>
      </c>
    </row>
    <row r="6" spans="1:10" x14ac:dyDescent="0.3">
      <c r="A6" t="s">
        <v>4</v>
      </c>
      <c r="B6" t="s">
        <v>14</v>
      </c>
      <c r="C6" t="s">
        <v>109</v>
      </c>
      <c r="D6" t="s">
        <v>29</v>
      </c>
      <c r="E6" s="1" t="str">
        <f t="shared" si="1"/>
        <v>false</v>
      </c>
      <c r="F6">
        <v>0</v>
      </c>
      <c r="G6">
        <f t="shared" si="2"/>
        <v>160</v>
      </c>
      <c r="H6">
        <v>4</v>
      </c>
      <c r="I6" t="str">
        <f t="shared" si="0"/>
        <v>"editBlock":{"icon":"far fa-edit","function":"openLeftMenu('EDIT_BLOCK')","text":"Edit block","display":false,"y":"0","x":"160","order":"4"},</v>
      </c>
    </row>
    <row r="7" spans="1:10" x14ac:dyDescent="0.3">
      <c r="A7" t="s">
        <v>5</v>
      </c>
      <c r="B7" t="s">
        <v>15</v>
      </c>
      <c r="C7" t="s">
        <v>20</v>
      </c>
      <c r="D7" t="s">
        <v>30</v>
      </c>
      <c r="E7" s="1" t="str">
        <f t="shared" si="1"/>
        <v>false</v>
      </c>
      <c r="F7">
        <v>0</v>
      </c>
      <c r="G7">
        <f t="shared" si="2"/>
        <v>200</v>
      </c>
      <c r="H7">
        <v>5</v>
      </c>
      <c r="I7" t="str">
        <f t="shared" si="0"/>
        <v>"addConnection":{"icon":"fas fa-project-diagram","function":"openLeftMenu()","text":"Add connection","display":false,"y":"0","x":"200","order":"5"},</v>
      </c>
    </row>
    <row r="8" spans="1:10" x14ac:dyDescent="0.3">
      <c r="A8" t="s">
        <v>6</v>
      </c>
      <c r="B8" t="s">
        <v>16</v>
      </c>
      <c r="C8" t="s">
        <v>20</v>
      </c>
      <c r="D8" t="s">
        <v>31</v>
      </c>
      <c r="E8" s="1" t="str">
        <f t="shared" si="1"/>
        <v>false</v>
      </c>
      <c r="F8">
        <v>0</v>
      </c>
      <c r="G8">
        <f t="shared" si="2"/>
        <v>240</v>
      </c>
      <c r="H8">
        <v>6</v>
      </c>
      <c r="I8" t="str">
        <f t="shared" si="0"/>
        <v>"editConnection":{"icon":"fas fa-pencil-alt","function":"openLeftMenu()","text":"Edit connection","display":false,"y":"0","x":"240","order":"6"},</v>
      </c>
    </row>
    <row r="9" spans="1:10" x14ac:dyDescent="0.3">
      <c r="A9" t="s">
        <v>7</v>
      </c>
      <c r="B9" t="s">
        <v>17</v>
      </c>
      <c r="C9" t="s">
        <v>20</v>
      </c>
      <c r="D9" t="s">
        <v>33</v>
      </c>
      <c r="E9" s="1" t="str">
        <f t="shared" si="1"/>
        <v>false</v>
      </c>
      <c r="F9">
        <v>0</v>
      </c>
      <c r="G9">
        <f t="shared" si="2"/>
        <v>280</v>
      </c>
      <c r="H9">
        <v>7</v>
      </c>
      <c r="I9" t="str">
        <f t="shared" si="0"/>
        <v>"delete":{"icon":"fas fa-eraser","function":"openLeftMenu()","text":"Delete","display":false,"y":"0","x":"280","order":"7"},</v>
      </c>
    </row>
    <row r="10" spans="1:10" x14ac:dyDescent="0.3">
      <c r="A10" t="s">
        <v>8</v>
      </c>
      <c r="B10" t="s">
        <v>18</v>
      </c>
      <c r="C10" t="s">
        <v>20</v>
      </c>
      <c r="D10" t="s">
        <v>32</v>
      </c>
      <c r="E10" s="1" t="str">
        <f t="shared" si="1"/>
        <v>false</v>
      </c>
      <c r="F10">
        <v>0</v>
      </c>
      <c r="G10">
        <f t="shared" si="2"/>
        <v>320</v>
      </c>
      <c r="H10">
        <v>8</v>
      </c>
      <c r="I10" t="str">
        <f t="shared" si="0"/>
        <v>"filesView":{"icon":"far fa-folder-open","function":"openLeftMenu()","text":"Files view","display":false,"y":"0","x":"320","order":"8"},</v>
      </c>
    </row>
    <row r="11" spans="1:10" x14ac:dyDescent="0.3">
      <c r="A11" t="s">
        <v>9</v>
      </c>
      <c r="B11" t="s">
        <v>19</v>
      </c>
      <c r="C11" t="s">
        <v>20</v>
      </c>
      <c r="D11" t="s">
        <v>34</v>
      </c>
      <c r="E11" s="1" t="str">
        <f t="shared" si="1"/>
        <v>false</v>
      </c>
      <c r="F11">
        <v>0</v>
      </c>
      <c r="G11">
        <f t="shared" si="2"/>
        <v>360</v>
      </c>
      <c r="H11">
        <v>9</v>
      </c>
      <c r="I11" t="str">
        <f t="shared" si="0"/>
        <v>"simView":{"icon":"fas fa-play","function":"openLeftMenu()","text":"Simulation view","display":false,"y":"0","x":"360","order":"9"}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9CB5B-D4DE-41EA-B454-0F01FA82151C}">
  <sheetPr codeName="Sheet2"/>
  <dimension ref="A1:O11"/>
  <sheetViews>
    <sheetView workbookViewId="0">
      <selection activeCell="K1" sqref="K1"/>
    </sheetView>
  </sheetViews>
  <sheetFormatPr defaultRowHeight="14.4" x14ac:dyDescent="0.3"/>
  <cols>
    <col min="2" max="2" width="16" bestFit="1" customWidth="1"/>
  </cols>
  <sheetData>
    <row r="1" spans="1:15" x14ac:dyDescent="0.3">
      <c r="A1" t="s">
        <v>21</v>
      </c>
      <c r="B1" t="s">
        <v>24</v>
      </c>
      <c r="C1" t="s">
        <v>61</v>
      </c>
      <c r="D1" t="s">
        <v>36</v>
      </c>
      <c r="E1" t="s">
        <v>62</v>
      </c>
      <c r="F1" t="s">
        <v>63</v>
      </c>
      <c r="G1" t="s">
        <v>64</v>
      </c>
      <c r="H1" t="s">
        <v>65</v>
      </c>
      <c r="K1" t="str">
        <f ca="1">_xlfn.CONCAT(J:J)&amp;CHAR(34)&amp;MID(CELL("filename",A1),FIND("]",CELL("filename",A1))+1,255)&amp;CHAR(34)&amp;":{"&amp;_xlfn.CONCAT(I:I)&amp;"}"</f>
        <v>"sources":{},"sinks":{},"basics":{},"logics":{},"continuous":{},"discrete":{},"hardware":{},"functionsCategories":{"sources":{"text":"Sources","description":"Sources generate the signals to feed to the model.","order":"0"},"sinks":{"text":"Sinks","description":"Sinks output the information. They can be graphs or file download","order":"1"},"basics":{"text":"Basic operations","description":"Basic mathematical operations are given","order":"2"},"logics":{"text":"Logical operations","description":"Logical operations are available in this section","order":"3"},"continuous":{"text":"Continuous time","description":"Dynamic operations are available here for continuous time operations","order":"4"},"discrete":{"text":"Discrete time","description":"Dynamic operations are available here for discrete time operations","order":"5"},"hardware":{"text":"Hardware tools","description":"Hardware i/o blocks are available here","order":"6"}}</v>
      </c>
      <c r="L1" t="s">
        <v>77</v>
      </c>
      <c r="M1" t="s">
        <v>78</v>
      </c>
      <c r="N1" t="s">
        <v>82</v>
      </c>
      <c r="O1" t="s">
        <v>83</v>
      </c>
    </row>
    <row r="2" spans="1:15" x14ac:dyDescent="0.3">
      <c r="A2" t="s">
        <v>40</v>
      </c>
      <c r="B2" t="s">
        <v>46</v>
      </c>
      <c r="C2" t="s">
        <v>67</v>
      </c>
      <c r="D2">
        <v>0</v>
      </c>
      <c r="E2" s="1" t="s">
        <v>52</v>
      </c>
      <c r="F2" t="s">
        <v>55</v>
      </c>
      <c r="G2" t="s">
        <v>74</v>
      </c>
      <c r="H2" t="s">
        <v>57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}"&amp;IF(ISBLANK(A3),"",",")</f>
        <v>"sources":{"text":"Sources","description":"Sources generate the signals to feed to the model.","order":"0"},</v>
      </c>
      <c r="J2" t="str">
        <f>CHAR(34)&amp;A2&amp;CHAR(34)&amp;":{},"</f>
        <v>"sources":{},</v>
      </c>
      <c r="L2" t="str">
        <f>IconText!$A$1&amp;functionsCategories!E2&amp;IconText!$A$2&amp;functionsCategories!F2&amp;IconText!$A$3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fill='#FF0000' filter='url(#f0)'/&gt;&lt;/g&gt;&lt;g stroke-linecap='round' filter='url(#f1)' width='100' height='100' stroke='#00FFFF' stroke-width='10' fill='none'&gt;</v>
      </c>
      <c r="M2" t="str">
        <f>IconText!$A$4</f>
        <v>&lt;/g&gt;&lt;/svg&gt;</v>
      </c>
      <c r="N2" t="e">
        <f>IconText!#REF!&amp;functionsCategories!E2&amp;IconText!#REF!&amp;functionsCategories!F2&amp;IconText!#REF!</f>
        <v>#REF!</v>
      </c>
      <c r="O2" t="e">
        <f>IconText!#REF!</f>
        <v>#REF!</v>
      </c>
    </row>
    <row r="3" spans="1:15" x14ac:dyDescent="0.3">
      <c r="A3" t="s">
        <v>54</v>
      </c>
      <c r="B3" t="s">
        <v>53</v>
      </c>
      <c r="C3" t="s">
        <v>66</v>
      </c>
      <c r="D3">
        <v>1</v>
      </c>
      <c r="E3" s="1" t="s">
        <v>56</v>
      </c>
      <c r="F3" t="s">
        <v>80</v>
      </c>
      <c r="G3" t="s">
        <v>74</v>
      </c>
      <c r="H3" t="s">
        <v>57</v>
      </c>
      <c r="I3" t="str">
        <f t="shared" ref="I3:I8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}"&amp;IF(ISBLANK(A4),"",",")</f>
        <v>"sinks":{"text":"Sinks","description":"Sinks output the information. They can be graphs or file download","order":"1"},</v>
      </c>
      <c r="J3" t="str">
        <f t="shared" ref="J3:J8" si="1">CHAR(34)&amp;A3&amp;CHAR(34)&amp;":{},"</f>
        <v>"sinks":{},</v>
      </c>
      <c r="L3" t="str">
        <f>IconText!$A$1&amp;functionsCategories!E3&amp;IconText!$A$2&amp;functionsCategories!F3&amp;IconText!$A$3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fill='#80FF00' filter='url(#f0)'/&gt;&lt;/g&gt;&lt;g stroke-linecap='round' filter='url(#f1)' width='100' height='100' stroke='#7F00FF' stroke-width='10' fill='none'&gt;</v>
      </c>
      <c r="M3" t="str">
        <f>IconText!$A$4</f>
        <v>&lt;/g&gt;&lt;/svg&gt;</v>
      </c>
      <c r="N3" t="e">
        <f>IconText!#REF!&amp;functionsCategories!E3&amp;IconText!#REF!&amp;functionsCategories!F3&amp;IconText!#REF!</f>
        <v>#REF!</v>
      </c>
      <c r="O3" t="e">
        <f>IconText!#REF!</f>
        <v>#REF!</v>
      </c>
    </row>
    <row r="4" spans="1:15" x14ac:dyDescent="0.3">
      <c r="A4" t="s">
        <v>41</v>
      </c>
      <c r="B4" t="s">
        <v>47</v>
      </c>
      <c r="C4" t="s">
        <v>68</v>
      </c>
      <c r="D4">
        <v>2</v>
      </c>
      <c r="E4" s="1" t="s">
        <v>55</v>
      </c>
      <c r="F4" t="s">
        <v>52</v>
      </c>
      <c r="G4" t="s">
        <v>74</v>
      </c>
      <c r="H4" t="s">
        <v>57</v>
      </c>
      <c r="I4" t="str">
        <f t="shared" si="0"/>
        <v>"basics":{"text":"Basic operations","description":"Basic mathematical operations are given","order":"2"},</v>
      </c>
      <c r="J4" t="str">
        <f t="shared" si="1"/>
        <v>"basics":{},</v>
      </c>
      <c r="L4" t="str">
        <f>IconText!$A$1&amp;functionsCategories!E4&amp;IconText!$A$2&amp;functionsCategories!F4&amp;IconText!$A$3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fill='#00FFFF' filter='url(#f0)'/&gt;&lt;/g&gt;&lt;g stroke-linecap='round' filter='url(#f1)' width='100' height='100' stroke='#FF0000' stroke-width='10' fill='none'&gt;</v>
      </c>
      <c r="M4" t="str">
        <f>IconText!$A$4</f>
        <v>&lt;/g&gt;&lt;/svg&gt;</v>
      </c>
      <c r="N4" t="e">
        <f>IconText!#REF!&amp;functionsCategories!E4&amp;IconText!#REF!&amp;functionsCategories!F4&amp;IconText!#REF!</f>
        <v>#REF!</v>
      </c>
      <c r="O4" t="e">
        <f>IconText!#REF!</f>
        <v>#REF!</v>
      </c>
    </row>
    <row r="5" spans="1:15" x14ac:dyDescent="0.3">
      <c r="A5" t="s">
        <v>42</v>
      </c>
      <c r="B5" t="s">
        <v>48</v>
      </c>
      <c r="C5" t="s">
        <v>69</v>
      </c>
      <c r="D5">
        <v>3</v>
      </c>
      <c r="E5" s="1" t="s">
        <v>73</v>
      </c>
      <c r="F5" t="s">
        <v>81</v>
      </c>
      <c r="G5" t="s">
        <v>74</v>
      </c>
      <c r="H5" t="s">
        <v>57</v>
      </c>
      <c r="I5" t="str">
        <f t="shared" si="0"/>
        <v>"logics":{"text":"Logical operations","description":"Logical operations are available in this section","order":"3"},</v>
      </c>
      <c r="J5" t="str">
        <f t="shared" si="1"/>
        <v>"logics":{},</v>
      </c>
      <c r="L5" t="str">
        <f>IconText!$A$1&amp;functionsCategories!E5&amp;IconText!$A$2&amp;functionsCategories!F5&amp;IconText!$A$3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fill='#8000FF' filter='url(#f0)'/&gt;&lt;/g&gt;&lt;g stroke-linecap='round' filter='url(#f1)' width='100' height='100' stroke='#7FFF00' stroke-width='10' fill='none'&gt;</v>
      </c>
      <c r="M5" t="str">
        <f>IconText!$A$4</f>
        <v>&lt;/g&gt;&lt;/svg&gt;</v>
      </c>
      <c r="N5" t="e">
        <f>IconText!#REF!&amp;functionsCategories!E5&amp;IconText!#REF!&amp;functionsCategories!F5&amp;IconText!#REF!</f>
        <v>#REF!</v>
      </c>
      <c r="O5" t="e">
        <f>IconText!#REF!</f>
        <v>#REF!</v>
      </c>
    </row>
    <row r="6" spans="1:15" x14ac:dyDescent="0.3">
      <c r="A6" t="s">
        <v>43</v>
      </c>
      <c r="B6" t="s">
        <v>49</v>
      </c>
      <c r="C6" t="s">
        <v>70</v>
      </c>
      <c r="D6">
        <v>4</v>
      </c>
      <c r="E6" s="1" t="s">
        <v>60</v>
      </c>
      <c r="F6" t="s">
        <v>58</v>
      </c>
      <c r="G6" t="s">
        <v>74</v>
      </c>
      <c r="H6" t="s">
        <v>57</v>
      </c>
      <c r="I6" t="str">
        <f t="shared" si="0"/>
        <v>"continuous":{"text":"Continuous time","description":"Dynamic operations are available here for continuous time operations","order":"4"},</v>
      </c>
      <c r="J6" t="str">
        <f t="shared" si="1"/>
        <v>"continuous":{},</v>
      </c>
      <c r="L6" t="str">
        <f>IconText!$A$1&amp;functionsCategories!E6&amp;IconText!$A$2&amp;functionsCategories!F6&amp;IconText!$A$3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fill='#FFFF00' filter='url(#f0)'/&gt;&lt;/g&gt;&lt;g stroke-linecap='round' filter='url(#f1)' width='100' height='100' stroke='#0000FF' stroke-width='10' fill='none'&gt;</v>
      </c>
      <c r="M6" t="str">
        <f>IconText!$A$4</f>
        <v>&lt;/g&gt;&lt;/svg&gt;</v>
      </c>
      <c r="N6" t="e">
        <f>IconText!#REF!&amp;functionsCategories!E6&amp;IconText!#REF!&amp;functionsCategories!F6&amp;IconText!#REF!</f>
        <v>#REF!</v>
      </c>
      <c r="O6" t="e">
        <f>IconText!#REF!</f>
        <v>#REF!</v>
      </c>
    </row>
    <row r="7" spans="1:15" x14ac:dyDescent="0.3">
      <c r="A7" t="s">
        <v>44</v>
      </c>
      <c r="B7" t="s">
        <v>50</v>
      </c>
      <c r="C7" t="s">
        <v>71</v>
      </c>
      <c r="D7">
        <v>5</v>
      </c>
      <c r="E7" s="1" t="s">
        <v>59</v>
      </c>
      <c r="F7" t="s">
        <v>79</v>
      </c>
      <c r="G7" t="s">
        <v>74</v>
      </c>
      <c r="H7" t="s">
        <v>57</v>
      </c>
      <c r="I7" t="str">
        <f t="shared" si="0"/>
        <v>"discrete":{"text":"Discrete time","description":"Dynamic operations are available here for discrete time operations","order":"5"},</v>
      </c>
      <c r="J7" t="str">
        <f t="shared" si="1"/>
        <v>"discrete":{},</v>
      </c>
      <c r="L7" t="str">
        <f>IconText!$A$1&amp;functionsCategories!E7&amp;IconText!$A$2&amp;functionsCategories!F7&amp;IconText!$A$3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fill='#00FF80' filter='url(#f0)'/&gt;&lt;/g&gt;&lt;g stroke-linecap='round' filter='url(#f1)' width='100' height='100' stroke='#FF007F' stroke-width='10' fill='none'&gt;</v>
      </c>
      <c r="M7" t="str">
        <f>IconText!$A$4</f>
        <v>&lt;/g&gt;&lt;/svg&gt;</v>
      </c>
      <c r="N7" t="e">
        <f>IconText!#REF!&amp;functionsCategories!E7&amp;IconText!#REF!&amp;functionsCategories!F7&amp;IconText!#REF!</f>
        <v>#REF!</v>
      </c>
      <c r="O7" t="e">
        <f>IconText!#REF!</f>
        <v>#REF!</v>
      </c>
    </row>
    <row r="8" spans="1:15" x14ac:dyDescent="0.3">
      <c r="A8" t="s">
        <v>45</v>
      </c>
      <c r="B8" t="s">
        <v>51</v>
      </c>
      <c r="C8" t="s">
        <v>72</v>
      </c>
      <c r="D8">
        <v>6</v>
      </c>
      <c r="E8" s="1" t="s">
        <v>58</v>
      </c>
      <c r="F8" t="s">
        <v>60</v>
      </c>
      <c r="G8" t="s">
        <v>74</v>
      </c>
      <c r="H8" t="s">
        <v>57</v>
      </c>
      <c r="I8" t="str">
        <f t="shared" si="0"/>
        <v>"hardware":{"text":"Hardware tools","description":"Hardware i/o blocks are available here","order":"6"}</v>
      </c>
      <c r="J8" t="str">
        <f t="shared" si="1"/>
        <v>"hardware":{},</v>
      </c>
      <c r="L8" t="str">
        <f>IconText!$A$1&amp;functionsCategories!E8&amp;IconText!$A$2&amp;functionsCategories!F8&amp;IconText!$A$3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fill='#0000FF' filter='url(#f0)'/&gt;&lt;/g&gt;&lt;g stroke-linecap='round' filter='url(#f1)' width='100' height='100' stroke='#FFFF00' stroke-width='10' fill='none'&gt;</v>
      </c>
      <c r="M8" t="str">
        <f>IconText!$A$4</f>
        <v>&lt;/g&gt;&lt;/svg&gt;</v>
      </c>
      <c r="N8" t="e">
        <f>IconText!#REF!&amp;functionsCategories!E8&amp;IconText!#REF!&amp;functionsCategories!F8&amp;IconText!#REF!</f>
        <v>#REF!</v>
      </c>
      <c r="O8" t="e">
        <f>IconText!#REF!</f>
        <v>#REF!</v>
      </c>
    </row>
    <row r="9" spans="1:15" x14ac:dyDescent="0.3">
      <c r="E9" s="1" t="s">
        <v>79</v>
      </c>
      <c r="F9" t="s">
        <v>59</v>
      </c>
      <c r="G9" t="s">
        <v>74</v>
      </c>
      <c r="H9" t="s">
        <v>57</v>
      </c>
    </row>
    <row r="10" spans="1:15" x14ac:dyDescent="0.3">
      <c r="E10" s="1"/>
    </row>
    <row r="11" spans="1:15" x14ac:dyDescent="0.3">
      <c r="E11" s="1"/>
    </row>
  </sheetData>
  <phoneticPr fontId="1" type="noConversion"/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B7B6-819E-4DED-B255-521F625E0B22}">
  <sheetPr codeName="Sheet3"/>
  <dimension ref="A1:O64"/>
  <sheetViews>
    <sheetView zoomScaleNormal="100" workbookViewId="0">
      <selection activeCell="F1" sqref="F1:F1048576"/>
    </sheetView>
  </sheetViews>
  <sheetFormatPr defaultRowHeight="14.4" x14ac:dyDescent="0.3"/>
  <cols>
    <col min="2" max="2" width="25.33203125" customWidth="1"/>
    <col min="6" max="6" width="16.5546875" bestFit="1" customWidth="1"/>
    <col min="8" max="8" width="9.5546875" customWidth="1"/>
    <col min="14" max="14" width="31.33203125" customWidth="1"/>
  </cols>
  <sheetData>
    <row r="1" spans="1:15" x14ac:dyDescent="0.3">
      <c r="A1" t="s">
        <v>116</v>
      </c>
      <c r="B1" t="s">
        <v>117</v>
      </c>
      <c r="C1" t="s">
        <v>22</v>
      </c>
      <c r="D1" t="s">
        <v>238</v>
      </c>
      <c r="E1" t="s">
        <v>24</v>
      </c>
      <c r="F1" t="s">
        <v>134</v>
      </c>
      <c r="H1" t="str">
        <f ca="1">"const "&amp;MID(CELL("filename",A1),FIND("]",CELL("filename",A1))+1,255)&amp;"=["&amp;_xlfn.CONCAT(G:G)&amp;"];"</f>
        <v>const toolBar=[{"value":"File","icon":"fas fa-file-alt","width":"335","text":"Menu gives options to manage your files","shortcut":[],"items":[{"value":"Cloud organizer","icon":"far fa-folder","function":"alert()","text":"Organize your Uyamak systems on your cloud storage","shortcut":['Ctrl','O',]},{"value":"hl","icon":"fas fa-arrow-left","function":"alert()","text":"Good to go when eveything is fine and also I want to say something more 1","shortcut":[]},{"value":"Save to local machine","icon":"fas fa-download","function":"alert()","text":"Download the Uyamak system to your local device as a file","shortcut":['Ctrl','S',]},{"value":"Load from local machine","icon":"fas fa-upload","function":"alert()","text":"Load a Uyamak system from your local device","shortcut":['Ctrl','L',]},{"value":"hl","icon":"fas fa-arrow-left","function":"alert()","text":"Good to go when eveything is fine and also I want to say something more 1","shortcut":[]},{"value":"Share privately","icon":"fas fa-share-alt-square","function":"alert()","text":"Share Uyamak system with your friends and teachers","shortcut":['Ctrl','J',]},{"value":"Make public","icon":"fas fa-share-alt","function":"alert()","text":"Publish your Uyamak system to the public","shortcut":['Ctrl','Shift','J',]},{"value":"hl","icon":"fas fa-arrow-left","function":"alert()","text":"Good to go when eveything is fine and also I want to say something more 1","shortcut":[]},{"value":"Print","icon":"fas fa-print","function":"alert()","text":"Print the Uyamak system","shortcut":['Ctrl','P',]}]},{"value":"System","icon":"fas fa-project-diagram","width":"400","text":"Menu gives options to manage your Uyamak system","shortcut":[],"items":[{"value":"Show Uyamak library","icon":"fas fa-puzzle-piece","function":"alert()","text":"Displays the Uyamak library drawer where you can find all the Uyamak models","shortcut":['Ctrl','U',]},{"value":"Show Model Editor","icon":"fas fa-edit","function":"alert()","text":"Displays the Uyamak model editor where you can tweak the model settings","shortcut":['Ctrl','E',]},{"value":"Show Simulation drawer","icon":"fas fa-play","function":"alert()","text":"Displays the simulation drawer where you can execute the Uyamak system","shortcut":['Ctrl','Shift','S',]},{"value":"Show Variable manager","icon":"fas fa-equals","function":"ShowModelItem('variablesManager')","text":"Displays the Variable manager where you can add, edit or delete the Uyamak variables.","shortcut":['Ctrl','Shift','V',]},{"value":"hl","icon":"fas fa-arrow-left","function":"alert()","text":"Good to go when eveything is fine and also I want to say something more 1","shortcut":[]},{"value":"Create sub-system","icon":"far fa-object-group","function":"if (mainSystem.graph.isEnabled()) createSubModel();","text":"Creates Uyamak sub-system out of the selected Uyamak models","shortcut":['Ctrl','K',]},{"value":"Dismantle sub-system","icon":"far fa-object-ungroup","function":"if (mainSystem.graph.isEnabled()) ungroupSubModel();","text":"Dismantles all the selected Uyamak sub-systems.","shortcut":['Ctrl','Shift','K',]}]},{"value":"Edit","icon":"fas fa-pen","width":"300","text":"Menu gives options to manipulate the Uyamak system","shortcut":[],"items":[{"value":"Select all","icon":"far fa-check-square","function":"alert()","text":"","shortcut":['Ctrl','A',]},{"value":"Select none","icon":"far fa-square","function":"alert()","text":"","shortcut":['Ctrl','Shift','A',]},{"value":"hl","icon":"fas fa-arrow-left","function":"alert()","text":"","shortcut":[]},{"value":"Cut","icon":"fas fa-cut","function":"alert()","text":"Copies the selected Uyamak models into the clipboard and deletes the original ones","shortcut":['Ctrl','X',]},{"value":"Copy","icon":"fas fa-copy","function":"alert()","text":"Copies the selected Uyamak models into the clipboard","shortcut":['Ctrl','C',]},{"value":"Paste","icon":"fas fa-paste","function":"alert()","text":"Pastes the clipboard Uyamak models to the present Uyamak system","shortcut":['Ctrl','V',]},{"value":"Clone","icon":"fas fa-clone","function":"alert()","text":"Clones the selected Uyamak models","shortcut":['Ctrl','Shift','C',]},{"value":"Delete","icon":"fas fa-trash-alt","function":"if (mainSystem.graph.isEnabled()) mainSystem.graph.removeCells();","text":"Delete the selected Uyamak models and Sub-systems","shortcut":['Delete',]},{"value":"hl","icon":"fas fa-arrow-left","function":"alert()","text":"Good to go when eveything is fine and also I want to say something more 1","shortcut":[]},{"value":"Undo","icon":"fas fa-undo","function":"mainSystem.undoManager.undo();","text":"Undo the recent changes","shortcut":['Ctrl','Z',]},{"value":"Redo","icon":"fas fa-redo","function":"mainSystem.undoManager.redo();","text":"Redo the recent changes","shortcut":['Ctrl','Shift','Z',]}]},{"value":"View","icon":"fas fa-desktop","width":"390","text":"Menu gives different options to visualize the Uyamak system","shortcut":[],"items":[{"value":"Zoom in","icon":"fas fa-search-plus","function":"mainSystem.graph.zoomIn();","text":"Zooms in","shortcut":['Ctrl','+',]},{"value":"Zoom out","icon":"fas fa-search-minus","function":"mainSystem.graph.zoomOut();","text":"Zooms out","shortcut":['Ctrl','-',]},{"value":"Original size","icon":"fas fa-compress","function":"mainSystem.graph.zoomActual();","text":"Shows the original size. Some items may be out of view. You can see them by scrolling","shortcut":['Ctrl','0',]},{"value":"Fit all","icon":"fas fa-expand","function":"mainSystem.graph.fit();","text":"Shows the complete Uyamak system","shortcut":['Ctrl','Shift','0',]},{"value":"hl","icon":"fas fa-arrow-left","function":"alert()","text":"Good to go when eveything is fine and also I want to say something more 1","shortcut":[]},{"value":"Minimize  subsystem(s)","icon":"fas fa-window-minimize","function":"foldItems();","text":"Minimizes the selected subsystem. If nothing is selected, all the sub-systems will be minimized","shortcut":['Ctrl','M',]},{"value":"Maximize  subsystem(s)","icon":"fas fa-window-maximize","function":"foldItems(false);","text":"Maximizes the selected subsystem. If nothing is selected, all the sub-systems will be maximized","shortcut":['Ctrl','Shift','M',]},{"value":"hl","icon":"fas fa-window-maximize","function":"","text":"Good to go when eveything is fine and also I want to say something more 1","shortcut":[]},{"value":"Execution order","icon":"fas fa-sort-numeric-up-alt","function":"displayExecutionOrder()","text":"Shows simulation order and errors","shortcut":['Ctrl','R',]},{"value":"hl","icon":"fas fa-window-maximize","function":"alert()","text":"Good to go when eveything is fine and also I want to say something more 1","shortcut":[]},{"value":"System outline","icon":"fas fa-image","function":"alert()","text":"Shows outline of the Uyamak system in a small window on the top right corner","shortcut":['Ctrl','F',]},{"value":"Show/Hide Grid lines","icon":"fas fa-border-all","function":"alert()","text":"Shows or hide the grid lines","shortcut":['Ctrl','G',]},{"value":"Toggle snap to grid","icon":"fas fa-magnet","function":"alert()","text":"When snap to grid is activated, the blocks are moved at a steps instead of smoothly","shortcut":['Ctrl','T',]},{"value":"Keyboard shortcuts","icon":"far fa-keyboard","function":"alert()","text":"Displays all the keyboard shortcuts","shortcut":['Ctrl','Y',]}]},{"value":"Account","icon":"fas fa-user-alt","width":"315","text":"Menu gives options to manage the user account","shortcut":[],"items":[{"value":"Profile","icon":"fas fa-user-cog","function":"alert()","text":"Opens another page where you can manage your Uyamak profile","shortcut":[]},{"value":"Extend licence period","icon":"fas fa-ticket-alt","function":"alert()","text":"Lets you extend the license period","shortcut":['Ctrl','B',]},{"value":"Sign out","icon":"fas fa-door-open","function":"alert()","text":"Signing out","shortcut":['Ctrl','W',]}]},{"value":"Help","icon":"far fa-life-ring","width":"275","text":"Menu gives access to documentation and help","shortcut":[],"items":[{"value":"Documentation","icon":"fas fa-book","function":"alert()","text":"Takes you to the documentation page","shortcut":['Ctrl','D',]},{"value":"Context help","icon":"far fa-question-circle","function":"alert()","text":"Shows the documentation for the selected Uyamak model","shortcut":['Ctrl','H',]},{"value":"hl","icon":"fas fa-window-maximize","function":"alert()","text":"Shows the documentation for the selected Uyamak model","shortcut":[]},{"value":"About","icon":"fas fa-info","function":"alert()","text":"Shows the documentation for the selected Uyamak model","shortcut":[]}]},];</v>
      </c>
      <c r="I1" t="s">
        <v>253</v>
      </c>
      <c r="J1" t="s">
        <v>239</v>
      </c>
      <c r="K1" t="s">
        <v>240</v>
      </c>
      <c r="L1" t="s">
        <v>241</v>
      </c>
      <c r="M1" t="s">
        <v>287</v>
      </c>
      <c r="O1" t="str">
        <f>_xlfn.CONCAT(N:N)</f>
        <v>mainSystem.keyHandler.bindControlKey(79, function (evt){alert()});mainSystem.keyHandler.bindControlKey(83, function (evt){alert()});mainSystem.keyHandler.bindControlKey(76, function (evt){alert()});mainSystem.keyHandler.bindControlKey(74, function (evt){alert()});mainSystem.keyHandler.bindControlShiftKey(74, function (evt){alert()});mainSystem.keyHandler.bindControlKey(80, function (evt){alert()});mainSystem.keyHandler.bindControlKey(85, function (evt){alert()});mainSystem.keyHandler.bindControlKey(69, function (evt){alert()});mainSystem.keyHandler.bindControlShiftKey(83, function (evt){alert()});mainSystem.keyHandler.bindControlShiftKey(86, function (evt){ShowModelItem('variablesManager')});mainSystem.keyHandler.bindControlKey(75, function (evt){if (mainSystem.graph.isEnabled()) createSubModel();});mainSystem.keyHandler.bindControlShiftKey(75, function (evt){if (mainSystem.graph.isEnabled()) ungroupSubModel();});mainSystem.keyHandler.bindControlKey(65, function (evt){alert()});mainSystem.keyHandler.bindControlShiftKey(65, function (evt){alert()});mainSystem.keyHandler.bindControlKey(88, function (evt){alert()});mainSystem.keyHandler.bindControlKey(67, function (evt){alert()});mainSystem.keyHandler.bindControlKey(86, function (evt){alert()});mainSystem.keyHandler.bindControlShiftKey(67, function (evt){alert()});mainSystem.keyHandler.bindKey(46, function (evt){if (mainSystem.graph.isEnabled()) mainSystem.graph.removeCells();});mainSystem.keyHandler.bindControlKey(90, function (evt){mainSystem.undoManager.undo();});mainSystem.keyHandler.bindControlShiftKey(90, function (evt){mainSystem.undoManager.redo();});mainSystem.keyHandler.bindControlKey(107, function (evt){mainSystem.graph.zoomIn();});mainSystem.keyHandler.bindControlKey(109, function (evt){mainSystem.graph.zoomOut();});mainSystem.keyHandler.bindControlKey(96, function (evt){mainSystem.graph.zoomActual();});mainSystem.keyHandler.bindControlShiftKey(96, function (evt){mainSystem.graph.fit();});mainSystem.keyHandler.bindControlKey(77, function (evt){foldItems();});mainSystem.keyHandler.bindControlShiftKey(77, function (evt){foldItems(false);});mainSystem.keyHandler.bindControlKey(82, function (evt){displayExecutionOrder()});mainSystem.keyHandler.bindControlKey(70, function (evt){alert()});mainSystem.keyHandler.bindControlKey(71, function (evt){alert()});mainSystem.keyHandler.bindControlKey(84, function (evt){alert()});mainSystem.keyHandler.bindControlKey(89, function (evt){alert()});mainSystem.keyHandler.bindControlKey(66, function (evt){alert()});mainSystem.keyHandler.bindControlKey(87, function (evt){alert()});mainSystem.keyHandler.bindControlKey(68, function (evt){alert()});mainSystem.keyHandler.bindControlKey(72, function (evt){alert()});mainSystem.keyHandler.bindKey(38, function (evt){movemainSystem.graph("up");});mainSystem.keyHandler.bindKey(40, function (evt){movemainSystem.graph("down");});mainSystem.keyHandler.bindKey(39, function (evt){movemainSystem.graph("right");});mainSystem.keyHandler.bindKey(37, function (evt){movemainSystem.graph("left");});mainSystem.keyHandler.bindControlKey(48, function (evt){mainSystem.graph.zoomActual();});mainSystem.keyHandler.bindControlShiftKey(48, function (evt){mainSystem.graph.fit();});</v>
      </c>
    </row>
    <row r="2" spans="1:15" x14ac:dyDescent="0.3">
      <c r="A2" t="s">
        <v>115</v>
      </c>
      <c r="C2" t="s">
        <v>187</v>
      </c>
      <c r="D2">
        <v>335</v>
      </c>
      <c r="E2" t="s">
        <v>192</v>
      </c>
      <c r="F2" t="str">
        <f>"["&amp;IF(ISBLANK(J2),"","'"&amp;$J$1&amp;"',")&amp;IF(ISBLANK(K2),"","'"&amp;$K$1&amp;"',")&amp;IF(ISBLANK(L2),"","'"&amp;L2&amp;"',")&amp;"]"</f>
        <v>[]</v>
      </c>
      <c r="G2" t="str">
        <f>IF(ISBLANK(A2),"{"&amp;CHAR(34)&amp;"value"&amp;CHAR(34)&amp;":"&amp;CHAR(34)&amp;B2&amp;CHAR(34)&amp;","&amp;CHAR(34)&amp;"icon"&amp;CHAR(34)&amp;":"&amp;CHAR(34)&amp;C2&amp;CHAR(34)&amp;","&amp;CHAR(34)&amp;"function"&amp;CHAR(34)&amp;":"&amp;CHAR(34)&amp;D2&amp;CHAR(34)&amp;","&amp;CHAR(34)&amp;"text"&amp;CHAR(34)&amp;":"&amp;CHAR(34)&amp;E2&amp;CHAR(34)&amp;","&amp;CHAR(34)&amp;"shortcut"&amp;CHAR(34)&amp;":"&amp;F2&amp;"}"&amp;IF(ISBLANK(A3),",","]},"),"{"&amp;CHAR(34)&amp;"value"&amp;CHAR(34)&amp;":"&amp;CHAR(34)&amp;A2&amp;CHAR(34)&amp;","&amp;CHAR(34)&amp;"icon"&amp;CHAR(34)&amp;":"&amp;CHAR(34)&amp;C2&amp;CHAR(34)&amp;","&amp;CHAR(34)&amp;"width"&amp;CHAR(34)&amp;":"&amp;CHAR(34)&amp;D2&amp;CHAR(34)&amp;","&amp;CHAR(34)&amp;"text"&amp;CHAR(34)&amp;":"&amp;CHAR(34)&amp;E2&amp;CHAR(34)&amp;","&amp;CHAR(34)&amp;"shortcut"&amp;CHAR(34)&amp;":"&amp;F2&amp;","&amp;CHAR(34)&amp;"items"&amp;CHAR(34)&amp;":[")</f>
        <v>{"value":"File","icon":"fas fa-file-alt","width":"335","text":"Menu gives options to manage your files","shortcut":[],"items":[</v>
      </c>
      <c r="I2" t="s">
        <v>253</v>
      </c>
      <c r="N2" t="str">
        <f>IF(ISBLANK(M2),"","mainSystem.keyHandler.bind"&amp;IF(ISBLANK(J2),"","Control")&amp;IF(ISBLANK(K2),"","Shift")&amp;"Key("&amp;M2&amp;", function (evt){"&amp;D2&amp;"});")</f>
        <v/>
      </c>
    </row>
    <row r="3" spans="1:15" x14ac:dyDescent="0.3">
      <c r="B3" t="s">
        <v>200</v>
      </c>
      <c r="C3" t="s">
        <v>151</v>
      </c>
      <c r="D3" t="s">
        <v>272</v>
      </c>
      <c r="E3" t="s">
        <v>199</v>
      </c>
      <c r="F3" t="str">
        <f t="shared" ref="F3:F55" si="0">"["&amp;IF(ISBLANK(J3),"","'"&amp;$J$1&amp;"',")&amp;IF(ISBLANK(K3),"","'"&amp;$K$1&amp;"',")&amp;IF(ISBLANK(L3),"","'"&amp;L3&amp;"',")&amp;"]"</f>
        <v>['Ctrl','O',]</v>
      </c>
      <c r="G3" t="str">
        <f t="shared" ref="G3:G55" si="1">IF(ISBLANK(A3),"{"&amp;CHAR(34)&amp;"value"&amp;CHAR(34)&amp;":"&amp;CHAR(34)&amp;B3&amp;CHAR(34)&amp;","&amp;CHAR(34)&amp;"icon"&amp;CHAR(34)&amp;":"&amp;CHAR(34)&amp;C3&amp;CHAR(34)&amp;","&amp;CHAR(34)&amp;"function"&amp;CHAR(34)&amp;":"&amp;CHAR(34)&amp;D3&amp;CHAR(34)&amp;","&amp;CHAR(34)&amp;"text"&amp;CHAR(34)&amp;":"&amp;CHAR(34)&amp;E3&amp;CHAR(34)&amp;","&amp;CHAR(34)&amp;"shortcut"&amp;CHAR(34)&amp;":"&amp;F3&amp;"}"&amp;IF(ISBLANK(A4),",","]},"),"{"&amp;CHAR(34)&amp;"value"&amp;CHAR(34)&amp;":"&amp;CHAR(34)&amp;A3&amp;CHAR(34)&amp;","&amp;CHAR(34)&amp;"icon"&amp;CHAR(34)&amp;":"&amp;CHAR(34)&amp;C3&amp;CHAR(34)&amp;","&amp;CHAR(34)&amp;"width"&amp;CHAR(34)&amp;":"&amp;CHAR(34)&amp;D3&amp;CHAR(34)&amp;","&amp;CHAR(34)&amp;"text"&amp;CHAR(34)&amp;":"&amp;CHAR(34)&amp;E3&amp;CHAR(34)&amp;","&amp;CHAR(34)&amp;"shortcut"&amp;CHAR(34)&amp;":"&amp;F3&amp;","&amp;CHAR(34)&amp;"items"&amp;CHAR(34)&amp;":[")</f>
        <v>{"value":"Cloud organizer","icon":"far fa-folder","function":"alert()","text":"Organize your Uyamak systems on your cloud storage","shortcut":['Ctrl','O',]},</v>
      </c>
      <c r="I3" t="s">
        <v>253</v>
      </c>
      <c r="J3">
        <v>1</v>
      </c>
      <c r="L3" t="s">
        <v>242</v>
      </c>
      <c r="M3">
        <v>79</v>
      </c>
      <c r="N3" t="str">
        <f t="shared" ref="N3:N64" si="2">IF(ISBLANK(M3),"","mainSystem.keyHandler.bind"&amp;IF(ISBLANK(J3),"","Control")&amp;IF(ISBLANK(K3),"","Shift")&amp;"Key("&amp;M3&amp;", function (evt){"&amp;D3&amp;"});")</f>
        <v>mainSystem.keyHandler.bindControlKey(79, function (evt){alert()});</v>
      </c>
    </row>
    <row r="4" spans="1:15" x14ac:dyDescent="0.3">
      <c r="B4" t="s">
        <v>118</v>
      </c>
      <c r="C4" t="s">
        <v>132</v>
      </c>
      <c r="D4" t="s">
        <v>272</v>
      </c>
      <c r="E4" t="s">
        <v>133</v>
      </c>
      <c r="F4" t="str">
        <f t="shared" si="0"/>
        <v>[]</v>
      </c>
      <c r="G4" t="str">
        <f t="shared" si="1"/>
        <v>{"value":"hl","icon":"fas fa-arrow-left","function":"alert()","text":"Good to go when eveything is fine and also I want to say something more 1","shortcut":[]},</v>
      </c>
      <c r="I4" t="s">
        <v>253</v>
      </c>
      <c r="N4" t="str">
        <f t="shared" si="2"/>
        <v/>
      </c>
    </row>
    <row r="5" spans="1:15" x14ac:dyDescent="0.3">
      <c r="B5" t="s">
        <v>137</v>
      </c>
      <c r="C5" t="s">
        <v>152</v>
      </c>
      <c r="D5" t="s">
        <v>272</v>
      </c>
      <c r="E5" t="s">
        <v>197</v>
      </c>
      <c r="F5" t="str">
        <f t="shared" si="0"/>
        <v>['Ctrl','S',]</v>
      </c>
      <c r="G5" t="str">
        <f t="shared" si="1"/>
        <v>{"value":"Save to local machine","icon":"fas fa-download","function":"alert()","text":"Download the Uyamak system to your local device as a file","shortcut":['Ctrl','S',]},</v>
      </c>
      <c r="I5" t="s">
        <v>253</v>
      </c>
      <c r="J5">
        <v>1</v>
      </c>
      <c r="L5" t="s">
        <v>243</v>
      </c>
      <c r="M5">
        <v>83</v>
      </c>
      <c r="N5" t="str">
        <f t="shared" si="2"/>
        <v>mainSystem.keyHandler.bindControlKey(83, function (evt){alert()});</v>
      </c>
    </row>
    <row r="6" spans="1:15" x14ac:dyDescent="0.3">
      <c r="B6" t="s">
        <v>138</v>
      </c>
      <c r="C6" t="s">
        <v>153</v>
      </c>
      <c r="D6" t="s">
        <v>272</v>
      </c>
      <c r="E6" t="s">
        <v>198</v>
      </c>
      <c r="F6" t="str">
        <f t="shared" si="0"/>
        <v>['Ctrl','L',]</v>
      </c>
      <c r="G6" t="str">
        <f t="shared" si="1"/>
        <v>{"value":"Load from local machine","icon":"fas fa-upload","function":"alert()","text":"Load a Uyamak system from your local device","shortcut":['Ctrl','L',]},</v>
      </c>
      <c r="I6" t="s">
        <v>253</v>
      </c>
      <c r="J6">
        <v>1</v>
      </c>
      <c r="L6" t="s">
        <v>246</v>
      </c>
      <c r="M6">
        <v>76</v>
      </c>
      <c r="N6" t="str">
        <f t="shared" si="2"/>
        <v>mainSystem.keyHandler.bindControlKey(76, function (evt){alert()});</v>
      </c>
    </row>
    <row r="7" spans="1:15" x14ac:dyDescent="0.3">
      <c r="B7" t="s">
        <v>118</v>
      </c>
      <c r="C7" t="s">
        <v>132</v>
      </c>
      <c r="D7" t="s">
        <v>272</v>
      </c>
      <c r="E7" t="s">
        <v>133</v>
      </c>
      <c r="F7" t="str">
        <f t="shared" si="0"/>
        <v>[]</v>
      </c>
      <c r="G7" t="str">
        <f t="shared" si="1"/>
        <v>{"value":"hl","icon":"fas fa-arrow-left","function":"alert()","text":"Good to go when eveything is fine and also I want to say something more 1","shortcut":[]},</v>
      </c>
      <c r="I7" t="s">
        <v>253</v>
      </c>
      <c r="N7" t="str">
        <f t="shared" si="2"/>
        <v/>
      </c>
    </row>
    <row r="8" spans="1:15" x14ac:dyDescent="0.3">
      <c r="B8" t="s">
        <v>140</v>
      </c>
      <c r="C8" t="s">
        <v>154</v>
      </c>
      <c r="D8" t="s">
        <v>272</v>
      </c>
      <c r="E8" t="s">
        <v>193</v>
      </c>
      <c r="F8" t="str">
        <f t="shared" si="0"/>
        <v>['Ctrl','J',]</v>
      </c>
      <c r="G8" t="str">
        <f t="shared" si="1"/>
        <v>{"value":"Share privately","icon":"fas fa-share-alt-square","function":"alert()","text":"Share Uyamak system with your friends and teachers","shortcut":['Ctrl','J',]},</v>
      </c>
      <c r="I8" t="s">
        <v>253</v>
      </c>
      <c r="J8">
        <v>1</v>
      </c>
      <c r="L8" t="s">
        <v>251</v>
      </c>
      <c r="M8">
        <v>74</v>
      </c>
      <c r="N8" t="str">
        <f t="shared" si="2"/>
        <v>mainSystem.keyHandler.bindControlKey(74, function (evt){alert()});</v>
      </c>
    </row>
    <row r="9" spans="1:15" x14ac:dyDescent="0.3">
      <c r="B9" t="s">
        <v>139</v>
      </c>
      <c r="C9" t="s">
        <v>155</v>
      </c>
      <c r="D9" t="s">
        <v>272</v>
      </c>
      <c r="E9" t="s">
        <v>194</v>
      </c>
      <c r="F9" t="str">
        <f t="shared" si="0"/>
        <v>['Ctrl','Shift','J',]</v>
      </c>
      <c r="G9" t="str">
        <f t="shared" si="1"/>
        <v>{"value":"Make public","icon":"fas fa-share-alt","function":"alert()","text":"Publish your Uyamak system to the public","shortcut":['Ctrl','Shift','J',]},</v>
      </c>
      <c r="I9" t="s">
        <v>253</v>
      </c>
      <c r="J9">
        <v>1</v>
      </c>
      <c r="K9">
        <v>1</v>
      </c>
      <c r="L9" t="s">
        <v>251</v>
      </c>
      <c r="M9">
        <v>74</v>
      </c>
      <c r="N9" t="str">
        <f t="shared" si="2"/>
        <v>mainSystem.keyHandler.bindControlShiftKey(74, function (evt){alert()});</v>
      </c>
    </row>
    <row r="10" spans="1:15" x14ac:dyDescent="0.3">
      <c r="B10" t="s">
        <v>118</v>
      </c>
      <c r="C10" t="s">
        <v>132</v>
      </c>
      <c r="D10" t="s">
        <v>272</v>
      </c>
      <c r="E10" t="s">
        <v>133</v>
      </c>
      <c r="F10" t="str">
        <f t="shared" si="0"/>
        <v>[]</v>
      </c>
      <c r="G10" t="str">
        <f t="shared" si="1"/>
        <v>{"value":"hl","icon":"fas fa-arrow-left","function":"alert()","text":"Good to go when eveything is fine and also I want to say something more 1","shortcut":[]},</v>
      </c>
      <c r="I10" t="s">
        <v>253</v>
      </c>
      <c r="N10" t="str">
        <f t="shared" si="2"/>
        <v/>
      </c>
    </row>
    <row r="11" spans="1:15" x14ac:dyDescent="0.3">
      <c r="B11" t="s">
        <v>120</v>
      </c>
      <c r="C11" t="s">
        <v>156</v>
      </c>
      <c r="D11" t="s">
        <v>272</v>
      </c>
      <c r="E11" t="s">
        <v>195</v>
      </c>
      <c r="F11" t="str">
        <f t="shared" si="0"/>
        <v>['Ctrl','P',]</v>
      </c>
      <c r="G11" t="str">
        <f t="shared" si="1"/>
        <v>{"value":"Print","icon":"fas fa-print","function":"alert()","text":"Print the Uyamak system","shortcut":['Ctrl','P',]}]},</v>
      </c>
      <c r="I11" t="s">
        <v>253</v>
      </c>
      <c r="J11">
        <v>1</v>
      </c>
      <c r="L11" t="s">
        <v>248</v>
      </c>
      <c r="M11">
        <v>80</v>
      </c>
      <c r="N11" t="str">
        <f t="shared" si="2"/>
        <v>mainSystem.keyHandler.bindControlKey(80, function (evt){alert()});</v>
      </c>
    </row>
    <row r="12" spans="1:15" x14ac:dyDescent="0.3">
      <c r="A12" t="s">
        <v>136</v>
      </c>
      <c r="C12" t="s">
        <v>15</v>
      </c>
      <c r="D12">
        <v>400</v>
      </c>
      <c r="E12" t="s">
        <v>196</v>
      </c>
      <c r="F12" t="str">
        <f t="shared" si="0"/>
        <v>[]</v>
      </c>
      <c r="G12" t="str">
        <f t="shared" si="1"/>
        <v>{"value":"System","icon":"fas fa-project-diagram","width":"400","text":"Menu gives options to manage your Uyamak system","shortcut":[],"items":[</v>
      </c>
      <c r="I12" t="s">
        <v>253</v>
      </c>
      <c r="N12" t="str">
        <f t="shared" si="2"/>
        <v/>
      </c>
    </row>
    <row r="13" spans="1:15" x14ac:dyDescent="0.3">
      <c r="B13" t="s">
        <v>234</v>
      </c>
      <c r="C13" t="s">
        <v>157</v>
      </c>
      <c r="D13" t="s">
        <v>272</v>
      </c>
      <c r="E13" t="s">
        <v>235</v>
      </c>
      <c r="F13" t="str">
        <f t="shared" si="0"/>
        <v>['Ctrl','U',]</v>
      </c>
      <c r="G13" t="str">
        <f t="shared" si="1"/>
        <v>{"value":"Show Uyamak library","icon":"fas fa-puzzle-piece","function":"alert()","text":"Displays the Uyamak library drawer where you can find all the Uyamak models","shortcut":['Ctrl','U',]},</v>
      </c>
      <c r="I13" t="s">
        <v>253</v>
      </c>
      <c r="J13">
        <v>1</v>
      </c>
      <c r="L13" t="s">
        <v>249</v>
      </c>
      <c r="M13">
        <v>85</v>
      </c>
      <c r="N13" t="str">
        <f t="shared" si="2"/>
        <v>mainSystem.keyHandler.bindControlKey(85, function (evt){alert()});</v>
      </c>
    </row>
    <row r="14" spans="1:15" x14ac:dyDescent="0.3">
      <c r="B14" t="s">
        <v>201</v>
      </c>
      <c r="C14" t="s">
        <v>158</v>
      </c>
      <c r="D14" t="s">
        <v>272</v>
      </c>
      <c r="E14" t="s">
        <v>203</v>
      </c>
      <c r="F14" t="str">
        <f t="shared" si="0"/>
        <v>['Ctrl','E',]</v>
      </c>
      <c r="G14" t="str">
        <f t="shared" si="1"/>
        <v>{"value":"Show Model Editor","icon":"fas fa-edit","function":"alert()","text":"Displays the Uyamak model editor where you can tweak the model settings","shortcut":['Ctrl','E',]},</v>
      </c>
      <c r="I14" t="s">
        <v>253</v>
      </c>
      <c r="J14">
        <v>1</v>
      </c>
      <c r="L14" t="s">
        <v>254</v>
      </c>
      <c r="M14">
        <v>69</v>
      </c>
      <c r="N14" t="str">
        <f t="shared" si="2"/>
        <v>mainSystem.keyHandler.bindControlKey(69, function (evt){alert()});</v>
      </c>
    </row>
    <row r="15" spans="1:15" x14ac:dyDescent="0.3">
      <c r="B15" t="s">
        <v>202</v>
      </c>
      <c r="C15" t="s">
        <v>19</v>
      </c>
      <c r="D15" t="s">
        <v>272</v>
      </c>
      <c r="E15" t="s">
        <v>204</v>
      </c>
      <c r="F15" t="str">
        <f t="shared" si="0"/>
        <v>['Ctrl','Shift','S',]</v>
      </c>
      <c r="G15" t="str">
        <f>IF(ISBLANK(A15),"{"&amp;CHAR(34)&amp;"value"&amp;CHAR(34)&amp;":"&amp;CHAR(34)&amp;B15&amp;CHAR(34)&amp;","&amp;CHAR(34)&amp;"icon"&amp;CHAR(34)&amp;":"&amp;CHAR(34)&amp;C15&amp;CHAR(34)&amp;","&amp;CHAR(34)&amp;"function"&amp;CHAR(34)&amp;":"&amp;CHAR(34)&amp;D15&amp;CHAR(34)&amp;","&amp;CHAR(34)&amp;"text"&amp;CHAR(34)&amp;":"&amp;CHAR(34)&amp;E15&amp;CHAR(34)&amp;","&amp;CHAR(34)&amp;"shortcut"&amp;CHAR(34)&amp;":"&amp;F15&amp;"}"&amp;IF(ISBLANK(A17),",","]},"),"{"&amp;CHAR(34)&amp;"value"&amp;CHAR(34)&amp;":"&amp;CHAR(34)&amp;A15&amp;CHAR(34)&amp;","&amp;CHAR(34)&amp;"icon"&amp;CHAR(34)&amp;":"&amp;CHAR(34)&amp;C15&amp;CHAR(34)&amp;","&amp;CHAR(34)&amp;"width"&amp;CHAR(34)&amp;":"&amp;CHAR(34)&amp;D15&amp;CHAR(34)&amp;","&amp;CHAR(34)&amp;"text"&amp;CHAR(34)&amp;":"&amp;CHAR(34)&amp;E15&amp;CHAR(34)&amp;","&amp;CHAR(34)&amp;"shortcut"&amp;CHAR(34)&amp;":"&amp;F15&amp;","&amp;CHAR(34)&amp;"items"&amp;CHAR(34)&amp;":[")</f>
        <v>{"value":"Show Simulation drawer","icon":"fas fa-play","function":"alert()","text":"Displays the simulation drawer where you can execute the Uyamak system","shortcut":['Ctrl','Shift','S',]},</v>
      </c>
      <c r="I15" t="s">
        <v>253</v>
      </c>
      <c r="J15">
        <v>1</v>
      </c>
      <c r="K15">
        <v>1</v>
      </c>
      <c r="L15" t="s">
        <v>243</v>
      </c>
      <c r="M15">
        <v>83</v>
      </c>
      <c r="N15" t="str">
        <f t="shared" si="2"/>
        <v>mainSystem.keyHandler.bindControlShiftKey(83, function (evt){alert()});</v>
      </c>
    </row>
    <row r="16" spans="1:15" x14ac:dyDescent="0.3">
      <c r="B16" t="s">
        <v>283</v>
      </c>
      <c r="C16" t="s">
        <v>285</v>
      </c>
      <c r="D16" t="s">
        <v>286</v>
      </c>
      <c r="E16" t="s">
        <v>284</v>
      </c>
      <c r="F16" t="str">
        <f t="shared" si="0"/>
        <v>['Ctrl','Shift','V',]</v>
      </c>
      <c r="G16" t="str">
        <f>IF(ISBLANK(A16),"{"&amp;CHAR(34)&amp;"value"&amp;CHAR(34)&amp;":"&amp;CHAR(34)&amp;B16&amp;CHAR(34)&amp;","&amp;CHAR(34)&amp;"icon"&amp;CHAR(34)&amp;":"&amp;CHAR(34)&amp;C16&amp;CHAR(34)&amp;","&amp;CHAR(34)&amp;"function"&amp;CHAR(34)&amp;":"&amp;CHAR(34)&amp;D16&amp;CHAR(34)&amp;","&amp;CHAR(34)&amp;"text"&amp;CHAR(34)&amp;":"&amp;CHAR(34)&amp;E16&amp;CHAR(34)&amp;","&amp;CHAR(34)&amp;"shortcut"&amp;CHAR(34)&amp;":"&amp;F16&amp;"}"&amp;IF(ISBLANK(A18),",","]},"),"{"&amp;CHAR(34)&amp;"value"&amp;CHAR(34)&amp;":"&amp;CHAR(34)&amp;A16&amp;CHAR(34)&amp;","&amp;CHAR(34)&amp;"icon"&amp;CHAR(34)&amp;":"&amp;CHAR(34)&amp;C16&amp;CHAR(34)&amp;","&amp;CHAR(34)&amp;"width"&amp;CHAR(34)&amp;":"&amp;CHAR(34)&amp;D16&amp;CHAR(34)&amp;","&amp;CHAR(34)&amp;"text"&amp;CHAR(34)&amp;":"&amp;CHAR(34)&amp;E16&amp;CHAR(34)&amp;","&amp;CHAR(34)&amp;"shortcut"&amp;CHAR(34)&amp;":"&amp;F16&amp;","&amp;CHAR(34)&amp;"items"&amp;CHAR(34)&amp;":[")</f>
        <v>{"value":"Show Variable manager","icon":"fas fa-equals","function":"ShowModelItem('variablesManager')","text":"Displays the Variable manager where you can add, edit or delete the Uyamak variables.","shortcut":['Ctrl','Shift','V',]},</v>
      </c>
      <c r="I16" t="s">
        <v>253</v>
      </c>
      <c r="J16">
        <v>1</v>
      </c>
      <c r="K16">
        <v>1</v>
      </c>
      <c r="L16" t="s">
        <v>257</v>
      </c>
      <c r="M16">
        <v>86</v>
      </c>
      <c r="N16" t="str">
        <f t="shared" si="2"/>
        <v>mainSystem.keyHandler.bindControlShiftKey(86, function (evt){ShowModelItem('variablesManager')});</v>
      </c>
    </row>
    <row r="17" spans="1:14" x14ac:dyDescent="0.3">
      <c r="B17" t="s">
        <v>118</v>
      </c>
      <c r="C17" t="s">
        <v>132</v>
      </c>
      <c r="D17" t="s">
        <v>272</v>
      </c>
      <c r="E17" t="s">
        <v>133</v>
      </c>
      <c r="F17" t="str">
        <f t="shared" si="0"/>
        <v>[]</v>
      </c>
      <c r="G17" t="str">
        <f t="shared" si="1"/>
        <v>{"value":"hl","icon":"fas fa-arrow-left","function":"alert()","text":"Good to go when eveything is fine and also I want to say something more 1","shortcut":[]},</v>
      </c>
      <c r="I17" t="s">
        <v>253</v>
      </c>
      <c r="N17" t="str">
        <f t="shared" si="2"/>
        <v/>
      </c>
    </row>
    <row r="18" spans="1:14" x14ac:dyDescent="0.3">
      <c r="B18" t="s">
        <v>236</v>
      </c>
      <c r="C18" t="s">
        <v>159</v>
      </c>
      <c r="D18" t="s">
        <v>317</v>
      </c>
      <c r="E18" t="s">
        <v>205</v>
      </c>
      <c r="F18" t="str">
        <f t="shared" si="0"/>
        <v>['Ctrl','K',]</v>
      </c>
      <c r="G18" t="str">
        <f t="shared" si="1"/>
        <v>{"value":"Create sub-system","icon":"far fa-object-group","function":"if (mainSystem.graph.isEnabled()) createSubModel();","text":"Creates Uyamak sub-system out of the selected Uyamak models","shortcut":['Ctrl','K',]},</v>
      </c>
      <c r="I18" t="s">
        <v>253</v>
      </c>
      <c r="J18">
        <v>1</v>
      </c>
      <c r="L18" t="s">
        <v>255</v>
      </c>
      <c r="M18">
        <v>75</v>
      </c>
      <c r="N18" t="str">
        <f t="shared" si="2"/>
        <v>mainSystem.keyHandler.bindControlKey(75, function (evt){if (mainSystem.graph.isEnabled()) createSubModel();});</v>
      </c>
    </row>
    <row r="19" spans="1:14" x14ac:dyDescent="0.3">
      <c r="B19" t="s">
        <v>237</v>
      </c>
      <c r="C19" t="s">
        <v>160</v>
      </c>
      <c r="D19" t="s">
        <v>318</v>
      </c>
      <c r="E19" t="s">
        <v>206</v>
      </c>
      <c r="F19" t="str">
        <f t="shared" si="0"/>
        <v>['Ctrl','Shift','K',]</v>
      </c>
      <c r="G19" t="str">
        <f t="shared" si="1"/>
        <v>{"value":"Dismantle sub-system","icon":"far fa-object-ungroup","function":"if (mainSystem.graph.isEnabled()) ungroupSubModel();","text":"Dismantles all the selected Uyamak sub-systems.","shortcut":['Ctrl','Shift','K',]}]},</v>
      </c>
      <c r="I19" t="s">
        <v>253</v>
      </c>
      <c r="J19">
        <v>1</v>
      </c>
      <c r="K19">
        <v>1</v>
      </c>
      <c r="L19" t="s">
        <v>255</v>
      </c>
      <c r="M19">
        <v>75</v>
      </c>
      <c r="N19" t="str">
        <f t="shared" si="2"/>
        <v>mainSystem.keyHandler.bindControlShiftKey(75, function (evt){if (mainSystem.graph.isEnabled()) ungroupSubModel();});</v>
      </c>
    </row>
    <row r="20" spans="1:14" x14ac:dyDescent="0.3">
      <c r="A20" t="s">
        <v>123</v>
      </c>
      <c r="C20" t="s">
        <v>188</v>
      </c>
      <c r="D20">
        <v>300</v>
      </c>
      <c r="E20" t="s">
        <v>214</v>
      </c>
      <c r="F20" t="str">
        <f t="shared" si="0"/>
        <v>[]</v>
      </c>
      <c r="G20" t="str">
        <f>IF(ISBLANK(A20),"{"&amp;CHAR(34)&amp;"value"&amp;CHAR(34)&amp;":"&amp;CHAR(34)&amp;B20&amp;CHAR(34)&amp;","&amp;CHAR(34)&amp;"icon"&amp;CHAR(34)&amp;":"&amp;CHAR(34)&amp;C20&amp;CHAR(34)&amp;","&amp;CHAR(34)&amp;"function"&amp;CHAR(34)&amp;":"&amp;CHAR(34)&amp;D20&amp;CHAR(34)&amp;","&amp;CHAR(34)&amp;"text"&amp;CHAR(34)&amp;":"&amp;CHAR(34)&amp;E20&amp;CHAR(34)&amp;","&amp;CHAR(34)&amp;"shortcut"&amp;CHAR(34)&amp;":"&amp;F20&amp;"}"&amp;IF(ISBLANK(A24),",","]},"),"{"&amp;CHAR(34)&amp;"value"&amp;CHAR(34)&amp;":"&amp;CHAR(34)&amp;A20&amp;CHAR(34)&amp;","&amp;CHAR(34)&amp;"icon"&amp;CHAR(34)&amp;":"&amp;CHAR(34)&amp;C20&amp;CHAR(34)&amp;","&amp;CHAR(34)&amp;"width"&amp;CHAR(34)&amp;":"&amp;CHAR(34)&amp;D20&amp;CHAR(34)&amp;","&amp;CHAR(34)&amp;"text"&amp;CHAR(34)&amp;":"&amp;CHAR(34)&amp;E20&amp;CHAR(34)&amp;","&amp;CHAR(34)&amp;"shortcut"&amp;CHAR(34)&amp;":"&amp;F20&amp;","&amp;CHAR(34)&amp;"items"&amp;CHAR(34)&amp;":[")</f>
        <v>{"value":"Edit","icon":"fas fa-pen","width":"300","text":"Menu gives options to manipulate the Uyamak system","shortcut":[],"items":[</v>
      </c>
      <c r="I20" t="s">
        <v>253</v>
      </c>
      <c r="N20" t="str">
        <f t="shared" si="2"/>
        <v/>
      </c>
    </row>
    <row r="21" spans="1:14" x14ac:dyDescent="0.3">
      <c r="B21" t="s">
        <v>268</v>
      </c>
      <c r="C21" t="s">
        <v>271</v>
      </c>
      <c r="D21" t="s">
        <v>272</v>
      </c>
      <c r="F21" t="str">
        <f t="shared" si="0"/>
        <v>['Ctrl','A',]</v>
      </c>
      <c r="G21" t="str">
        <f t="shared" ref="G21:G24" si="3">IF(ISBLANK(A21),"{"&amp;CHAR(34)&amp;"value"&amp;CHAR(34)&amp;":"&amp;CHAR(34)&amp;B21&amp;CHAR(34)&amp;","&amp;CHAR(34)&amp;"icon"&amp;CHAR(34)&amp;":"&amp;CHAR(34)&amp;C21&amp;CHAR(34)&amp;","&amp;CHAR(34)&amp;"function"&amp;CHAR(34)&amp;":"&amp;CHAR(34)&amp;D21&amp;CHAR(34)&amp;","&amp;CHAR(34)&amp;"text"&amp;CHAR(34)&amp;":"&amp;CHAR(34)&amp;E21&amp;CHAR(34)&amp;","&amp;CHAR(34)&amp;"shortcut"&amp;CHAR(34)&amp;":"&amp;F21&amp;"}"&amp;IF(ISBLANK(A25),",","]},"),"{"&amp;CHAR(34)&amp;"value"&amp;CHAR(34)&amp;":"&amp;CHAR(34)&amp;A21&amp;CHAR(34)&amp;","&amp;CHAR(34)&amp;"icon"&amp;CHAR(34)&amp;":"&amp;CHAR(34)&amp;C21&amp;CHAR(34)&amp;","&amp;CHAR(34)&amp;"width"&amp;CHAR(34)&amp;":"&amp;CHAR(34)&amp;D21&amp;CHAR(34)&amp;","&amp;CHAR(34)&amp;"text"&amp;CHAR(34)&amp;":"&amp;CHAR(34)&amp;E21&amp;CHAR(34)&amp;","&amp;CHAR(34)&amp;"shortcut"&amp;CHAR(34)&amp;":"&amp;F21&amp;","&amp;CHAR(34)&amp;"items"&amp;CHAR(34)&amp;":[")</f>
        <v>{"value":"Select all","icon":"far fa-check-square","function":"alert()","text":"","shortcut":['Ctrl','A',]},</v>
      </c>
      <c r="I21" t="s">
        <v>253</v>
      </c>
      <c r="J21">
        <v>1</v>
      </c>
      <c r="L21" t="s">
        <v>264</v>
      </c>
      <c r="M21">
        <v>65</v>
      </c>
      <c r="N21" t="str">
        <f t="shared" si="2"/>
        <v>mainSystem.keyHandler.bindControlKey(65, function (evt){alert()});</v>
      </c>
    </row>
    <row r="22" spans="1:14" x14ac:dyDescent="0.3">
      <c r="B22" t="s">
        <v>269</v>
      </c>
      <c r="C22" t="s">
        <v>270</v>
      </c>
      <c r="D22" t="s">
        <v>272</v>
      </c>
      <c r="F22" t="str">
        <f t="shared" si="0"/>
        <v>['Ctrl','Shift','A',]</v>
      </c>
      <c r="G22" t="str">
        <f t="shared" si="3"/>
        <v>{"value":"Select none","icon":"far fa-square","function":"alert()","text":"","shortcut":['Ctrl','Shift','A',]},</v>
      </c>
      <c r="I22" t="s">
        <v>253</v>
      </c>
      <c r="J22">
        <v>1</v>
      </c>
      <c r="K22">
        <v>1</v>
      </c>
      <c r="L22" t="s">
        <v>264</v>
      </c>
      <c r="M22">
        <v>65</v>
      </c>
      <c r="N22" t="str">
        <f t="shared" si="2"/>
        <v>mainSystem.keyHandler.bindControlShiftKey(65, function (evt){alert()});</v>
      </c>
    </row>
    <row r="23" spans="1:14" x14ac:dyDescent="0.3">
      <c r="B23" t="s">
        <v>118</v>
      </c>
      <c r="C23" t="s">
        <v>132</v>
      </c>
      <c r="D23" t="s">
        <v>272</v>
      </c>
      <c r="F23" t="str">
        <f t="shared" si="0"/>
        <v>[]</v>
      </c>
      <c r="G23" t="str">
        <f t="shared" si="3"/>
        <v>{"value":"hl","icon":"fas fa-arrow-left","function":"alert()","text":"","shortcut":[]},</v>
      </c>
      <c r="I23" t="s">
        <v>253</v>
      </c>
      <c r="N23" t="str">
        <f t="shared" si="2"/>
        <v/>
      </c>
    </row>
    <row r="24" spans="1:14" x14ac:dyDescent="0.3">
      <c r="B24" t="s">
        <v>124</v>
      </c>
      <c r="C24" t="s">
        <v>161</v>
      </c>
      <c r="D24" t="s">
        <v>272</v>
      </c>
      <c r="E24" t="s">
        <v>208</v>
      </c>
      <c r="F24" t="str">
        <f t="shared" si="0"/>
        <v>['Ctrl','X',]</v>
      </c>
      <c r="G24" t="str">
        <f t="shared" si="3"/>
        <v>{"value":"Cut","icon":"fas fa-cut","function":"alert()","text":"Copies the selected Uyamak models into the clipboard and deletes the original ones","shortcut":['Ctrl','X',]},</v>
      </c>
      <c r="I24" t="s">
        <v>253</v>
      </c>
      <c r="J24">
        <v>1</v>
      </c>
      <c r="L24" t="s">
        <v>256</v>
      </c>
      <c r="M24">
        <v>88</v>
      </c>
      <c r="N24" t="str">
        <f t="shared" si="2"/>
        <v>mainSystem.keyHandler.bindControlKey(88, function (evt){alert()});</v>
      </c>
    </row>
    <row r="25" spans="1:14" x14ac:dyDescent="0.3">
      <c r="B25" t="s">
        <v>125</v>
      </c>
      <c r="C25" t="s">
        <v>162</v>
      </c>
      <c r="D25" t="s">
        <v>272</v>
      </c>
      <c r="E25" t="s">
        <v>207</v>
      </c>
      <c r="F25" t="str">
        <f t="shared" si="0"/>
        <v>['Ctrl','C',]</v>
      </c>
      <c r="G25" t="str">
        <f t="shared" si="1"/>
        <v>{"value":"Copy","icon":"fas fa-copy","function":"alert()","text":"Copies the selected Uyamak models into the clipboard","shortcut":['Ctrl','C',]},</v>
      </c>
      <c r="I25" t="s">
        <v>253</v>
      </c>
      <c r="J25">
        <v>1</v>
      </c>
      <c r="L25" t="s">
        <v>244</v>
      </c>
      <c r="M25">
        <v>67</v>
      </c>
      <c r="N25" t="str">
        <f t="shared" si="2"/>
        <v>mainSystem.keyHandler.bindControlKey(67, function (evt){alert()});</v>
      </c>
    </row>
    <row r="26" spans="1:14" x14ac:dyDescent="0.3">
      <c r="B26" t="s">
        <v>126</v>
      </c>
      <c r="C26" t="s">
        <v>163</v>
      </c>
      <c r="D26" t="s">
        <v>272</v>
      </c>
      <c r="E26" t="s">
        <v>209</v>
      </c>
      <c r="F26" t="str">
        <f t="shared" si="0"/>
        <v>['Ctrl','V',]</v>
      </c>
      <c r="G26" t="str">
        <f t="shared" si="1"/>
        <v>{"value":"Paste","icon":"fas fa-paste","function":"alert()","text":"Pastes the clipboard Uyamak models to the present Uyamak system","shortcut":['Ctrl','V',]},</v>
      </c>
      <c r="I26" t="s">
        <v>253</v>
      </c>
      <c r="J26">
        <v>1</v>
      </c>
      <c r="L26" t="s">
        <v>257</v>
      </c>
      <c r="M26">
        <v>86</v>
      </c>
      <c r="N26" t="str">
        <f t="shared" si="2"/>
        <v>mainSystem.keyHandler.bindControlKey(86, function (evt){alert()});</v>
      </c>
    </row>
    <row r="27" spans="1:14" x14ac:dyDescent="0.3">
      <c r="B27" t="s">
        <v>164</v>
      </c>
      <c r="C27" t="s">
        <v>165</v>
      </c>
      <c r="D27" t="s">
        <v>272</v>
      </c>
      <c r="E27" t="s">
        <v>210</v>
      </c>
      <c r="F27" t="str">
        <f t="shared" si="0"/>
        <v>['Ctrl','Shift','C',]</v>
      </c>
      <c r="G27" t="str">
        <f t="shared" si="1"/>
        <v>{"value":"Clone","icon":"fas fa-clone","function":"alert()","text":"Clones the selected Uyamak models","shortcut":['Ctrl','Shift','C',]},</v>
      </c>
      <c r="I27" t="s">
        <v>253</v>
      </c>
      <c r="J27">
        <v>1</v>
      </c>
      <c r="K27">
        <v>1</v>
      </c>
      <c r="L27" t="s">
        <v>244</v>
      </c>
      <c r="M27">
        <v>67</v>
      </c>
      <c r="N27" t="str">
        <f t="shared" si="2"/>
        <v>mainSystem.keyHandler.bindControlShiftKey(67, function (evt){alert()});</v>
      </c>
    </row>
    <row r="28" spans="1:14" x14ac:dyDescent="0.3">
      <c r="B28" t="s">
        <v>33</v>
      </c>
      <c r="C28" t="s">
        <v>166</v>
      </c>
      <c r="D28" t="s">
        <v>316</v>
      </c>
      <c r="E28" t="s">
        <v>211</v>
      </c>
      <c r="F28" t="str">
        <f t="shared" si="0"/>
        <v>['Delete',]</v>
      </c>
      <c r="G28" t="str">
        <f t="shared" si="1"/>
        <v>{"value":"Delete","icon":"fas fa-trash-alt","function":"if (mainSystem.graph.isEnabled()) mainSystem.graph.removeCells();","text":"Delete the selected Uyamak models and Sub-systems","shortcut":['Delete',]},</v>
      </c>
      <c r="I28" t="s">
        <v>253</v>
      </c>
      <c r="L28" t="s">
        <v>33</v>
      </c>
      <c r="M28">
        <v>46</v>
      </c>
      <c r="N28" t="str">
        <f t="shared" si="2"/>
        <v>mainSystem.keyHandler.bindKey(46, function (evt){if (mainSystem.graph.isEnabled()) mainSystem.graph.removeCells();});</v>
      </c>
    </row>
    <row r="29" spans="1:14" x14ac:dyDescent="0.3">
      <c r="B29" t="s">
        <v>118</v>
      </c>
      <c r="C29" t="s">
        <v>132</v>
      </c>
      <c r="D29" t="s">
        <v>272</v>
      </c>
      <c r="E29" t="s">
        <v>133</v>
      </c>
      <c r="F29" t="str">
        <f t="shared" si="0"/>
        <v>[]</v>
      </c>
      <c r="G29" t="str">
        <f t="shared" si="1"/>
        <v>{"value":"hl","icon":"fas fa-arrow-left","function":"alert()","text":"Good to go when eveything is fine and also I want to say something more 1","shortcut":[]},</v>
      </c>
      <c r="I29" t="s">
        <v>253</v>
      </c>
      <c r="N29" t="str">
        <f t="shared" si="2"/>
        <v/>
      </c>
    </row>
    <row r="30" spans="1:14" x14ac:dyDescent="0.3">
      <c r="B30" t="s">
        <v>143</v>
      </c>
      <c r="C30" t="s">
        <v>167</v>
      </c>
      <c r="D30" t="s">
        <v>327</v>
      </c>
      <c r="E30" t="s">
        <v>212</v>
      </c>
      <c r="F30" t="str">
        <f t="shared" si="0"/>
        <v>['Ctrl','Z',]</v>
      </c>
      <c r="G30" t="str">
        <f t="shared" si="1"/>
        <v>{"value":"Undo","icon":"fas fa-undo","function":"mainSystem.undoManager.undo();","text":"Undo the recent changes","shortcut":['Ctrl','Z',]},</v>
      </c>
      <c r="I30" t="s">
        <v>253</v>
      </c>
      <c r="J30">
        <v>1</v>
      </c>
      <c r="L30" t="s">
        <v>258</v>
      </c>
      <c r="M30">
        <v>90</v>
      </c>
      <c r="N30" t="str">
        <f t="shared" si="2"/>
        <v>mainSystem.keyHandler.bindControlKey(90, function (evt){mainSystem.undoManager.undo();});</v>
      </c>
    </row>
    <row r="31" spans="1:14" x14ac:dyDescent="0.3">
      <c r="B31" t="s">
        <v>144</v>
      </c>
      <c r="C31" t="s">
        <v>168</v>
      </c>
      <c r="D31" t="s">
        <v>328</v>
      </c>
      <c r="E31" t="s">
        <v>213</v>
      </c>
      <c r="F31" t="str">
        <f t="shared" si="0"/>
        <v>['Ctrl','Shift','Z',]</v>
      </c>
      <c r="G31" t="str">
        <f t="shared" si="1"/>
        <v>{"value":"Redo","icon":"fas fa-redo","function":"mainSystem.undoManager.redo();","text":"Redo the recent changes","shortcut":['Ctrl','Shift','Z',]}]},</v>
      </c>
      <c r="I31" t="s">
        <v>253</v>
      </c>
      <c r="J31">
        <v>1</v>
      </c>
      <c r="K31">
        <v>1</v>
      </c>
      <c r="L31" t="s">
        <v>258</v>
      </c>
      <c r="M31">
        <v>90</v>
      </c>
      <c r="N31" t="str">
        <f t="shared" si="2"/>
        <v>mainSystem.keyHandler.bindControlShiftKey(90, function (evt){mainSystem.undoManager.redo();});</v>
      </c>
    </row>
    <row r="32" spans="1:14" x14ac:dyDescent="0.3">
      <c r="A32" t="s">
        <v>127</v>
      </c>
      <c r="C32" t="s">
        <v>189</v>
      </c>
      <c r="D32">
        <v>390</v>
      </c>
      <c r="E32" t="s">
        <v>215</v>
      </c>
      <c r="F32" t="str">
        <f t="shared" si="0"/>
        <v>[]</v>
      </c>
      <c r="G32" t="str">
        <f t="shared" si="1"/>
        <v>{"value":"View","icon":"fas fa-desktop","width":"390","text":"Menu gives different options to visualize the Uyamak system","shortcut":[],"items":[</v>
      </c>
      <c r="I32" t="s">
        <v>253</v>
      </c>
      <c r="N32" t="str">
        <f t="shared" si="2"/>
        <v/>
      </c>
    </row>
    <row r="33" spans="1:14" x14ac:dyDescent="0.3">
      <c r="B33" t="s">
        <v>129</v>
      </c>
      <c r="C33" t="s">
        <v>169</v>
      </c>
      <c r="D33" t="s">
        <v>319</v>
      </c>
      <c r="E33" t="s">
        <v>216</v>
      </c>
      <c r="F33" t="str">
        <f t="shared" si="0"/>
        <v>['Ctrl','+',]</v>
      </c>
      <c r="G33" t="str">
        <f t="shared" si="1"/>
        <v>{"value":"Zoom in","icon":"fas fa-search-plus","function":"mainSystem.graph.zoomIn();","text":"Zooms in","shortcut":['Ctrl','+',]},</v>
      </c>
      <c r="I33" t="s">
        <v>253</v>
      </c>
      <c r="J33">
        <v>1</v>
      </c>
      <c r="L33" t="s">
        <v>259</v>
      </c>
      <c r="M33">
        <v>107</v>
      </c>
      <c r="N33" t="str">
        <f t="shared" si="2"/>
        <v>mainSystem.keyHandler.bindControlKey(107, function (evt){mainSystem.graph.zoomIn();});</v>
      </c>
    </row>
    <row r="34" spans="1:14" x14ac:dyDescent="0.3">
      <c r="B34" t="s">
        <v>128</v>
      </c>
      <c r="C34" t="s">
        <v>170</v>
      </c>
      <c r="D34" t="s">
        <v>320</v>
      </c>
      <c r="E34" t="s">
        <v>217</v>
      </c>
      <c r="F34" t="str">
        <f t="shared" si="0"/>
        <v>['Ctrl','-',]</v>
      </c>
      <c r="G34" t="str">
        <f t="shared" si="1"/>
        <v>{"value":"Zoom out","icon":"fas fa-search-minus","function":"mainSystem.graph.zoomOut();","text":"Zooms out","shortcut":['Ctrl','-',]},</v>
      </c>
      <c r="I34" t="s">
        <v>253</v>
      </c>
      <c r="J34">
        <v>1</v>
      </c>
      <c r="L34" t="s">
        <v>260</v>
      </c>
      <c r="M34">
        <v>109</v>
      </c>
      <c r="N34" t="str">
        <f t="shared" si="2"/>
        <v>mainSystem.keyHandler.bindControlKey(109, function (evt){mainSystem.graph.zoomOut();});</v>
      </c>
    </row>
    <row r="35" spans="1:14" x14ac:dyDescent="0.3">
      <c r="B35" t="s">
        <v>131</v>
      </c>
      <c r="C35" t="s">
        <v>172</v>
      </c>
      <c r="D35" t="s">
        <v>321</v>
      </c>
      <c r="E35" t="s">
        <v>218</v>
      </c>
      <c r="F35" t="str">
        <f t="shared" si="0"/>
        <v>['Ctrl','0',]</v>
      </c>
      <c r="G35" t="str">
        <f t="shared" si="1"/>
        <v>{"value":"Original size","icon":"fas fa-compress","function":"mainSystem.graph.zoomActual();","text":"Shows the original size. Some items may be out of view. You can see them by scrolling","shortcut":['Ctrl','0',]},</v>
      </c>
      <c r="I35" t="s">
        <v>253</v>
      </c>
      <c r="J35">
        <v>1</v>
      </c>
      <c r="L35">
        <v>0</v>
      </c>
      <c r="M35">
        <v>96</v>
      </c>
      <c r="N35" t="str">
        <f t="shared" si="2"/>
        <v>mainSystem.keyHandler.bindControlKey(96, function (evt){mainSystem.graph.zoomActual();});</v>
      </c>
    </row>
    <row r="36" spans="1:14" x14ac:dyDescent="0.3">
      <c r="B36" t="s">
        <v>130</v>
      </c>
      <c r="C36" t="s">
        <v>171</v>
      </c>
      <c r="D36" t="s">
        <v>322</v>
      </c>
      <c r="E36" t="s">
        <v>219</v>
      </c>
      <c r="F36" t="str">
        <f t="shared" si="0"/>
        <v>['Ctrl','Shift','0',]</v>
      </c>
      <c r="G36" t="str">
        <f t="shared" si="1"/>
        <v>{"value":"Fit all","icon":"fas fa-expand","function":"mainSystem.graph.fit();","text":"Shows the complete Uyamak system","shortcut":['Ctrl','Shift','0',]},</v>
      </c>
      <c r="I36" t="s">
        <v>253</v>
      </c>
      <c r="J36">
        <v>1</v>
      </c>
      <c r="K36">
        <v>1</v>
      </c>
      <c r="L36">
        <v>0</v>
      </c>
      <c r="M36">
        <v>96</v>
      </c>
      <c r="N36" t="str">
        <f t="shared" si="2"/>
        <v>mainSystem.keyHandler.bindControlShiftKey(96, function (evt){mainSystem.graph.fit();});</v>
      </c>
    </row>
    <row r="37" spans="1:14" x14ac:dyDescent="0.3">
      <c r="B37" t="s">
        <v>118</v>
      </c>
      <c r="C37" t="s">
        <v>132</v>
      </c>
      <c r="D37" t="s">
        <v>272</v>
      </c>
      <c r="E37" t="s">
        <v>133</v>
      </c>
      <c r="F37" t="str">
        <f t="shared" si="0"/>
        <v>[]</v>
      </c>
      <c r="G37" t="str">
        <f t="shared" si="1"/>
        <v>{"value":"hl","icon":"fas fa-arrow-left","function":"alert()","text":"Good to go when eveything is fine and also I want to say something more 1","shortcut":[]},</v>
      </c>
      <c r="I37" t="s">
        <v>253</v>
      </c>
      <c r="N37" t="str">
        <f t="shared" si="2"/>
        <v/>
      </c>
    </row>
    <row r="38" spans="1:14" x14ac:dyDescent="0.3">
      <c r="B38" t="s">
        <v>145</v>
      </c>
      <c r="C38" t="s">
        <v>173</v>
      </c>
      <c r="D38" t="s">
        <v>273</v>
      </c>
      <c r="E38" t="s">
        <v>220</v>
      </c>
      <c r="F38" t="str">
        <f t="shared" si="0"/>
        <v>['Ctrl','M',]</v>
      </c>
      <c r="G38" t="str">
        <f t="shared" si="1"/>
        <v>{"value":"Minimize  subsystem(s)","icon":"fas fa-window-minimize","function":"foldItems();","text":"Minimizes the selected subsystem. If nothing is selected, all the sub-systems will be minimized","shortcut":['Ctrl','M',]},</v>
      </c>
      <c r="I38" t="s">
        <v>253</v>
      </c>
      <c r="J38">
        <v>1</v>
      </c>
      <c r="L38" t="s">
        <v>247</v>
      </c>
      <c r="M38">
        <v>77</v>
      </c>
      <c r="N38" t="str">
        <f t="shared" si="2"/>
        <v>mainSystem.keyHandler.bindControlKey(77, function (evt){foldItems();});</v>
      </c>
    </row>
    <row r="39" spans="1:14" x14ac:dyDescent="0.3">
      <c r="B39" t="s">
        <v>146</v>
      </c>
      <c r="C39" t="s">
        <v>174</v>
      </c>
      <c r="D39" t="s">
        <v>274</v>
      </c>
      <c r="E39" t="s">
        <v>221</v>
      </c>
      <c r="F39" t="str">
        <f t="shared" si="0"/>
        <v>['Ctrl','Shift','M',]</v>
      </c>
      <c r="G39" t="str">
        <f>IF(ISBLANK(A39),"{"&amp;CHAR(34)&amp;"value"&amp;CHAR(34)&amp;":"&amp;CHAR(34)&amp;B39&amp;CHAR(34)&amp;","&amp;CHAR(34)&amp;"icon"&amp;CHAR(34)&amp;":"&amp;CHAR(34)&amp;C39&amp;CHAR(34)&amp;","&amp;CHAR(34)&amp;"function"&amp;CHAR(34)&amp;":"&amp;CHAR(34)&amp;D39&amp;CHAR(34)&amp;","&amp;CHAR(34)&amp;"text"&amp;CHAR(34)&amp;":"&amp;CHAR(34)&amp;E39&amp;CHAR(34)&amp;","&amp;CHAR(34)&amp;"shortcut"&amp;CHAR(34)&amp;":"&amp;F39&amp;"}"&amp;IF(ISBLANK(A42),",","]},"),"{"&amp;CHAR(34)&amp;"value"&amp;CHAR(34)&amp;":"&amp;CHAR(34)&amp;A39&amp;CHAR(34)&amp;","&amp;CHAR(34)&amp;"icon"&amp;CHAR(34)&amp;":"&amp;CHAR(34)&amp;C39&amp;CHAR(34)&amp;","&amp;CHAR(34)&amp;"width"&amp;CHAR(34)&amp;":"&amp;CHAR(34)&amp;D39&amp;CHAR(34)&amp;","&amp;CHAR(34)&amp;"text"&amp;CHAR(34)&amp;":"&amp;CHAR(34)&amp;E39&amp;CHAR(34)&amp;","&amp;CHAR(34)&amp;"shortcut"&amp;CHAR(34)&amp;":"&amp;F39&amp;","&amp;CHAR(34)&amp;"items"&amp;CHAR(34)&amp;":[")</f>
        <v>{"value":"Maximize  subsystem(s)","icon":"fas fa-window-maximize","function":"foldItems(false);","text":"Maximizes the selected subsystem. If nothing is selected, all the sub-systems will be maximized","shortcut":['Ctrl','Shift','M',]},</v>
      </c>
      <c r="I39" t="s">
        <v>253</v>
      </c>
      <c r="J39">
        <v>1</v>
      </c>
      <c r="K39">
        <v>1</v>
      </c>
      <c r="L39" t="s">
        <v>247</v>
      </c>
      <c r="M39">
        <v>77</v>
      </c>
      <c r="N39" t="str">
        <f t="shared" si="2"/>
        <v>mainSystem.keyHandler.bindControlShiftKey(77, function (evt){foldItems(false);});</v>
      </c>
    </row>
    <row r="40" spans="1:14" x14ac:dyDescent="0.3">
      <c r="B40" t="s">
        <v>118</v>
      </c>
      <c r="C40" t="s">
        <v>174</v>
      </c>
      <c r="E40" t="s">
        <v>133</v>
      </c>
      <c r="F40" t="str">
        <f t="shared" si="0"/>
        <v>[]</v>
      </c>
      <c r="G40" t="str">
        <f t="shared" ref="G40:G42" si="4">IF(ISBLANK(A40),"{"&amp;CHAR(34)&amp;"value"&amp;CHAR(34)&amp;":"&amp;CHAR(34)&amp;B40&amp;CHAR(34)&amp;","&amp;CHAR(34)&amp;"icon"&amp;CHAR(34)&amp;":"&amp;CHAR(34)&amp;C40&amp;CHAR(34)&amp;","&amp;CHAR(34)&amp;"function"&amp;CHAR(34)&amp;":"&amp;CHAR(34)&amp;D40&amp;CHAR(34)&amp;","&amp;CHAR(34)&amp;"text"&amp;CHAR(34)&amp;":"&amp;CHAR(34)&amp;E40&amp;CHAR(34)&amp;","&amp;CHAR(34)&amp;"shortcut"&amp;CHAR(34)&amp;":"&amp;F40&amp;"}"&amp;IF(ISBLANK(A43),",","]},"),"{"&amp;CHAR(34)&amp;"value"&amp;CHAR(34)&amp;":"&amp;CHAR(34)&amp;A40&amp;CHAR(34)&amp;","&amp;CHAR(34)&amp;"icon"&amp;CHAR(34)&amp;":"&amp;CHAR(34)&amp;C40&amp;CHAR(34)&amp;","&amp;CHAR(34)&amp;"width"&amp;CHAR(34)&amp;":"&amp;CHAR(34)&amp;D40&amp;CHAR(34)&amp;","&amp;CHAR(34)&amp;"text"&amp;CHAR(34)&amp;":"&amp;CHAR(34)&amp;E40&amp;CHAR(34)&amp;","&amp;CHAR(34)&amp;"shortcut"&amp;CHAR(34)&amp;":"&amp;F40&amp;","&amp;CHAR(34)&amp;"items"&amp;CHAR(34)&amp;":[")</f>
        <v>{"value":"hl","icon":"fas fa-window-maximize","function":"","text":"Good to go when eveything is fine and also I want to say something more 1","shortcut":[]},</v>
      </c>
      <c r="I40" t="s">
        <v>253</v>
      </c>
      <c r="N40" t="str">
        <f t="shared" si="2"/>
        <v/>
      </c>
    </row>
    <row r="41" spans="1:14" x14ac:dyDescent="0.3">
      <c r="B41" t="s">
        <v>279</v>
      </c>
      <c r="C41" t="s">
        <v>280</v>
      </c>
      <c r="D41" t="s">
        <v>282</v>
      </c>
      <c r="E41" t="s">
        <v>281</v>
      </c>
      <c r="F41" t="str">
        <f t="shared" si="0"/>
        <v>['Ctrl','R',]</v>
      </c>
      <c r="G41" t="str">
        <f t="shared" si="4"/>
        <v>{"value":"Execution order","icon":"fas fa-sort-numeric-up-alt","function":"displayExecutionOrder()","text":"Shows simulation order and errors","shortcut":['Ctrl','R',]},</v>
      </c>
      <c r="I41" t="s">
        <v>253</v>
      </c>
      <c r="J41">
        <v>1</v>
      </c>
      <c r="L41" t="s">
        <v>250</v>
      </c>
      <c r="M41">
        <v>82</v>
      </c>
      <c r="N41" t="str">
        <f t="shared" si="2"/>
        <v>mainSystem.keyHandler.bindControlKey(82, function (evt){displayExecutionOrder()});</v>
      </c>
    </row>
    <row r="42" spans="1:14" x14ac:dyDescent="0.3">
      <c r="B42" t="s">
        <v>118</v>
      </c>
      <c r="C42" t="s">
        <v>174</v>
      </c>
      <c r="D42" t="s">
        <v>272</v>
      </c>
      <c r="E42" t="s">
        <v>133</v>
      </c>
      <c r="F42" t="str">
        <f t="shared" si="0"/>
        <v>[]</v>
      </c>
      <c r="G42" t="str">
        <f t="shared" si="4"/>
        <v>{"value":"hl","icon":"fas fa-window-maximize","function":"alert()","text":"Good to go when eveything is fine and also I want to say something more 1","shortcut":[]},</v>
      </c>
      <c r="I42" t="s">
        <v>253</v>
      </c>
      <c r="N42" t="str">
        <f t="shared" si="2"/>
        <v/>
      </c>
    </row>
    <row r="43" spans="1:14" x14ac:dyDescent="0.3">
      <c r="B43" t="s">
        <v>222</v>
      </c>
      <c r="C43" t="s">
        <v>177</v>
      </c>
      <c r="D43" t="s">
        <v>272</v>
      </c>
      <c r="E43" t="s">
        <v>223</v>
      </c>
      <c r="F43" t="str">
        <f t="shared" si="0"/>
        <v>['Ctrl','F',]</v>
      </c>
      <c r="G43" t="str">
        <f t="shared" si="1"/>
        <v>{"value":"System outline","icon":"fas fa-image","function":"alert()","text":"Shows outline of the Uyamak system in a small window on the top right corner","shortcut":['Ctrl','F',]},</v>
      </c>
      <c r="I43" t="s">
        <v>253</v>
      </c>
      <c r="J43">
        <v>1</v>
      </c>
      <c r="L43" t="s">
        <v>261</v>
      </c>
      <c r="M43">
        <v>70</v>
      </c>
      <c r="N43" t="str">
        <f t="shared" si="2"/>
        <v>mainSystem.keyHandler.bindControlKey(70, function (evt){alert()});</v>
      </c>
    </row>
    <row r="44" spans="1:14" x14ac:dyDescent="0.3">
      <c r="B44" t="s">
        <v>141</v>
      </c>
      <c r="C44" t="s">
        <v>176</v>
      </c>
      <c r="D44" t="s">
        <v>272</v>
      </c>
      <c r="E44" t="s">
        <v>224</v>
      </c>
      <c r="F44" t="str">
        <f t="shared" si="0"/>
        <v>['Ctrl','G',]</v>
      </c>
      <c r="G44" t="str">
        <f t="shared" si="1"/>
        <v>{"value":"Show/Hide Grid lines","icon":"fas fa-border-all","function":"alert()","text":"Shows or hide the grid lines","shortcut":['Ctrl','G',]},</v>
      </c>
      <c r="I44" t="s">
        <v>253</v>
      </c>
      <c r="J44">
        <v>1</v>
      </c>
      <c r="L44" t="s">
        <v>252</v>
      </c>
      <c r="M44">
        <v>71</v>
      </c>
      <c r="N44" t="str">
        <f t="shared" si="2"/>
        <v>mainSystem.keyHandler.bindControlKey(71, function (evt){alert()});</v>
      </c>
    </row>
    <row r="45" spans="1:14" x14ac:dyDescent="0.3">
      <c r="B45" t="s">
        <v>175</v>
      </c>
      <c r="C45" t="s">
        <v>178</v>
      </c>
      <c r="D45" t="s">
        <v>272</v>
      </c>
      <c r="E45" t="s">
        <v>225</v>
      </c>
      <c r="F45" t="str">
        <f t="shared" si="0"/>
        <v>['Ctrl','T',]</v>
      </c>
      <c r="G45" t="str">
        <f t="shared" si="1"/>
        <v>{"value":"Toggle snap to grid","icon":"fas fa-magnet","function":"alert()","text":"When snap to grid is activated, the blocks are moved at a steps instead of smoothly","shortcut":['Ctrl','T',]},</v>
      </c>
      <c r="I45" t="s">
        <v>253</v>
      </c>
      <c r="J45">
        <v>1</v>
      </c>
      <c r="L45" t="s">
        <v>262</v>
      </c>
      <c r="M45">
        <v>84</v>
      </c>
      <c r="N45" t="str">
        <f t="shared" si="2"/>
        <v>mainSystem.keyHandler.bindControlKey(84, function (evt){alert()});</v>
      </c>
    </row>
    <row r="46" spans="1:14" x14ac:dyDescent="0.3">
      <c r="B46" t="s">
        <v>142</v>
      </c>
      <c r="C46" t="s">
        <v>179</v>
      </c>
      <c r="D46" t="s">
        <v>272</v>
      </c>
      <c r="E46" t="s">
        <v>226</v>
      </c>
      <c r="F46" t="str">
        <f t="shared" si="0"/>
        <v>['Ctrl','Y',]</v>
      </c>
      <c r="G46" t="str">
        <f t="shared" si="1"/>
        <v>{"value":"Keyboard shortcuts","icon":"far fa-keyboard","function":"alert()","text":"Displays all the keyboard shortcuts","shortcut":['Ctrl','Y',]}]},</v>
      </c>
      <c r="I46" t="s">
        <v>253</v>
      </c>
      <c r="J46">
        <v>1</v>
      </c>
      <c r="L46" t="s">
        <v>263</v>
      </c>
      <c r="M46">
        <v>89</v>
      </c>
      <c r="N46" t="str">
        <f t="shared" si="2"/>
        <v>mainSystem.keyHandler.bindControlKey(89, function (evt){alert()});</v>
      </c>
    </row>
    <row r="47" spans="1:14" x14ac:dyDescent="0.3">
      <c r="A47" t="s">
        <v>122</v>
      </c>
      <c r="C47" t="s">
        <v>180</v>
      </c>
      <c r="D47">
        <v>315</v>
      </c>
      <c r="E47" t="s">
        <v>227</v>
      </c>
      <c r="F47" t="str">
        <f t="shared" si="0"/>
        <v>[]</v>
      </c>
      <c r="G47" t="str">
        <f t="shared" si="1"/>
        <v>{"value":"Account","icon":"fas fa-user-alt","width":"315","text":"Menu gives options to manage the user account","shortcut":[],"items":[</v>
      </c>
      <c r="I47" t="s">
        <v>253</v>
      </c>
      <c r="N47" t="str">
        <f t="shared" si="2"/>
        <v/>
      </c>
    </row>
    <row r="48" spans="1:14" x14ac:dyDescent="0.3">
      <c r="B48" t="s">
        <v>150</v>
      </c>
      <c r="C48" t="s">
        <v>190</v>
      </c>
      <c r="D48" t="s">
        <v>272</v>
      </c>
      <c r="E48" t="s">
        <v>228</v>
      </c>
      <c r="F48" t="str">
        <f t="shared" si="0"/>
        <v>[]</v>
      </c>
      <c r="G48" t="str">
        <f t="shared" si="1"/>
        <v>{"value":"Profile","icon":"fas fa-user-cog","function":"alert()","text":"Opens another page where you can manage your Uyamak profile","shortcut":[]},</v>
      </c>
      <c r="I48" t="s">
        <v>253</v>
      </c>
      <c r="N48" t="str">
        <f t="shared" si="2"/>
        <v/>
      </c>
    </row>
    <row r="49" spans="1:14" x14ac:dyDescent="0.3">
      <c r="B49" t="s">
        <v>121</v>
      </c>
      <c r="C49" t="s">
        <v>181</v>
      </c>
      <c r="D49" t="s">
        <v>272</v>
      </c>
      <c r="E49" t="s">
        <v>229</v>
      </c>
      <c r="F49" t="str">
        <f t="shared" si="0"/>
        <v>['Ctrl','B',]</v>
      </c>
      <c r="G49" t="str">
        <f t="shared" si="1"/>
        <v>{"value":"Extend licence period","icon":"fas fa-ticket-alt","function":"alert()","text":"Lets you extend the license period","shortcut":['Ctrl','B',]},</v>
      </c>
      <c r="I49" t="s">
        <v>253</v>
      </c>
      <c r="J49">
        <v>1</v>
      </c>
      <c r="L49" t="s">
        <v>265</v>
      </c>
      <c r="M49">
        <v>66</v>
      </c>
      <c r="N49" t="str">
        <f t="shared" si="2"/>
        <v>mainSystem.keyHandler.bindControlKey(66, function (evt){alert()});</v>
      </c>
    </row>
    <row r="50" spans="1:14" x14ac:dyDescent="0.3">
      <c r="B50" t="s">
        <v>119</v>
      </c>
      <c r="C50" t="s">
        <v>182</v>
      </c>
      <c r="D50" t="s">
        <v>272</v>
      </c>
      <c r="E50" t="s">
        <v>230</v>
      </c>
      <c r="F50" t="str">
        <f t="shared" si="0"/>
        <v>['Ctrl','W',]</v>
      </c>
      <c r="G50" t="str">
        <f t="shared" si="1"/>
        <v>{"value":"Sign out","icon":"fas fa-door-open","function":"alert()","text":"Signing out","shortcut":['Ctrl','W',]}]},</v>
      </c>
      <c r="I50" t="s">
        <v>253</v>
      </c>
      <c r="J50">
        <v>1</v>
      </c>
      <c r="L50" t="s">
        <v>266</v>
      </c>
      <c r="M50">
        <v>87</v>
      </c>
      <c r="N50" t="str">
        <f t="shared" si="2"/>
        <v>mainSystem.keyHandler.bindControlKey(87, function (evt){alert()});</v>
      </c>
    </row>
    <row r="51" spans="1:14" x14ac:dyDescent="0.3">
      <c r="A51" t="s">
        <v>147</v>
      </c>
      <c r="C51" t="s">
        <v>191</v>
      </c>
      <c r="D51">
        <v>275</v>
      </c>
      <c r="E51" t="s">
        <v>231</v>
      </c>
      <c r="F51" t="str">
        <f t="shared" si="0"/>
        <v>[]</v>
      </c>
      <c r="G51" t="str">
        <f t="shared" si="1"/>
        <v>{"value":"Help","icon":"far fa-life-ring","width":"275","text":"Menu gives access to documentation and help","shortcut":[],"items":[</v>
      </c>
      <c r="I51" t="s">
        <v>253</v>
      </c>
      <c r="N51" t="str">
        <f t="shared" si="2"/>
        <v/>
      </c>
    </row>
    <row r="52" spans="1:14" x14ac:dyDescent="0.3">
      <c r="B52" t="s">
        <v>148</v>
      </c>
      <c r="C52" t="s">
        <v>183</v>
      </c>
      <c r="D52" t="s">
        <v>272</v>
      </c>
      <c r="E52" t="s">
        <v>232</v>
      </c>
      <c r="F52" t="str">
        <f t="shared" si="0"/>
        <v>['Ctrl','D',]</v>
      </c>
      <c r="G52" t="str">
        <f t="shared" si="1"/>
        <v>{"value":"Documentation","icon":"fas fa-book","function":"alert()","text":"Takes you to the documentation page","shortcut":['Ctrl','D',]},</v>
      </c>
      <c r="I52" t="s">
        <v>253</v>
      </c>
      <c r="J52">
        <v>1</v>
      </c>
      <c r="L52" t="s">
        <v>245</v>
      </c>
      <c r="M52">
        <v>68</v>
      </c>
      <c r="N52" t="str">
        <f t="shared" si="2"/>
        <v>mainSystem.keyHandler.bindControlKey(68, function (evt){alert()});</v>
      </c>
    </row>
    <row r="53" spans="1:14" x14ac:dyDescent="0.3">
      <c r="B53" t="s">
        <v>184</v>
      </c>
      <c r="C53" t="s">
        <v>186</v>
      </c>
      <c r="D53" t="s">
        <v>272</v>
      </c>
      <c r="E53" t="s">
        <v>233</v>
      </c>
      <c r="F53" t="str">
        <f t="shared" si="0"/>
        <v>['Ctrl','H',]</v>
      </c>
      <c r="G53" t="str">
        <f t="shared" si="1"/>
        <v>{"value":"Context help","icon":"far fa-question-circle","function":"alert()","text":"Shows the documentation for the selected Uyamak model","shortcut":['Ctrl','H',]},</v>
      </c>
      <c r="I53" t="s">
        <v>253</v>
      </c>
      <c r="J53">
        <v>1</v>
      </c>
      <c r="L53" t="s">
        <v>267</v>
      </c>
      <c r="M53">
        <v>72</v>
      </c>
      <c r="N53" t="str">
        <f t="shared" si="2"/>
        <v>mainSystem.keyHandler.bindControlKey(72, function (evt){alert()});</v>
      </c>
    </row>
    <row r="54" spans="1:14" x14ac:dyDescent="0.3">
      <c r="B54" t="s">
        <v>118</v>
      </c>
      <c r="C54" t="s">
        <v>174</v>
      </c>
      <c r="D54" t="s">
        <v>272</v>
      </c>
      <c r="E54" t="s">
        <v>233</v>
      </c>
      <c r="F54" t="str">
        <f t="shared" si="0"/>
        <v>[]</v>
      </c>
      <c r="G54" t="str">
        <f t="shared" si="1"/>
        <v>{"value":"hl","icon":"fas fa-window-maximize","function":"alert()","text":"Shows the documentation for the selected Uyamak model","shortcut":[]},</v>
      </c>
      <c r="I54" t="s">
        <v>253</v>
      </c>
      <c r="N54" t="str">
        <f t="shared" si="2"/>
        <v/>
      </c>
    </row>
    <row r="55" spans="1:14" x14ac:dyDescent="0.3">
      <c r="B55" t="s">
        <v>149</v>
      </c>
      <c r="C55" t="s">
        <v>185</v>
      </c>
      <c r="D55" t="s">
        <v>272</v>
      </c>
      <c r="E55" t="s">
        <v>233</v>
      </c>
      <c r="F55" t="str">
        <f t="shared" si="0"/>
        <v>[]</v>
      </c>
      <c r="G55" t="str">
        <f t="shared" si="1"/>
        <v>{"value":"About","icon":"fas fa-info","function":"alert()","text":"Shows the documentation for the selected Uyamak model","shortcut":[]}]},</v>
      </c>
      <c r="I55" t="s">
        <v>253</v>
      </c>
      <c r="N55" t="str">
        <f t="shared" si="2"/>
        <v/>
      </c>
    </row>
    <row r="56" spans="1:14" x14ac:dyDescent="0.3">
      <c r="A56" t="s">
        <v>135</v>
      </c>
      <c r="I56" t="s">
        <v>253</v>
      </c>
      <c r="N56" t="str">
        <f t="shared" si="2"/>
        <v/>
      </c>
    </row>
    <row r="57" spans="1:14" x14ac:dyDescent="0.3">
      <c r="D57" t="s">
        <v>323</v>
      </c>
      <c r="I57" t="s">
        <v>253</v>
      </c>
      <c r="L57" t="s">
        <v>275</v>
      </c>
      <c r="M57">
        <v>38</v>
      </c>
      <c r="N57" t="str">
        <f t="shared" si="2"/>
        <v>mainSystem.keyHandler.bindKey(38, function (evt){movemainSystem.graph("up");});</v>
      </c>
    </row>
    <row r="58" spans="1:14" x14ac:dyDescent="0.3">
      <c r="D58" t="s">
        <v>324</v>
      </c>
      <c r="I58" t="s">
        <v>253</v>
      </c>
      <c r="L58" t="s">
        <v>276</v>
      </c>
      <c r="M58">
        <v>40</v>
      </c>
      <c r="N58" t="str">
        <f t="shared" si="2"/>
        <v>mainSystem.keyHandler.bindKey(40, function (evt){movemainSystem.graph("down");});</v>
      </c>
    </row>
    <row r="59" spans="1:14" x14ac:dyDescent="0.3">
      <c r="D59" t="s">
        <v>325</v>
      </c>
      <c r="I59" t="s">
        <v>253</v>
      </c>
      <c r="L59" t="s">
        <v>277</v>
      </c>
      <c r="M59">
        <v>39</v>
      </c>
      <c r="N59" t="str">
        <f t="shared" si="2"/>
        <v>mainSystem.keyHandler.bindKey(39, function (evt){movemainSystem.graph("right");});</v>
      </c>
    </row>
    <row r="60" spans="1:14" x14ac:dyDescent="0.3">
      <c r="D60" t="s">
        <v>326</v>
      </c>
      <c r="I60" t="s">
        <v>253</v>
      </c>
      <c r="L60" t="s">
        <v>278</v>
      </c>
      <c r="M60">
        <v>37</v>
      </c>
      <c r="N60" t="str">
        <f t="shared" si="2"/>
        <v>mainSystem.keyHandler.bindKey(37, function (evt){movemainSystem.graph("left");});</v>
      </c>
    </row>
    <row r="61" spans="1:14" x14ac:dyDescent="0.3">
      <c r="D61" t="s">
        <v>321</v>
      </c>
      <c r="J61">
        <v>1</v>
      </c>
      <c r="L61">
        <v>0</v>
      </c>
      <c r="M61">
        <v>48</v>
      </c>
      <c r="N61" t="str">
        <f t="shared" si="2"/>
        <v>mainSystem.keyHandler.bindControlKey(48, function (evt){mainSystem.graph.zoomActual();});</v>
      </c>
    </row>
    <row r="62" spans="1:14" x14ac:dyDescent="0.3">
      <c r="D62" t="s">
        <v>322</v>
      </c>
      <c r="J62">
        <v>1</v>
      </c>
      <c r="K62">
        <v>1</v>
      </c>
      <c r="L62">
        <v>0</v>
      </c>
      <c r="M62">
        <v>48</v>
      </c>
      <c r="N62" t="str">
        <f t="shared" si="2"/>
        <v>mainSystem.keyHandler.bindControlShiftKey(48, function (evt){mainSystem.graph.fit();});</v>
      </c>
    </row>
    <row r="63" spans="1:14" x14ac:dyDescent="0.3">
      <c r="N63" t="str">
        <f t="shared" si="2"/>
        <v/>
      </c>
    </row>
    <row r="64" spans="1:14" x14ac:dyDescent="0.3">
      <c r="N64" t="str">
        <f t="shared" si="2"/>
        <v/>
      </c>
    </row>
  </sheetData>
  <phoneticPr fontId="1" type="noConversion"/>
  <conditionalFormatting sqref="F1:F1048576">
    <cfRule type="duplicateValues" dxfId="10" priority="1"/>
  </conditionalFormatting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50CB0-786D-4D3C-93C0-166783B5CCA7}">
  <sheetPr codeName="Sheet4"/>
  <dimension ref="A1:G8"/>
  <sheetViews>
    <sheetView zoomScale="157" workbookViewId="0">
      <selection activeCell="F10" sqref="F10"/>
    </sheetView>
  </sheetViews>
  <sheetFormatPr defaultRowHeight="14.4" x14ac:dyDescent="0.3"/>
  <cols>
    <col min="3" max="3" width="17.109375" customWidth="1"/>
  </cols>
  <sheetData>
    <row r="1" spans="1:7" x14ac:dyDescent="0.3">
      <c r="A1" t="s">
        <v>288</v>
      </c>
      <c r="B1" t="s">
        <v>97</v>
      </c>
      <c r="C1" t="s">
        <v>289</v>
      </c>
      <c r="D1" t="s">
        <v>22</v>
      </c>
      <c r="E1" t="s">
        <v>36</v>
      </c>
      <c r="G1" t="str">
        <f>_xlfn.CONCAT("var umkBlockCategories=[",F:F,"]")</f>
        <v>var umkBlockCategories=[{"id":"sources","name":"Sources","desc":"Sources generate the signals to feed to the model.","icon":"","order":"0"},{"id":"sinks","name":"Sinks","desc":"Sinks output the information. They can be graphs or file download","icon":"","order":"1"},{"id":"basics","name":"Basic operations","desc":"Basic mathematical operations are given","icon":"","order":"2"},{"id":"logics","name":"Logical operations","desc":"Logical operations are available in this section","icon":"","order":"3"},{"id":"continuous","name":"Continuous time","desc":"Dynamic operations are available here for continuous time operations","icon":"","order":"4"},{"id":"discrete","name":"Discrete time","desc":"Dynamic operations are available here for discrete time operations","icon":"","order":"5"},{"id":"Hardware tools","name":"Hardware i/o blocks are available here","desc":"","icon":"","order":"6"},]</v>
      </c>
    </row>
    <row r="2" spans="1:7" x14ac:dyDescent="0.3">
      <c r="A2" t="s">
        <v>40</v>
      </c>
      <c r="B2" t="s">
        <v>46</v>
      </c>
      <c r="C2" t="s">
        <v>67</v>
      </c>
      <c r="E2">
        <v>0</v>
      </c>
      <c r="F2" t="str">
        <f>_xlfn.CONCAT("{"""&amp;$A$1&amp;""":"""&amp;A2&amp;""","&amp;""""&amp;$B$1&amp;""":"""&amp;B2&amp;""","&amp;""""&amp;$C$1&amp;""":"""&amp;C2&amp;""","&amp;""""&amp;$D$1&amp;""":"""&amp;D2&amp;""","&amp;""""&amp;$E$1&amp;""":"""&amp;E2&amp;"""},")</f>
        <v>{"id":"sources","name":"Sources","desc":"Sources generate the signals to feed to the model.","icon":"","order":"0"},</v>
      </c>
    </row>
    <row r="3" spans="1:7" x14ac:dyDescent="0.3">
      <c r="A3" t="s">
        <v>54</v>
      </c>
      <c r="B3" t="s">
        <v>53</v>
      </c>
      <c r="C3" t="s">
        <v>66</v>
      </c>
      <c r="E3">
        <v>1</v>
      </c>
      <c r="F3" t="str">
        <f t="shared" ref="F3:F8" si="0">_xlfn.CONCAT("{"""&amp;$A$1&amp;""":"""&amp;A3&amp;""","&amp;""""&amp;$B$1&amp;""":"""&amp;B3&amp;""","&amp;""""&amp;$C$1&amp;""":"""&amp;C3&amp;""","&amp;""""&amp;$D$1&amp;""":"""&amp;D3&amp;""","&amp;""""&amp;$E$1&amp;""":"""&amp;E3&amp;"""},")</f>
        <v>{"id":"sinks","name":"Sinks","desc":"Sinks output the information. They can be graphs or file download","icon":"","order":"1"},</v>
      </c>
    </row>
    <row r="4" spans="1:7" x14ac:dyDescent="0.3">
      <c r="A4" t="s">
        <v>41</v>
      </c>
      <c r="B4" t="s">
        <v>47</v>
      </c>
      <c r="C4" t="s">
        <v>68</v>
      </c>
      <c r="E4">
        <v>2</v>
      </c>
      <c r="F4" t="str">
        <f t="shared" si="0"/>
        <v>{"id":"basics","name":"Basic operations","desc":"Basic mathematical operations are given","icon":"","order":"2"},</v>
      </c>
    </row>
    <row r="5" spans="1:7" x14ac:dyDescent="0.3">
      <c r="A5" t="s">
        <v>42</v>
      </c>
      <c r="B5" t="s">
        <v>48</v>
      </c>
      <c r="C5" t="s">
        <v>69</v>
      </c>
      <c r="E5">
        <v>3</v>
      </c>
      <c r="F5" t="str">
        <f t="shared" si="0"/>
        <v>{"id":"logics","name":"Logical operations","desc":"Logical operations are available in this section","icon":"","order":"3"},</v>
      </c>
    </row>
    <row r="6" spans="1:7" x14ac:dyDescent="0.3">
      <c r="A6" t="s">
        <v>43</v>
      </c>
      <c r="B6" t="s">
        <v>49</v>
      </c>
      <c r="C6" t="s">
        <v>70</v>
      </c>
      <c r="E6">
        <v>4</v>
      </c>
      <c r="F6" t="str">
        <f t="shared" si="0"/>
        <v>{"id":"continuous","name":"Continuous time","desc":"Dynamic operations are available here for continuous time operations","icon":"","order":"4"},</v>
      </c>
    </row>
    <row r="7" spans="1:7" x14ac:dyDescent="0.3">
      <c r="A7" t="s">
        <v>44</v>
      </c>
      <c r="B7" t="s">
        <v>50</v>
      </c>
      <c r="C7" t="s">
        <v>71</v>
      </c>
      <c r="E7">
        <v>5</v>
      </c>
      <c r="F7" t="str">
        <f t="shared" si="0"/>
        <v>{"id":"discrete","name":"Discrete time","desc":"Dynamic operations are available here for discrete time operations","icon":"","order":"5"},</v>
      </c>
    </row>
    <row r="8" spans="1:7" x14ac:dyDescent="0.3">
      <c r="A8" t="s">
        <v>51</v>
      </c>
      <c r="B8" t="s">
        <v>72</v>
      </c>
      <c r="E8">
        <v>6</v>
      </c>
      <c r="F8" t="str">
        <f t="shared" si="0"/>
        <v>{"id":"Hardware tools","name":"Hardware i/o blocks are available here","desc":"","icon":"","order":"6"},</v>
      </c>
    </row>
  </sheetData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BC199-4C78-43F5-9B30-3F244827938A}">
  <sheetPr codeName="Sheet5"/>
  <dimension ref="A1:J5"/>
  <sheetViews>
    <sheetView zoomScale="179" workbookViewId="0">
      <selection activeCell="C7" sqref="C7"/>
    </sheetView>
  </sheetViews>
  <sheetFormatPr defaultRowHeight="14.4" x14ac:dyDescent="0.3"/>
  <cols>
    <col min="1" max="1" width="14.6640625" style="5" bestFit="1" customWidth="1"/>
  </cols>
  <sheetData>
    <row r="1" spans="1:10" x14ac:dyDescent="0.3">
      <c r="A1" s="5" t="s">
        <v>288</v>
      </c>
      <c r="B1" t="s">
        <v>97</v>
      </c>
      <c r="C1" t="s">
        <v>61</v>
      </c>
      <c r="D1" t="s">
        <v>22</v>
      </c>
      <c r="E1" t="s">
        <v>291</v>
      </c>
      <c r="F1" t="s">
        <v>290</v>
      </c>
      <c r="G1" t="s">
        <v>292</v>
      </c>
      <c r="H1" t="s">
        <v>293</v>
      </c>
      <c r="I1" t="s">
        <v>294</v>
      </c>
      <c r="J1" t="s">
        <v>36</v>
      </c>
    </row>
    <row r="2" spans="1:10" x14ac:dyDescent="0.3">
      <c r="A2" s="5" t="s">
        <v>295</v>
      </c>
      <c r="B2" t="s">
        <v>296</v>
      </c>
      <c r="C2" t="s">
        <v>297</v>
      </c>
      <c r="D2" t="s">
        <v>298</v>
      </c>
      <c r="E2" t="s">
        <v>299</v>
      </c>
      <c r="F2" t="s">
        <v>300</v>
      </c>
      <c r="G2">
        <v>50</v>
      </c>
      <c r="H2">
        <v>50</v>
      </c>
      <c r="I2" t="s">
        <v>41</v>
      </c>
      <c r="J2">
        <v>0</v>
      </c>
    </row>
    <row r="3" spans="1:10" x14ac:dyDescent="0.3">
      <c r="A3" s="5" t="s">
        <v>301</v>
      </c>
      <c r="B3" t="s">
        <v>302</v>
      </c>
      <c r="C3" t="s">
        <v>303</v>
      </c>
      <c r="D3" t="s">
        <v>304</v>
      </c>
      <c r="E3" t="s">
        <v>305</v>
      </c>
      <c r="F3" t="s">
        <v>306</v>
      </c>
      <c r="G3">
        <v>50</v>
      </c>
      <c r="H3">
        <v>50</v>
      </c>
      <c r="I3" t="s">
        <v>40</v>
      </c>
      <c r="J3">
        <v>1</v>
      </c>
    </row>
    <row r="4" spans="1:10" x14ac:dyDescent="0.3">
      <c r="A4" s="5" t="s">
        <v>307</v>
      </c>
      <c r="B4" t="s">
        <v>309</v>
      </c>
      <c r="C4" t="s">
        <v>308</v>
      </c>
      <c r="D4" t="s">
        <v>310</v>
      </c>
      <c r="E4" t="s">
        <v>311</v>
      </c>
      <c r="F4" t="s">
        <v>312</v>
      </c>
      <c r="G4">
        <v>50</v>
      </c>
      <c r="H4">
        <v>50</v>
      </c>
      <c r="I4" t="s">
        <v>54</v>
      </c>
      <c r="J4">
        <v>2</v>
      </c>
    </row>
    <row r="5" spans="1:10" x14ac:dyDescent="0.3">
      <c r="A5" s="5" t="s">
        <v>315</v>
      </c>
      <c r="B5" t="s">
        <v>314</v>
      </c>
      <c r="C5" t="s">
        <v>313</v>
      </c>
      <c r="D5" t="s">
        <v>313</v>
      </c>
      <c r="E5" t="s">
        <v>311</v>
      </c>
      <c r="F5" t="s">
        <v>312</v>
      </c>
      <c r="G5">
        <v>100</v>
      </c>
      <c r="H5">
        <v>50</v>
      </c>
      <c r="I5" t="s">
        <v>54</v>
      </c>
      <c r="J5">
        <v>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076C0DC-DCCC-4436-A907-16EC86A321B2}">
          <x14:formula1>
            <xm:f>umkBlockCategories!$A:$A</xm:f>
          </x14:formula1>
          <xm:sqref>I1:I1048576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C9AEB-C6BB-44D2-B1DC-A1A0A65CA6D9}">
  <sheetPr codeName="Sheet6"/>
  <dimension ref="A1:C4"/>
  <sheetViews>
    <sheetView zoomScaleNormal="100" workbookViewId="0">
      <selection activeCell="C4" sqref="C4"/>
    </sheetView>
  </sheetViews>
  <sheetFormatPr defaultRowHeight="14.4" x14ac:dyDescent="0.3"/>
  <cols>
    <col min="1" max="1" width="13.44140625" customWidth="1"/>
  </cols>
  <sheetData>
    <row r="1" spans="1:3" x14ac:dyDescent="0.3">
      <c r="A1" t="s">
        <v>85</v>
      </c>
      <c r="B1" t="str">
        <f>CHAR(34)&amp;"icon"&amp;ROW(A1)&amp;CHAR(34)&amp;":"&amp;CHAR(34)&amp;A1&amp;CHAR(34)&amp;IF(ISBLANK(A2),"",",")</f>
        <v>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"IconText":{"icon1":"&lt;svg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fill='","icon2":"' filter='url(#f0)'/&gt;&lt;/g&gt;&lt;g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76</v>
      </c>
      <c r="B2" t="str">
        <f t="shared" ref="B2:B4" si="0">CHAR(34)&amp;"icon"&amp;ROW(A2)&amp;CHAR(34)&amp;":"&amp;CHAR(34)&amp;A2&amp;CHAR(34)&amp;IF(ISBLANK(A3),"",",")</f>
        <v>"icon2":"' filter='url(#f0)'/&gt;&lt;/g&gt;&lt;g stroke-linecap='round' filter='url(#f1)' width='100' height='100' stroke='",</v>
      </c>
    </row>
    <row r="3" spans="1:3" ht="43.2" x14ac:dyDescent="0.3">
      <c r="A3" s="2" t="s">
        <v>84</v>
      </c>
      <c r="B3" t="str">
        <f t="shared" si="0"/>
        <v>"icon3":"' stroke-width='10' fill='none'&gt;",</v>
      </c>
    </row>
    <row r="4" spans="1:3" x14ac:dyDescent="0.3">
      <c r="A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D001D-C99D-4E3C-BE5C-3929C71869C0}">
  <sheetPr codeName="Sheet7"/>
  <dimension ref="A1:C4"/>
  <sheetViews>
    <sheetView zoomScaleNormal="100" workbookViewId="0">
      <selection activeCell="A4" sqref="A4"/>
    </sheetView>
  </sheetViews>
  <sheetFormatPr defaultRowHeight="14.4" x14ac:dyDescent="0.3"/>
  <cols>
    <col min="1" max="1" width="13.44140625" style="4" customWidth="1"/>
  </cols>
  <sheetData>
    <row r="1" spans="1:3" x14ac:dyDescent="0.3">
      <c r="A1" s="4" t="s">
        <v>86</v>
      </c>
      <c r="B1" t="str">
        <f>CHAR(34)&amp;"icon"&amp;ROW(A1)&amp;CHAR(34)&amp;":"&amp;CHAR(34)&amp;A1&amp;CHAR(34)&amp;IF(ISBLANK(A2),"",",")</f>
        <v>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"networkIcon":{"icon1":"&lt;svg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fill='","icon2":"'/&gt;&lt;/g&gt;&lt;g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87</v>
      </c>
      <c r="B2" t="str">
        <f t="shared" ref="B2:B4" si="0">CHAR(34)&amp;"icon"&amp;ROW(A2)&amp;CHAR(34)&amp;":"&amp;CHAR(34)&amp;A2&amp;CHAR(34)&amp;IF(ISBLANK(A3),"",",")</f>
        <v>"icon2":"'/&gt;&lt;/g&gt;&lt;g stroke-linecap='round' filter='url(#f1)' width='100' height='100' stroke='",</v>
      </c>
    </row>
    <row r="3" spans="1:3" x14ac:dyDescent="0.3">
      <c r="A3" s="3" t="s">
        <v>84</v>
      </c>
      <c r="B3" t="str">
        <f t="shared" si="0"/>
        <v>"icon3":"' stroke-width='10' fill='none'&gt;",</v>
      </c>
    </row>
    <row r="4" spans="1:3" x14ac:dyDescent="0.3">
      <c r="A4" s="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75BB5-727D-43CB-AB8E-FD2D3EDBD069}">
  <sheetPr codeName="Sheet8"/>
  <dimension ref="A1:I19"/>
  <sheetViews>
    <sheetView workbookViewId="0">
      <selection activeCell="D5" sqref="D5"/>
    </sheetView>
  </sheetViews>
  <sheetFormatPr defaultRowHeight="14.4" x14ac:dyDescent="0.3"/>
  <cols>
    <col min="1" max="1" width="16" bestFit="1" customWidth="1"/>
  </cols>
  <sheetData>
    <row r="1" spans="1:9" x14ac:dyDescent="0.3">
      <c r="A1" t="s">
        <v>97</v>
      </c>
      <c r="B1" t="s">
        <v>89</v>
      </c>
      <c r="C1" t="s">
        <v>90</v>
      </c>
      <c r="E1" t="str">
        <f ca="1">"const "&amp;MID(CELL("filename",A1),FIND("]",CELL("filename",A1))+1,255)&amp;"=["&amp;_xlfn.CONCAT(D:D)&amp;"];"</f>
        <v>const blockTemplate=[{"name":"Category","type":"string","argument":""},{"name":"Name","type":"string","argument":""},{"name":"Description","type":"string","argument":""},{"name":"Parameters","type":"json","argument":""},{"name":"Label","type":"function","argument":""},{"name":"Icon","type":"function","argument":""},{"name":"Init","type":"function","argument":""},{"name":"End","type":"function","argument":""},{"name":"Constructor","type":"function","argument":"Data"},{"name":"Destructor","type":"function","argument":"Data"},{"name":"RunTimeExec","type":"function","argument":""},{"name":"Evaluate","type":"function","argument":""},{"name":"Details","type":"function","argument":""},{"name":"ValidateParams","type":"function","argument":""},{"name":"bid","type":"string","argument":""},{"name":"Colors","type":"object","argument":""},{"name":"TerminalsIn","type":"object","argument":""},{"name":"TerminalsOut","type":"object","argument":""}];</v>
      </c>
    </row>
    <row r="2" spans="1:9" x14ac:dyDescent="0.3">
      <c r="A2" t="s">
        <v>91</v>
      </c>
      <c r="B2" t="s">
        <v>93</v>
      </c>
      <c r="D2" t="str">
        <f>"{"&amp;CHAR(34)&amp;$A$1&amp;CHAR(34)&amp;":"&amp;CHAR(34)&amp;A2&amp;CHAR(34)&amp;","&amp;CHAR(34)&amp;$B$1&amp;CHAR(34)&amp;":"&amp;CHAR(34)&amp;B2&amp;CHAR(34)&amp;","&amp;CHAR(34)&amp;$C$1&amp;CHAR(34)&amp;":"&amp;CHAR(34)&amp;C2&amp;CHAR(34)&amp;"}"&amp;IF(ISBLANK(A3),"",",")</f>
        <v>{"name":"Category","type":"string","argument":""},</v>
      </c>
      <c r="I2" t="str">
        <f>TRIM(A2)</f>
        <v>Category</v>
      </c>
    </row>
    <row r="3" spans="1:9" x14ac:dyDescent="0.3">
      <c r="A3" t="s">
        <v>88</v>
      </c>
      <c r="B3" t="s">
        <v>93</v>
      </c>
      <c r="D3" t="str">
        <f t="shared" ref="D3:D19" si="0">"{"&amp;CHAR(34)&amp;$A$1&amp;CHAR(34)&amp;":"&amp;CHAR(34)&amp;A3&amp;CHAR(34)&amp;","&amp;CHAR(34)&amp;$B$1&amp;CHAR(34)&amp;":"&amp;CHAR(34)&amp;B3&amp;CHAR(34)&amp;","&amp;CHAR(34)&amp;$C$1&amp;CHAR(34)&amp;":"&amp;CHAR(34)&amp;C3&amp;CHAR(34)&amp;"}"&amp;IF(ISBLANK(A4),"",",")</f>
        <v>{"name":"Name","type":"string","argument":""},</v>
      </c>
      <c r="I3" t="str">
        <f t="shared" ref="I3:I19" si="1">TRIM(A3)</f>
        <v>Name</v>
      </c>
    </row>
    <row r="4" spans="1:9" x14ac:dyDescent="0.3">
      <c r="A4" t="s">
        <v>92</v>
      </c>
      <c r="B4" t="s">
        <v>93</v>
      </c>
      <c r="D4" t="str">
        <f t="shared" si="0"/>
        <v>{"name":"Description","type":"string","argument":""},</v>
      </c>
      <c r="I4" t="str">
        <f t="shared" si="1"/>
        <v>Description</v>
      </c>
    </row>
    <row r="5" spans="1:9" x14ac:dyDescent="0.3">
      <c r="A5" t="s">
        <v>94</v>
      </c>
      <c r="B5" t="s">
        <v>95</v>
      </c>
      <c r="D5" t="str">
        <f t="shared" si="0"/>
        <v>{"name":"Parameters","type":"json","argument":""},</v>
      </c>
      <c r="I5" t="str">
        <f t="shared" si="1"/>
        <v>Parameters</v>
      </c>
    </row>
    <row r="6" spans="1:9" x14ac:dyDescent="0.3">
      <c r="A6" t="s">
        <v>98</v>
      </c>
      <c r="B6" t="s">
        <v>23</v>
      </c>
      <c r="D6" t="str">
        <f>"{"&amp;CHAR(34)&amp;$A$1&amp;CHAR(34)&amp;":"&amp;CHAR(34)&amp;A6&amp;CHAR(34)&amp;","&amp;CHAR(34)&amp;$B$1&amp;CHAR(34)&amp;":"&amp;CHAR(34)&amp;B6&amp;CHAR(34)&amp;","&amp;CHAR(34)&amp;$C$1&amp;CHAR(34)&amp;":"&amp;CHAR(34)&amp;C6&amp;CHAR(34)&amp;"}"&amp;IF(ISBLANK(#REF!),"",",")</f>
        <v>{"name":"Label","type":"function","argument":""},</v>
      </c>
      <c r="I6" t="str">
        <f t="shared" si="1"/>
        <v>Label</v>
      </c>
    </row>
    <row r="7" spans="1:9" x14ac:dyDescent="0.3">
      <c r="A7" t="s">
        <v>99</v>
      </c>
      <c r="B7" t="s">
        <v>23</v>
      </c>
      <c r="D7" t="str">
        <f t="shared" si="0"/>
        <v>{"name":"Icon","type":"function","argument":""},</v>
      </c>
      <c r="I7" t="str">
        <f t="shared" si="1"/>
        <v>Icon</v>
      </c>
    </row>
    <row r="8" spans="1:9" x14ac:dyDescent="0.3">
      <c r="A8" t="s">
        <v>100</v>
      </c>
      <c r="B8" t="s">
        <v>23</v>
      </c>
      <c r="D8" t="str">
        <f t="shared" si="0"/>
        <v>{"name":"Init","type":"function","argument":""},</v>
      </c>
      <c r="I8" t="str">
        <f t="shared" si="1"/>
        <v>Init</v>
      </c>
    </row>
    <row r="9" spans="1:9" x14ac:dyDescent="0.3">
      <c r="A9" t="s">
        <v>101</v>
      </c>
      <c r="B9" t="s">
        <v>23</v>
      </c>
      <c r="D9" t="str">
        <f t="shared" si="0"/>
        <v>{"name":"End","type":"function","argument":""},</v>
      </c>
      <c r="I9" t="str">
        <f t="shared" si="1"/>
        <v>End</v>
      </c>
    </row>
    <row r="10" spans="1:9" x14ac:dyDescent="0.3">
      <c r="A10" t="s">
        <v>102</v>
      </c>
      <c r="B10" t="s">
        <v>23</v>
      </c>
      <c r="C10" t="s">
        <v>96</v>
      </c>
      <c r="D10" t="str">
        <f t="shared" si="0"/>
        <v>{"name":"Constructor","type":"function","argument":"Data"},</v>
      </c>
      <c r="I10" t="str">
        <f t="shared" si="1"/>
        <v>Constructor</v>
      </c>
    </row>
    <row r="11" spans="1:9" x14ac:dyDescent="0.3">
      <c r="A11" t="s">
        <v>103</v>
      </c>
      <c r="B11" t="s">
        <v>23</v>
      </c>
      <c r="C11" t="s">
        <v>96</v>
      </c>
      <c r="D11" t="str">
        <f t="shared" si="0"/>
        <v>{"name":"Destructor","type":"function","argument":"Data"},</v>
      </c>
      <c r="I11" t="str">
        <f t="shared" si="1"/>
        <v>Destructor</v>
      </c>
    </row>
    <row r="12" spans="1:9" x14ac:dyDescent="0.3">
      <c r="A12" t="s">
        <v>104</v>
      </c>
      <c r="B12" t="s">
        <v>23</v>
      </c>
      <c r="D12" t="str">
        <f t="shared" si="0"/>
        <v>{"name":"RunTimeExec","type":"function","argument":""},</v>
      </c>
      <c r="I12" t="str">
        <f t="shared" si="1"/>
        <v>RunTimeExec</v>
      </c>
    </row>
    <row r="13" spans="1:9" x14ac:dyDescent="0.3">
      <c r="A13" t="s">
        <v>105</v>
      </c>
      <c r="B13" t="s">
        <v>23</v>
      </c>
      <c r="D13" t="str">
        <f t="shared" si="0"/>
        <v>{"name":"Evaluate","type":"function","argument":""},</v>
      </c>
      <c r="I13" t="str">
        <f t="shared" si="1"/>
        <v>Evaluate</v>
      </c>
    </row>
    <row r="14" spans="1:9" x14ac:dyDescent="0.3">
      <c r="A14" t="s">
        <v>106</v>
      </c>
      <c r="B14" t="s">
        <v>23</v>
      </c>
      <c r="D14" t="str">
        <f t="shared" si="0"/>
        <v>{"name":"Details","type":"function","argument":""},</v>
      </c>
      <c r="I14" t="str">
        <f t="shared" si="1"/>
        <v>Details</v>
      </c>
    </row>
    <row r="15" spans="1:9" x14ac:dyDescent="0.3">
      <c r="A15" t="s">
        <v>107</v>
      </c>
      <c r="B15" t="s">
        <v>23</v>
      </c>
      <c r="D15" t="str">
        <f t="shared" si="0"/>
        <v>{"name":"ValidateParams","type":"function","argument":""},</v>
      </c>
      <c r="I15" t="str">
        <f t="shared" si="1"/>
        <v>ValidateParams</v>
      </c>
    </row>
    <row r="16" spans="1:9" x14ac:dyDescent="0.3">
      <c r="A16" t="s">
        <v>110</v>
      </c>
      <c r="B16" t="s">
        <v>93</v>
      </c>
      <c r="D16" t="str">
        <f t="shared" si="0"/>
        <v>{"name":"bid","type":"string","argument":""},</v>
      </c>
      <c r="I16" t="str">
        <f t="shared" si="1"/>
        <v>bid</v>
      </c>
    </row>
    <row r="17" spans="1:9" x14ac:dyDescent="0.3">
      <c r="A17" t="s">
        <v>111</v>
      </c>
      <c r="B17" t="s">
        <v>112</v>
      </c>
      <c r="D17" t="str">
        <f t="shared" si="0"/>
        <v>{"name":"Colors","type":"object","argument":""},</v>
      </c>
      <c r="I17" t="str">
        <f t="shared" si="1"/>
        <v>Colors</v>
      </c>
    </row>
    <row r="18" spans="1:9" x14ac:dyDescent="0.3">
      <c r="A18" t="s">
        <v>113</v>
      </c>
      <c r="B18" t="s">
        <v>112</v>
      </c>
      <c r="D18" t="str">
        <f t="shared" si="0"/>
        <v>{"name":"TerminalsIn","type":"object","argument":""},</v>
      </c>
      <c r="I18" t="str">
        <f t="shared" si="1"/>
        <v>TerminalsIn</v>
      </c>
    </row>
    <row r="19" spans="1:9" x14ac:dyDescent="0.3">
      <c r="A19" t="s">
        <v>114</v>
      </c>
      <c r="B19" t="s">
        <v>112</v>
      </c>
      <c r="D19" t="str">
        <f t="shared" si="0"/>
        <v>{"name":"TerminalsOut","type":"object","argument":""}</v>
      </c>
      <c r="I19" t="str">
        <f t="shared" si="1"/>
        <v>TerminalsOut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6CD0A-41AE-40C5-9AB3-7B6EB0447C99}">
  <sheetPr codeName="Sheet9"/>
  <dimension ref="A1:L251"/>
  <sheetViews>
    <sheetView tabSelected="1" topLeftCell="A120" zoomScaleNormal="100" workbookViewId="0">
      <selection activeCell="A136" sqref="A136"/>
    </sheetView>
  </sheetViews>
  <sheetFormatPr defaultRowHeight="14.4" x14ac:dyDescent="0.3"/>
  <cols>
    <col min="1" max="1" width="14.77734375" bestFit="1" customWidth="1"/>
    <col min="11" max="11" width="37" customWidth="1"/>
  </cols>
  <sheetData>
    <row r="1" spans="1:12" x14ac:dyDescent="0.3">
      <c r="A1" t="s">
        <v>241</v>
      </c>
      <c r="B1" t="s">
        <v>329</v>
      </c>
      <c r="C1" t="s">
        <v>330</v>
      </c>
      <c r="J1" s="15" t="str">
        <f ca="1">"const "&amp; MID(CELL("filename",A1),FIND("]",CELL("filename",A1))+1,255)&amp;"={"&amp;_xlfn.CONCAT(K:K)&amp;","&amp;_xlfn.CONCAT(L:L)&amp;"};"</f>
        <v>const GUIText={"en-us":{"hide":"Hide","hide_left_desc":"Hides the left pane","hide_right_desc":"Hides the right pane","errorShortWidth":"Your screen's width is too small to run this app. ","errorShortHeight":"Your screen's height is too small to run this app. 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Settings","theme":"Theme","theme-light":"Light mode","theme-dark":"Dark mode","language":"Language","en-us":"English (United states)","es-mx":"Español (México)","sblocks":"Search blocks…","sResults":"Search results","sResDesc":"Blocks matching the search query.","gridLines":"Gridlines","gLinesMinor":"Minor","gLinesMajor":"Major","gLinesMega":"Mega","navi":"Navigation","gridSize":"Grid size","showOutline":"Show outline","guidesEnabled":"Enable guides","oSettings":"Other settings","vManager":"Variable manager","constants":"Constants","variables":"Variables","var":"Variable","value":"Value","errSameBlkConn":"These two terminals are already connected","errInpInpConn":"A source is already connected","errOutOutConn":"Output cannot be connected to another output","errOnlyOneInp":"Only one input can be connected per terminal","errUblPlcBlock":"Unable to use this block. Please contact our support team.","cPolicyText":"We use cookies to improve the performance.","pPLink":"Privacy Policy","tNCLink":"Terms and Conditions","accept":"Accept","aNewVar":"Add a new variable","save":"Save","cancel":"Cancel","label":"Label","noOfIns":"Input terminals count","noOfOuts":"Output terminals count","preview":"Preview","params":"Parameters","functionality":"Functionality","aChanges":"Apply changes","rChanges":"Reset Changes","orientation":"Orientation","showLabels":"Show  labels","name":"Name","errUnablGrping":"Unable to group the selected items","subModel":"Sub model","enterFileName":"Enter a filename to save","myUmkModel":"myUyamakModel","rRealTime":"Run at real-time","endTime":"End time in seconds (negative for &amp;infin;)","stepSize":"Step size in milliseconds","run":"Run simulation","stop":"Stop simulation","pause":"Pause simulation","nSteps":"Next N-Steps to the simulation","confirmLoss":"This operation will close the present model.\nAny unsaved data will be lost.\n\nDo you want to proceed?","errorGen":"Error: Unable to perform this action","aLoop":"Error: Possible algebraic loop","showExeOrder":"Show execution order","mDesign":"Design mode","mSim":"Simulating","mSimPause":"Simulation paused","k169":"Incompatible browser. Uyamak requires a modern browser to run the simulation.","k170":"There is no model to simulate. Pull blocks from the library and place on the graph.","k171":"Unable to ungroup the selected items","k172":"Unable to decode the parameter value. Try updating the variables.","k173":"Some parameters are incorrect. Please edit blocks with warning symbol.","simErr":"Simulation error","chartLang":"en","sOEvery":"Record output for every X samples","mHis":"History points in the memory per second","hideGraphText":"Hide text inside the blocks","errorParsing":"Unable to parse the input. If required, update your variables in the variable manager.","errParamEntry":"Parameter error","errDetails":"Unknown error. Please contact the support team if  it continous.","errCompat":"Compatibility error. We cannot proceed to save. Please a look at the functionality and correct your parameters.","snapToGrid":"Snap to grid","locFMgr":"Local file manager","saveToLMach":"Save to local machine","loadFrmLMach":"Load from local machine","import":"Import","open":"Open","model":"Uyamak model","vars":"Variables","simSet":"Simulation settings","guiSet":"Editor settings","sFile":"Select a file by clicking here or you can drag and drop your file here.","errFSize":"File is too big to open. Contact support for more information.","errCrpt":"The selected file is empty or corrupted","for":"for","intType":"Integration type","intTs":"Integrals are updated every","wMode":"Wire mode","etyCap":"Create blocks without a caption"},"es-mx":{"hide":"Esconder","hide_left_desc":"Hides the left pane","hide_right_desc":"Hides the right pane","errorShortWidth":"El ancho de su pantalla es demasiado pequeño para ejecutar esta aplicación.","errorShortHeight":"La altura de su pantalla es demasiado pequeña para ejecutar esta aplicación.","key_backspace":"Backspace","key_tab":"Tab","key_enter":"Enter","key_shift":"Shift","key_ctrl":"Ctrl","key_alt":"Alt","key_pause":"Pause","key_caps_lock":"Caps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Configuraciones","theme":"Tema","theme-light":"Modo de luz","theme-dark":"Modo oscuro","language":"Idioma","en-us":"Inglés Estados Unidos)","es-mx":"Español (México)","sblocks":"Buscar bloques…","sResults":"Resultados de la búsqueda","sResDesc":"Bloques que coinciden con la consulta de búsqueda.","gridLines":"Líneas de cuadrícula","gLinesMinor":"Menor","gLinesMajor":"Mayor","gLinesMega":"Mega","navi":"Navegación","gridSize":"Tamaño de la cuadrícula","showOutline":"Mostrar esquema","guidesEnabled":"Habilitar guías","oSettings":"Otros ajustes","vManager":"Administrador de variables","constants":"Constantes","variables":"Variables","var":"Variable","value":"Valor","errSameBlkConn":"Estos dos terminales ya están conectados","errInpInpConn":"Una fuente ya está conectada","errOutOutConn":"La salida no se puede conectar a otra salida","errOnlyOneInp":"Solo se puede conectar una entrada por terminal","errUblPlcBlock":"No se puede usar este bloque. Por favor contacte a nuestro equipo de soporte.","cPolicyText":"Utilizamos cookies para mejorar el rendimiento.","pPLink":"Política de privacidad","tNCLink":"Términos y condiciones","accept":"Aceptar","aNewVar":"Agregar una nueva variable","save":"Guardar","cancel":"Cancelar","label":"Etiqueta","noOfIns":"Conteo de terminales de entrada","noOfOuts":"Los terminales de salida cuentan","preview":"Vista previa","params":"Parámetros","functionality":"Funcionalidad","aChanges":"Aplicar los cambios","rChanges":"Restablecer cambios","orientation":"Orientación","showLabels":"Mostrar etiquetas","name":"Nombre","errUnablGrping":"No se pueden agrupar los elementos seleccionados","subModel":"Submodelo","enterFileName":"Ingrese un nombre de archivo para guardar","myUmkModel":"miModeloDeUyamak","rRealTime":"Corre en tiempo real","endTime":"Tiempo de finalización en segundos (negativo para &amp;infin;)","stepSize":"Tamaño de paso en milisegundos","run":"Ejecutar simulación","stop":"Detener la simulación","pause":"Pausa simulación","nSteps":"N pasos siguientes a la simulación","confirmLoss":"Esta operación cerrará el modelo actual.\nCualquier información no guardada se perderá.\n\nQuieres proceder?","errorGen":"Error: no se puede realizar esta acción","aLoop":"Error: Posible lazo algebraico","showExeOrder":"Mostrar orden de ejecución","mDesign":"Modo de diseño","mSim":"Simulando","mSimPause":"Simulación en pausa","k169":"Navegador incompatible. Uyanmak requiere un navegador moderno para ejecutar la simulación.","k170":"No hay modelo para simular. Extraiga bloques de la biblioteca y colóquelos en el gráfico.","k171":"No se pueden desagrupar los elementos seleccionados","k172":"No se puede decodificar el valor del parámetro. Intenta actualizar las variables.","k173":"Algunos parámetros son incorrectos. Edite los bloques con el símbolo de advertencia.","simErr":"Error de simulación","chartLang":"es","sOEvery":"Grabar salida para cada X muestras","mHis":"Puntos de historia en la memoria por segundo","hideGraphText":"Ocultar texto dentro de los bloques","errorParsing":"No se puede analizar la entrada. Si es necesario, actualice sus variables en el administrador de variables.","errParamEntry":"Error de parametro","errDetails":"Error desconocido. Póngase en contacto con el equipo de soporte si es continuo.","errCompat":"Error de compatibilidad No podemos proceder a guardar. Observe la funcionalidad y corrija sus parámetros.","snapToGrid":"Encajar a la cuadricula","locFMgr":"Administrador de archivos locales","saveToLMach":"Guardar en máquina local","loadFrmLMach":"Cargar desde máquina local","import":"Importar","open":"Abierto","model":"Modelo Uyamak","vars":"Variables","simSet":"Configuraciones de simulación","guiSet":"Configuraciones del editor","sFile":"Seleccione un archivo haciendo clic aquí o puede arrastrar y soltar su archivo aquí.","errFSize":"El archivo es demasiado grande para abrir. Póngase en contacto con el soporte para más información.","errCrpt":"El archivo seleccionado está vacío o dañado.","for":"para","intType":"Tipo de integración","intTs":"Se actualiza integrales cada","wMode":"Modo de cable","etyCap":"Crear bloques sin capción"}};</v>
      </c>
      <c r="K1" t="str">
        <f>""""&amp;B1&amp;""":{"</f>
        <v>"en-us":{</v>
      </c>
      <c r="L1" t="str">
        <f>""""&amp;C1&amp;""":{"</f>
        <v>"es-mx":{</v>
      </c>
    </row>
    <row r="2" spans="1:12" x14ac:dyDescent="0.3">
      <c r="A2" t="s">
        <v>339</v>
      </c>
      <c r="B2" t="s">
        <v>331</v>
      </c>
      <c r="C2" t="s">
        <v>332</v>
      </c>
      <c r="K2" t="str">
        <f>IF(ISBLANK($A2),"",""""&amp;$A2&amp;""":"""&amp;B2&amp;""""&amp;IF(ISBLANK(A3),"}",","))</f>
        <v>"hide":"Hide",</v>
      </c>
      <c r="L2" t="str">
        <f>IF(ISBLANK($A2),"",""""&amp;$A2&amp;""":"""&amp;C2&amp;""""&amp;IF(ISBLANK(B3),"}",","))</f>
        <v>"hide":"Esconder",</v>
      </c>
    </row>
    <row r="3" spans="1:12" x14ac:dyDescent="0.3">
      <c r="A3" t="s">
        <v>717</v>
      </c>
      <c r="B3" t="s">
        <v>719</v>
      </c>
      <c r="C3" t="s">
        <v>719</v>
      </c>
      <c r="K3" t="str">
        <f t="shared" ref="K3:K66" si="0">IF(ISBLANK($A3),"",""""&amp;$A3&amp;""":"""&amp;B3&amp;""""&amp;IF(ISBLANK(A4),"}",","))</f>
        <v>"hide_left_desc":"Hides the left pane",</v>
      </c>
      <c r="L3" t="str">
        <f t="shared" ref="L3:L66" si="1">IF(ISBLANK($A3),"",""""&amp;$A3&amp;""":"""&amp;C3&amp;""""&amp;IF(ISBLANK(B4),"}",","))</f>
        <v>"hide_left_desc":"Hides the left pane",</v>
      </c>
    </row>
    <row r="4" spans="1:12" x14ac:dyDescent="0.3">
      <c r="A4" t="s">
        <v>718</v>
      </c>
      <c r="B4" t="s">
        <v>720</v>
      </c>
      <c r="C4" t="s">
        <v>720</v>
      </c>
      <c r="K4" t="str">
        <f t="shared" si="0"/>
        <v>"hide_right_desc":"Hides the right pane",</v>
      </c>
      <c r="L4" t="str">
        <f t="shared" si="1"/>
        <v>"hide_right_desc":"Hides the right pane",</v>
      </c>
    </row>
    <row r="5" spans="1:12" x14ac:dyDescent="0.3">
      <c r="A5" t="s">
        <v>333</v>
      </c>
      <c r="B5" t="s">
        <v>335</v>
      </c>
      <c r="C5" t="s">
        <v>337</v>
      </c>
      <c r="K5" t="str">
        <f t="shared" si="0"/>
        <v>"errorShortWidth":"Your screen's width is too small to run this app. ",</v>
      </c>
      <c r="L5" t="str">
        <f t="shared" si="1"/>
        <v>"errorShortWidth":"El ancho de su pantalla es demasiado pequeño para ejecutar esta aplicación.",</v>
      </c>
    </row>
    <row r="6" spans="1:12" x14ac:dyDescent="0.3">
      <c r="A6" t="s">
        <v>334</v>
      </c>
      <c r="B6" t="s">
        <v>336</v>
      </c>
      <c r="C6" t="s">
        <v>338</v>
      </c>
      <c r="K6" t="str">
        <f t="shared" si="0"/>
        <v>"errorShortHeight":"Your screen's height is too small to run this app. ",</v>
      </c>
      <c r="L6" t="str">
        <f t="shared" si="1"/>
        <v>"errorShortHeight":"La altura de su pantalla es demasiado pequeña para ejecutar esta aplicación.",</v>
      </c>
    </row>
    <row r="7" spans="1:12" x14ac:dyDescent="0.3">
      <c r="A7" t="s">
        <v>508</v>
      </c>
      <c r="B7" t="s">
        <v>603</v>
      </c>
      <c r="C7" t="s">
        <v>603</v>
      </c>
      <c r="K7" t="str">
        <f t="shared" si="0"/>
        <v>"key_backspace":"Backspace",</v>
      </c>
      <c r="L7" t="str">
        <f t="shared" si="1"/>
        <v>"key_backspace":"Backspace",</v>
      </c>
    </row>
    <row r="8" spans="1:12" x14ac:dyDescent="0.3">
      <c r="A8" t="s">
        <v>509</v>
      </c>
      <c r="B8" t="s">
        <v>604</v>
      </c>
      <c r="C8" t="s">
        <v>604</v>
      </c>
      <c r="K8" t="str">
        <f t="shared" si="0"/>
        <v>"key_tab":"Tab",</v>
      </c>
      <c r="L8" t="str">
        <f t="shared" si="1"/>
        <v>"key_tab":"Tab",</v>
      </c>
    </row>
    <row r="9" spans="1:12" x14ac:dyDescent="0.3">
      <c r="A9" t="s">
        <v>510</v>
      </c>
      <c r="B9" t="s">
        <v>605</v>
      </c>
      <c r="C9" t="s">
        <v>605</v>
      </c>
      <c r="K9" t="str">
        <f t="shared" si="0"/>
        <v>"key_enter":"Enter",</v>
      </c>
      <c r="L9" t="str">
        <f t="shared" si="1"/>
        <v>"key_enter":"Enter",</v>
      </c>
    </row>
    <row r="10" spans="1:12" x14ac:dyDescent="0.3">
      <c r="A10" t="s">
        <v>511</v>
      </c>
      <c r="B10" t="s">
        <v>240</v>
      </c>
      <c r="C10" t="s">
        <v>240</v>
      </c>
      <c r="K10" t="str">
        <f t="shared" si="0"/>
        <v>"key_shift":"Shift",</v>
      </c>
      <c r="L10" t="str">
        <f t="shared" si="1"/>
        <v>"key_shift":"Shift",</v>
      </c>
    </row>
    <row r="11" spans="1:12" x14ac:dyDescent="0.3">
      <c r="A11" t="s">
        <v>512</v>
      </c>
      <c r="B11" t="s">
        <v>239</v>
      </c>
      <c r="C11" t="s">
        <v>239</v>
      </c>
      <c r="K11" t="str">
        <f t="shared" si="0"/>
        <v>"key_ctrl":"Ctrl",</v>
      </c>
      <c r="L11" t="str">
        <f t="shared" si="1"/>
        <v>"key_ctrl":"Ctrl",</v>
      </c>
    </row>
    <row r="12" spans="1:12" x14ac:dyDescent="0.3">
      <c r="A12" t="s">
        <v>513</v>
      </c>
      <c r="B12" t="s">
        <v>342</v>
      </c>
      <c r="C12" t="s">
        <v>342</v>
      </c>
      <c r="K12" t="str">
        <f t="shared" si="0"/>
        <v>"key_alt":"Alt",</v>
      </c>
      <c r="L12" t="str">
        <f t="shared" si="1"/>
        <v>"key_alt":"Alt",</v>
      </c>
    </row>
    <row r="13" spans="1:12" x14ac:dyDescent="0.3">
      <c r="A13" t="s">
        <v>514</v>
      </c>
      <c r="B13" t="s">
        <v>606</v>
      </c>
      <c r="C13" t="s">
        <v>606</v>
      </c>
      <c r="K13" t="str">
        <f t="shared" si="0"/>
        <v>"key_pause":"Pause",</v>
      </c>
      <c r="L13" t="str">
        <f t="shared" si="1"/>
        <v>"key_pause":"Pause",</v>
      </c>
    </row>
    <row r="14" spans="1:12" x14ac:dyDescent="0.3">
      <c r="A14" t="s">
        <v>515</v>
      </c>
      <c r="B14" t="s">
        <v>627</v>
      </c>
      <c r="C14" t="s">
        <v>627</v>
      </c>
      <c r="K14" t="str">
        <f t="shared" si="0"/>
        <v>"key_caps_lock":"Caps lock",</v>
      </c>
      <c r="L14" t="str">
        <f t="shared" si="1"/>
        <v>"key_caps_lock":"Caps lock",</v>
      </c>
    </row>
    <row r="15" spans="1:12" x14ac:dyDescent="0.3">
      <c r="A15" t="s">
        <v>516</v>
      </c>
      <c r="B15" t="s">
        <v>607</v>
      </c>
      <c r="C15" t="s">
        <v>607</v>
      </c>
      <c r="K15" t="str">
        <f t="shared" si="0"/>
        <v>"key_escape":"Escape",</v>
      </c>
      <c r="L15" t="str">
        <f t="shared" si="1"/>
        <v>"key_escape":"Escape",</v>
      </c>
    </row>
    <row r="16" spans="1:12" x14ac:dyDescent="0.3">
      <c r="A16" t="s">
        <v>517</v>
      </c>
      <c r="B16" t="s">
        <v>626</v>
      </c>
      <c r="C16" t="s">
        <v>626</v>
      </c>
      <c r="K16" t="str">
        <f t="shared" si="0"/>
        <v>"key_page_up":"Page up",</v>
      </c>
      <c r="L16" t="str">
        <f t="shared" si="1"/>
        <v>"key_page_up":"Page up",</v>
      </c>
    </row>
    <row r="17" spans="1:12" x14ac:dyDescent="0.3">
      <c r="A17" t="s">
        <v>518</v>
      </c>
      <c r="B17" t="s">
        <v>628</v>
      </c>
      <c r="C17" t="s">
        <v>628</v>
      </c>
      <c r="K17" t="str">
        <f t="shared" si="0"/>
        <v>"key_page_down":"Page down",</v>
      </c>
      <c r="L17" t="str">
        <f t="shared" si="1"/>
        <v>"key_page_down":"Page down",</v>
      </c>
    </row>
    <row r="18" spans="1:12" x14ac:dyDescent="0.3">
      <c r="A18" t="s">
        <v>519</v>
      </c>
      <c r="B18" t="s">
        <v>101</v>
      </c>
      <c r="C18" t="s">
        <v>101</v>
      </c>
      <c r="K18" t="str">
        <f t="shared" si="0"/>
        <v>"key_end":"End",</v>
      </c>
      <c r="L18" t="str">
        <f t="shared" si="1"/>
        <v>"key_end":"End",</v>
      </c>
    </row>
    <row r="19" spans="1:12" x14ac:dyDescent="0.3">
      <c r="A19" t="s">
        <v>520</v>
      </c>
      <c r="B19" t="s">
        <v>608</v>
      </c>
      <c r="C19" t="s">
        <v>608</v>
      </c>
      <c r="K19" t="str">
        <f t="shared" si="0"/>
        <v>"key_home":"Home",</v>
      </c>
      <c r="L19" t="str">
        <f t="shared" si="1"/>
        <v>"key_home":"Home",</v>
      </c>
    </row>
    <row r="20" spans="1:12" x14ac:dyDescent="0.3">
      <c r="A20" t="s">
        <v>521</v>
      </c>
      <c r="B20" t="s">
        <v>629</v>
      </c>
      <c r="C20" t="s">
        <v>629</v>
      </c>
      <c r="K20" t="str">
        <f t="shared" si="0"/>
        <v>"key_left_arrow":"Left arrow",</v>
      </c>
      <c r="L20" t="str">
        <f t="shared" si="1"/>
        <v>"key_left_arrow":"Left arrow",</v>
      </c>
    </row>
    <row r="21" spans="1:12" x14ac:dyDescent="0.3">
      <c r="A21" t="s">
        <v>522</v>
      </c>
      <c r="B21" t="s">
        <v>630</v>
      </c>
      <c r="C21" t="s">
        <v>630</v>
      </c>
      <c r="K21" t="str">
        <f t="shared" si="0"/>
        <v>"key_up_arrow":"Up arrow",</v>
      </c>
      <c r="L21" t="str">
        <f t="shared" si="1"/>
        <v>"key_up_arrow":"Up arrow",</v>
      </c>
    </row>
    <row r="22" spans="1:12" x14ac:dyDescent="0.3">
      <c r="A22" t="s">
        <v>523</v>
      </c>
      <c r="B22" t="s">
        <v>631</v>
      </c>
      <c r="C22" t="s">
        <v>631</v>
      </c>
      <c r="K22" t="str">
        <f t="shared" si="0"/>
        <v>"key_right_arrow":"Right arrow",</v>
      </c>
      <c r="L22" t="str">
        <f t="shared" si="1"/>
        <v>"key_right_arrow":"Right arrow",</v>
      </c>
    </row>
    <row r="23" spans="1:12" x14ac:dyDescent="0.3">
      <c r="A23" t="s">
        <v>524</v>
      </c>
      <c r="B23" t="s">
        <v>632</v>
      </c>
      <c r="C23" t="s">
        <v>632</v>
      </c>
      <c r="K23" t="str">
        <f t="shared" si="0"/>
        <v>"key_down_arrow":"Down arrow",</v>
      </c>
      <c r="L23" t="str">
        <f t="shared" si="1"/>
        <v>"key_down_arrow":"Down arrow",</v>
      </c>
    </row>
    <row r="24" spans="1:12" x14ac:dyDescent="0.3">
      <c r="A24" t="s">
        <v>525</v>
      </c>
      <c r="B24" t="s">
        <v>609</v>
      </c>
      <c r="C24" t="s">
        <v>609</v>
      </c>
      <c r="K24" t="str">
        <f t="shared" si="0"/>
        <v>"key_insert":"Insert",</v>
      </c>
      <c r="L24" t="str">
        <f t="shared" si="1"/>
        <v>"key_insert":"Insert",</v>
      </c>
    </row>
    <row r="25" spans="1:12" x14ac:dyDescent="0.3">
      <c r="A25" t="s">
        <v>526</v>
      </c>
      <c r="B25" t="s">
        <v>33</v>
      </c>
      <c r="C25" t="s">
        <v>33</v>
      </c>
      <c r="K25" t="str">
        <f t="shared" si="0"/>
        <v>"key_delete":"Delete",</v>
      </c>
      <c r="L25" t="str">
        <f t="shared" si="1"/>
        <v>"key_delete":"Delete",</v>
      </c>
    </row>
    <row r="26" spans="1:12" x14ac:dyDescent="0.3">
      <c r="A26" t="s">
        <v>527</v>
      </c>
      <c r="B26">
        <v>0</v>
      </c>
      <c r="C26">
        <v>0</v>
      </c>
      <c r="K26" t="str">
        <f t="shared" si="0"/>
        <v>"key_0":"0",</v>
      </c>
      <c r="L26" t="str">
        <f t="shared" si="1"/>
        <v>"key_0":"0",</v>
      </c>
    </row>
    <row r="27" spans="1:12" x14ac:dyDescent="0.3">
      <c r="A27" t="s">
        <v>528</v>
      </c>
      <c r="B27">
        <v>1</v>
      </c>
      <c r="C27">
        <v>1</v>
      </c>
      <c r="K27" t="str">
        <f t="shared" si="0"/>
        <v>"key_1":"1",</v>
      </c>
      <c r="L27" t="str">
        <f t="shared" si="1"/>
        <v>"key_1":"1",</v>
      </c>
    </row>
    <row r="28" spans="1:12" x14ac:dyDescent="0.3">
      <c r="A28" t="s">
        <v>529</v>
      </c>
      <c r="B28">
        <v>2</v>
      </c>
      <c r="C28">
        <v>2</v>
      </c>
      <c r="K28" t="str">
        <f t="shared" si="0"/>
        <v>"key_2":"2",</v>
      </c>
      <c r="L28" t="str">
        <f t="shared" si="1"/>
        <v>"key_2":"2",</v>
      </c>
    </row>
    <row r="29" spans="1:12" x14ac:dyDescent="0.3">
      <c r="A29" t="s">
        <v>530</v>
      </c>
      <c r="B29">
        <v>3</v>
      </c>
      <c r="C29">
        <v>3</v>
      </c>
      <c r="K29" t="str">
        <f t="shared" si="0"/>
        <v>"key_3":"3",</v>
      </c>
      <c r="L29" t="str">
        <f t="shared" si="1"/>
        <v>"key_3":"3",</v>
      </c>
    </row>
    <row r="30" spans="1:12" x14ac:dyDescent="0.3">
      <c r="A30" t="s">
        <v>531</v>
      </c>
      <c r="B30">
        <v>4</v>
      </c>
      <c r="C30">
        <v>4</v>
      </c>
      <c r="K30" t="str">
        <f t="shared" si="0"/>
        <v>"key_4":"4",</v>
      </c>
      <c r="L30" t="str">
        <f t="shared" si="1"/>
        <v>"key_4":"4",</v>
      </c>
    </row>
    <row r="31" spans="1:12" x14ac:dyDescent="0.3">
      <c r="A31" t="s">
        <v>532</v>
      </c>
      <c r="B31">
        <v>5</v>
      </c>
      <c r="C31">
        <v>5</v>
      </c>
      <c r="K31" t="str">
        <f t="shared" si="0"/>
        <v>"key_5":"5",</v>
      </c>
      <c r="L31" t="str">
        <f t="shared" si="1"/>
        <v>"key_5":"5",</v>
      </c>
    </row>
    <row r="32" spans="1:12" x14ac:dyDescent="0.3">
      <c r="A32" t="s">
        <v>533</v>
      </c>
      <c r="B32">
        <v>6</v>
      </c>
      <c r="C32">
        <v>6</v>
      </c>
      <c r="K32" t="str">
        <f t="shared" si="0"/>
        <v>"key_6":"6",</v>
      </c>
      <c r="L32" t="str">
        <f t="shared" si="1"/>
        <v>"key_6":"6",</v>
      </c>
    </row>
    <row r="33" spans="1:12" x14ac:dyDescent="0.3">
      <c r="A33" t="s">
        <v>534</v>
      </c>
      <c r="B33">
        <v>7</v>
      </c>
      <c r="C33">
        <v>7</v>
      </c>
      <c r="K33" t="str">
        <f t="shared" si="0"/>
        <v>"key_7":"7",</v>
      </c>
      <c r="L33" t="str">
        <f t="shared" si="1"/>
        <v>"key_7":"7",</v>
      </c>
    </row>
    <row r="34" spans="1:12" x14ac:dyDescent="0.3">
      <c r="A34" t="s">
        <v>535</v>
      </c>
      <c r="B34">
        <v>8</v>
      </c>
      <c r="C34">
        <v>8</v>
      </c>
      <c r="K34" t="str">
        <f t="shared" si="0"/>
        <v>"key_8":"8",</v>
      </c>
      <c r="L34" t="str">
        <f t="shared" si="1"/>
        <v>"key_8":"8",</v>
      </c>
    </row>
    <row r="35" spans="1:12" x14ac:dyDescent="0.3">
      <c r="A35" t="s">
        <v>536</v>
      </c>
      <c r="B35">
        <v>9</v>
      </c>
      <c r="C35">
        <v>9</v>
      </c>
      <c r="K35" t="str">
        <f t="shared" si="0"/>
        <v>"key_9":"9",</v>
      </c>
      <c r="L35" t="str">
        <f t="shared" si="1"/>
        <v>"key_9":"9",</v>
      </c>
    </row>
    <row r="36" spans="1:12" x14ac:dyDescent="0.3">
      <c r="A36" t="s">
        <v>537</v>
      </c>
      <c r="B36" t="s">
        <v>264</v>
      </c>
      <c r="C36" t="s">
        <v>264</v>
      </c>
      <c r="K36" t="str">
        <f t="shared" si="0"/>
        <v>"key_a":"A",</v>
      </c>
      <c r="L36" t="str">
        <f t="shared" si="1"/>
        <v>"key_a":"A",</v>
      </c>
    </row>
    <row r="37" spans="1:12" x14ac:dyDescent="0.3">
      <c r="A37" t="s">
        <v>538</v>
      </c>
      <c r="B37" t="s">
        <v>265</v>
      </c>
      <c r="C37" t="s">
        <v>265</v>
      </c>
      <c r="K37" t="str">
        <f t="shared" si="0"/>
        <v>"key_b":"B",</v>
      </c>
      <c r="L37" t="str">
        <f t="shared" si="1"/>
        <v>"key_b":"B",</v>
      </c>
    </row>
    <row r="38" spans="1:12" x14ac:dyDescent="0.3">
      <c r="A38" t="s">
        <v>539</v>
      </c>
      <c r="B38" t="s">
        <v>244</v>
      </c>
      <c r="C38" t="s">
        <v>244</v>
      </c>
      <c r="K38" t="str">
        <f t="shared" si="0"/>
        <v>"key_c":"C",</v>
      </c>
      <c r="L38" t="str">
        <f t="shared" si="1"/>
        <v>"key_c":"C",</v>
      </c>
    </row>
    <row r="39" spans="1:12" x14ac:dyDescent="0.3">
      <c r="A39" t="s">
        <v>540</v>
      </c>
      <c r="B39" t="s">
        <v>245</v>
      </c>
      <c r="C39" t="s">
        <v>245</v>
      </c>
      <c r="K39" t="str">
        <f t="shared" si="0"/>
        <v>"key_d":"D",</v>
      </c>
      <c r="L39" t="str">
        <f t="shared" si="1"/>
        <v>"key_d":"D",</v>
      </c>
    </row>
    <row r="40" spans="1:12" x14ac:dyDescent="0.3">
      <c r="A40" t="s">
        <v>541</v>
      </c>
      <c r="B40" t="s">
        <v>254</v>
      </c>
      <c r="C40" t="s">
        <v>254</v>
      </c>
      <c r="K40" t="str">
        <f t="shared" si="0"/>
        <v>"key_e":"E",</v>
      </c>
      <c r="L40" t="str">
        <f t="shared" si="1"/>
        <v>"key_e":"E",</v>
      </c>
    </row>
    <row r="41" spans="1:12" x14ac:dyDescent="0.3">
      <c r="A41" t="s">
        <v>542</v>
      </c>
      <c r="B41" t="s">
        <v>261</v>
      </c>
      <c r="C41" t="s">
        <v>261</v>
      </c>
      <c r="K41" t="str">
        <f t="shared" si="0"/>
        <v>"key_f":"F",</v>
      </c>
      <c r="L41" t="str">
        <f t="shared" si="1"/>
        <v>"key_f":"F",</v>
      </c>
    </row>
    <row r="42" spans="1:12" x14ac:dyDescent="0.3">
      <c r="A42" t="s">
        <v>543</v>
      </c>
      <c r="B42" t="s">
        <v>252</v>
      </c>
      <c r="C42" t="s">
        <v>252</v>
      </c>
      <c r="K42" t="str">
        <f t="shared" si="0"/>
        <v>"key_g":"G",</v>
      </c>
      <c r="L42" t="str">
        <f t="shared" si="1"/>
        <v>"key_g":"G",</v>
      </c>
    </row>
    <row r="43" spans="1:12" x14ac:dyDescent="0.3">
      <c r="A43" t="s">
        <v>544</v>
      </c>
      <c r="B43" t="s">
        <v>267</v>
      </c>
      <c r="C43" t="s">
        <v>267</v>
      </c>
      <c r="K43" t="str">
        <f t="shared" si="0"/>
        <v>"key_h":"H",</v>
      </c>
      <c r="L43" t="str">
        <f t="shared" si="1"/>
        <v>"key_h":"H",</v>
      </c>
    </row>
    <row r="44" spans="1:12" x14ac:dyDescent="0.3">
      <c r="A44" t="s">
        <v>545</v>
      </c>
      <c r="B44" t="s">
        <v>610</v>
      </c>
      <c r="C44" t="s">
        <v>610</v>
      </c>
      <c r="K44" t="str">
        <f t="shared" si="0"/>
        <v>"key_i":"I",</v>
      </c>
      <c r="L44" t="str">
        <f t="shared" si="1"/>
        <v>"key_i":"I",</v>
      </c>
    </row>
    <row r="45" spans="1:12" x14ac:dyDescent="0.3">
      <c r="A45" t="s">
        <v>546</v>
      </c>
      <c r="B45" t="s">
        <v>251</v>
      </c>
      <c r="C45" t="s">
        <v>251</v>
      </c>
      <c r="K45" t="str">
        <f t="shared" si="0"/>
        <v>"key_j":"J",</v>
      </c>
      <c r="L45" t="str">
        <f t="shared" si="1"/>
        <v>"key_j":"J",</v>
      </c>
    </row>
    <row r="46" spans="1:12" x14ac:dyDescent="0.3">
      <c r="A46" t="s">
        <v>547</v>
      </c>
      <c r="B46" t="s">
        <v>255</v>
      </c>
      <c r="C46" t="s">
        <v>255</v>
      </c>
      <c r="K46" t="str">
        <f t="shared" si="0"/>
        <v>"key_k":"K",</v>
      </c>
      <c r="L46" t="str">
        <f t="shared" si="1"/>
        <v>"key_k":"K",</v>
      </c>
    </row>
    <row r="47" spans="1:12" x14ac:dyDescent="0.3">
      <c r="A47" t="s">
        <v>548</v>
      </c>
      <c r="B47" t="s">
        <v>246</v>
      </c>
      <c r="C47" t="s">
        <v>246</v>
      </c>
      <c r="K47" t="str">
        <f t="shared" si="0"/>
        <v>"key_l":"L",</v>
      </c>
      <c r="L47" t="str">
        <f t="shared" si="1"/>
        <v>"key_l":"L",</v>
      </c>
    </row>
    <row r="48" spans="1:12" x14ac:dyDescent="0.3">
      <c r="A48" t="s">
        <v>549</v>
      </c>
      <c r="B48" t="s">
        <v>247</v>
      </c>
      <c r="C48" t="s">
        <v>247</v>
      </c>
      <c r="K48" t="str">
        <f t="shared" si="0"/>
        <v>"key_m":"M",</v>
      </c>
      <c r="L48" t="str">
        <f t="shared" si="1"/>
        <v>"key_m":"M",</v>
      </c>
    </row>
    <row r="49" spans="1:12" x14ac:dyDescent="0.3">
      <c r="A49" t="s">
        <v>550</v>
      </c>
      <c r="B49" t="s">
        <v>611</v>
      </c>
      <c r="C49" t="s">
        <v>611</v>
      </c>
      <c r="K49" t="str">
        <f t="shared" si="0"/>
        <v>"key_n":"N",</v>
      </c>
      <c r="L49" t="str">
        <f t="shared" si="1"/>
        <v>"key_n":"N",</v>
      </c>
    </row>
    <row r="50" spans="1:12" x14ac:dyDescent="0.3">
      <c r="A50" t="s">
        <v>551</v>
      </c>
      <c r="B50" t="s">
        <v>242</v>
      </c>
      <c r="C50" t="s">
        <v>242</v>
      </c>
      <c r="K50" t="str">
        <f t="shared" si="0"/>
        <v>"key_o":"O",</v>
      </c>
      <c r="L50" t="str">
        <f t="shared" si="1"/>
        <v>"key_o":"O",</v>
      </c>
    </row>
    <row r="51" spans="1:12" x14ac:dyDescent="0.3">
      <c r="A51" t="s">
        <v>552</v>
      </c>
      <c r="B51" t="s">
        <v>248</v>
      </c>
      <c r="C51" t="s">
        <v>248</v>
      </c>
      <c r="K51" t="str">
        <f t="shared" si="0"/>
        <v>"key_p":"P",</v>
      </c>
      <c r="L51" t="str">
        <f t="shared" si="1"/>
        <v>"key_p":"P",</v>
      </c>
    </row>
    <row r="52" spans="1:12" x14ac:dyDescent="0.3">
      <c r="A52" t="s">
        <v>553</v>
      </c>
      <c r="B52" t="s">
        <v>612</v>
      </c>
      <c r="C52" t="s">
        <v>612</v>
      </c>
      <c r="K52" t="str">
        <f t="shared" si="0"/>
        <v>"key_q":"Q",</v>
      </c>
      <c r="L52" t="str">
        <f t="shared" si="1"/>
        <v>"key_q":"Q",</v>
      </c>
    </row>
    <row r="53" spans="1:12" x14ac:dyDescent="0.3">
      <c r="A53" t="s">
        <v>554</v>
      </c>
      <c r="B53" t="s">
        <v>250</v>
      </c>
      <c r="C53" t="s">
        <v>250</v>
      </c>
      <c r="K53" t="str">
        <f t="shared" si="0"/>
        <v>"key_r":"R",</v>
      </c>
      <c r="L53" t="str">
        <f t="shared" si="1"/>
        <v>"key_r":"R",</v>
      </c>
    </row>
    <row r="54" spans="1:12" x14ac:dyDescent="0.3">
      <c r="A54" t="s">
        <v>555</v>
      </c>
      <c r="B54" t="s">
        <v>243</v>
      </c>
      <c r="C54" t="s">
        <v>243</v>
      </c>
      <c r="K54" t="str">
        <f t="shared" si="0"/>
        <v>"key_s":"S",</v>
      </c>
      <c r="L54" t="str">
        <f t="shared" si="1"/>
        <v>"key_s":"S",</v>
      </c>
    </row>
    <row r="55" spans="1:12" x14ac:dyDescent="0.3">
      <c r="A55" t="s">
        <v>556</v>
      </c>
      <c r="B55" t="s">
        <v>262</v>
      </c>
      <c r="C55" t="s">
        <v>262</v>
      </c>
      <c r="K55" t="str">
        <f t="shared" si="0"/>
        <v>"key_t":"T",</v>
      </c>
      <c r="L55" t="str">
        <f t="shared" si="1"/>
        <v>"key_t":"T",</v>
      </c>
    </row>
    <row r="56" spans="1:12" x14ac:dyDescent="0.3">
      <c r="A56" t="s">
        <v>557</v>
      </c>
      <c r="B56" t="s">
        <v>249</v>
      </c>
      <c r="C56" t="s">
        <v>249</v>
      </c>
      <c r="K56" t="str">
        <f t="shared" si="0"/>
        <v>"key_u":"U",</v>
      </c>
      <c r="L56" t="str">
        <f t="shared" si="1"/>
        <v>"key_u":"U",</v>
      </c>
    </row>
    <row r="57" spans="1:12" x14ac:dyDescent="0.3">
      <c r="A57" t="s">
        <v>558</v>
      </c>
      <c r="B57" t="s">
        <v>257</v>
      </c>
      <c r="C57" t="s">
        <v>257</v>
      </c>
      <c r="K57" t="str">
        <f t="shared" si="0"/>
        <v>"key_v":"V",</v>
      </c>
      <c r="L57" t="str">
        <f t="shared" si="1"/>
        <v>"key_v":"V",</v>
      </c>
    </row>
    <row r="58" spans="1:12" x14ac:dyDescent="0.3">
      <c r="A58" t="s">
        <v>559</v>
      </c>
      <c r="B58" t="s">
        <v>266</v>
      </c>
      <c r="C58" t="s">
        <v>266</v>
      </c>
      <c r="K58" t="str">
        <f t="shared" si="0"/>
        <v>"key_w":"W",</v>
      </c>
      <c r="L58" t="str">
        <f t="shared" si="1"/>
        <v>"key_w":"W",</v>
      </c>
    </row>
    <row r="59" spans="1:12" x14ac:dyDescent="0.3">
      <c r="A59" t="s">
        <v>560</v>
      </c>
      <c r="B59" t="s">
        <v>256</v>
      </c>
      <c r="C59" t="s">
        <v>256</v>
      </c>
      <c r="K59" t="str">
        <f t="shared" si="0"/>
        <v>"key_x":"X",</v>
      </c>
      <c r="L59" t="str">
        <f t="shared" si="1"/>
        <v>"key_x":"X",</v>
      </c>
    </row>
    <row r="60" spans="1:12" x14ac:dyDescent="0.3">
      <c r="A60" t="s">
        <v>561</v>
      </c>
      <c r="B60" t="s">
        <v>263</v>
      </c>
      <c r="C60" t="s">
        <v>263</v>
      </c>
      <c r="K60" t="str">
        <f t="shared" si="0"/>
        <v>"key_y":"Y",</v>
      </c>
      <c r="L60" t="str">
        <f t="shared" si="1"/>
        <v>"key_y":"Y",</v>
      </c>
    </row>
    <row r="61" spans="1:12" x14ac:dyDescent="0.3">
      <c r="A61" t="s">
        <v>562</v>
      </c>
      <c r="B61" t="s">
        <v>258</v>
      </c>
      <c r="C61" t="s">
        <v>258</v>
      </c>
      <c r="K61" t="str">
        <f t="shared" si="0"/>
        <v>"key_z":"Z",</v>
      </c>
      <c r="L61" t="str">
        <f t="shared" si="1"/>
        <v>"key_z":"Z",</v>
      </c>
    </row>
    <row r="62" spans="1:12" x14ac:dyDescent="0.3">
      <c r="A62" t="s">
        <v>563</v>
      </c>
      <c r="B62" t="s">
        <v>662</v>
      </c>
      <c r="C62" t="s">
        <v>662</v>
      </c>
      <c r="K62" t="str">
        <f t="shared" si="0"/>
        <v>"key_left_win":"Left ⊞",</v>
      </c>
      <c r="L62" t="str">
        <f t="shared" si="1"/>
        <v>"key_left_win":"Left ⊞",</v>
      </c>
    </row>
    <row r="63" spans="1:12" x14ac:dyDescent="0.3">
      <c r="A63" t="s">
        <v>564</v>
      </c>
      <c r="B63" t="s">
        <v>663</v>
      </c>
      <c r="C63" t="s">
        <v>663</v>
      </c>
      <c r="K63" t="str">
        <f t="shared" si="0"/>
        <v>"key_right_win":"Right ⊞",</v>
      </c>
      <c r="L63" t="str">
        <f t="shared" si="1"/>
        <v>"key_right_win":"Right ⊞",</v>
      </c>
    </row>
    <row r="64" spans="1:12" x14ac:dyDescent="0.3">
      <c r="A64" t="s">
        <v>565</v>
      </c>
      <c r="B64" t="s">
        <v>613</v>
      </c>
      <c r="C64" t="s">
        <v>613</v>
      </c>
      <c r="K64" t="str">
        <f t="shared" si="0"/>
        <v>"key_select":"Select",</v>
      </c>
      <c r="L64" t="str">
        <f t="shared" si="1"/>
        <v>"key_select":"Select",</v>
      </c>
    </row>
    <row r="65" spans="1:12" x14ac:dyDescent="0.3">
      <c r="A65" t="s">
        <v>566</v>
      </c>
      <c r="B65" t="s">
        <v>633</v>
      </c>
      <c r="C65" t="s">
        <v>633</v>
      </c>
      <c r="K65" t="str">
        <f t="shared" si="0"/>
        <v>"key_num_0":"Num 0",</v>
      </c>
      <c r="L65" t="str">
        <f t="shared" si="1"/>
        <v>"key_num_0":"Num 0",</v>
      </c>
    </row>
    <row r="66" spans="1:12" x14ac:dyDescent="0.3">
      <c r="A66" t="s">
        <v>567</v>
      </c>
      <c r="B66" t="s">
        <v>634</v>
      </c>
      <c r="C66" t="s">
        <v>634</v>
      </c>
      <c r="K66" t="str">
        <f t="shared" si="0"/>
        <v>"key_num_1":"Num 1",</v>
      </c>
      <c r="L66" t="str">
        <f t="shared" si="1"/>
        <v>"key_num_1":"Num 1",</v>
      </c>
    </row>
    <row r="67" spans="1:12" x14ac:dyDescent="0.3">
      <c r="A67" t="s">
        <v>568</v>
      </c>
      <c r="B67" t="s">
        <v>635</v>
      </c>
      <c r="C67" t="s">
        <v>635</v>
      </c>
      <c r="K67" t="str">
        <f t="shared" ref="K67:K126" si="2">IF(ISBLANK($A67),"",""""&amp;$A67&amp;""":"""&amp;B67&amp;""""&amp;IF(ISBLANK(A68),"}",","))</f>
        <v>"key_num_2":"Num 2",</v>
      </c>
      <c r="L67" t="str">
        <f t="shared" ref="L67:L126" si="3">IF(ISBLANK($A67),"",""""&amp;$A67&amp;""":"""&amp;C67&amp;""""&amp;IF(ISBLANK(B68),"}",","))</f>
        <v>"key_num_2":"Num 2",</v>
      </c>
    </row>
    <row r="68" spans="1:12" x14ac:dyDescent="0.3">
      <c r="A68" t="s">
        <v>569</v>
      </c>
      <c r="B68" t="s">
        <v>636</v>
      </c>
      <c r="C68" t="s">
        <v>636</v>
      </c>
      <c r="K68" t="str">
        <f t="shared" si="2"/>
        <v>"key_num_3":"Num 3",</v>
      </c>
      <c r="L68" t="str">
        <f t="shared" si="3"/>
        <v>"key_num_3":"Num 3",</v>
      </c>
    </row>
    <row r="69" spans="1:12" x14ac:dyDescent="0.3">
      <c r="A69" t="s">
        <v>570</v>
      </c>
      <c r="B69" t="s">
        <v>637</v>
      </c>
      <c r="C69" t="s">
        <v>637</v>
      </c>
      <c r="K69" t="str">
        <f t="shared" si="2"/>
        <v>"key_num_4":"Num 4",</v>
      </c>
      <c r="L69" t="str">
        <f t="shared" si="3"/>
        <v>"key_num_4":"Num 4",</v>
      </c>
    </row>
    <row r="70" spans="1:12" x14ac:dyDescent="0.3">
      <c r="A70" t="s">
        <v>571</v>
      </c>
      <c r="B70" t="s">
        <v>638</v>
      </c>
      <c r="C70" t="s">
        <v>638</v>
      </c>
      <c r="K70" t="str">
        <f t="shared" si="2"/>
        <v>"key_num_5":"Num 5",</v>
      </c>
      <c r="L70" t="str">
        <f t="shared" si="3"/>
        <v>"key_num_5":"Num 5",</v>
      </c>
    </row>
    <row r="71" spans="1:12" x14ac:dyDescent="0.3">
      <c r="A71" t="s">
        <v>572</v>
      </c>
      <c r="B71" t="s">
        <v>639</v>
      </c>
      <c r="C71" t="s">
        <v>639</v>
      </c>
      <c r="K71" t="str">
        <f t="shared" si="2"/>
        <v>"key_num_6":"Num 6",</v>
      </c>
      <c r="L71" t="str">
        <f t="shared" si="3"/>
        <v>"key_num_6":"Num 6",</v>
      </c>
    </row>
    <row r="72" spans="1:12" x14ac:dyDescent="0.3">
      <c r="A72" t="s">
        <v>573</v>
      </c>
      <c r="B72" t="s">
        <v>640</v>
      </c>
      <c r="C72" t="s">
        <v>640</v>
      </c>
      <c r="K72" t="str">
        <f t="shared" si="2"/>
        <v>"key_num_7":"Num 7",</v>
      </c>
      <c r="L72" t="str">
        <f t="shared" si="3"/>
        <v>"key_num_7":"Num 7",</v>
      </c>
    </row>
    <row r="73" spans="1:12" x14ac:dyDescent="0.3">
      <c r="A73" t="s">
        <v>574</v>
      </c>
      <c r="B73" t="s">
        <v>641</v>
      </c>
      <c r="C73" t="s">
        <v>641</v>
      </c>
      <c r="K73" t="str">
        <f t="shared" si="2"/>
        <v>"key_num_8":"Num 8",</v>
      </c>
      <c r="L73" t="str">
        <f t="shared" si="3"/>
        <v>"key_num_8":"Num 8",</v>
      </c>
    </row>
    <row r="74" spans="1:12" x14ac:dyDescent="0.3">
      <c r="A74" t="s">
        <v>575</v>
      </c>
      <c r="B74" t="s">
        <v>642</v>
      </c>
      <c r="C74" t="s">
        <v>642</v>
      </c>
      <c r="K74" t="str">
        <f t="shared" si="2"/>
        <v>"key_num_9":"Num 9",</v>
      </c>
      <c r="L74" t="str">
        <f t="shared" si="3"/>
        <v>"key_num_9":"Num 9",</v>
      </c>
    </row>
    <row r="75" spans="1:12" x14ac:dyDescent="0.3">
      <c r="A75" t="s">
        <v>576</v>
      </c>
      <c r="B75" t="s">
        <v>657</v>
      </c>
      <c r="C75" t="s">
        <v>657</v>
      </c>
      <c r="K75" t="str">
        <f t="shared" si="2"/>
        <v>"key_mul":"Num *",</v>
      </c>
      <c r="L75" t="str">
        <f t="shared" si="3"/>
        <v>"key_mul":"Num *",</v>
      </c>
    </row>
    <row r="76" spans="1:12" x14ac:dyDescent="0.3">
      <c r="A76" t="s">
        <v>577</v>
      </c>
      <c r="B76" t="s">
        <v>658</v>
      </c>
      <c r="C76" t="s">
        <v>658</v>
      </c>
      <c r="K76" t="str">
        <f t="shared" si="2"/>
        <v>"key_add":"Num +",</v>
      </c>
      <c r="L76" t="str">
        <f t="shared" si="3"/>
        <v>"key_add":"Num +",</v>
      </c>
    </row>
    <row r="77" spans="1:12" x14ac:dyDescent="0.3">
      <c r="A77" t="s">
        <v>578</v>
      </c>
      <c r="B77" t="s">
        <v>659</v>
      </c>
      <c r="C77" t="s">
        <v>659</v>
      </c>
      <c r="K77" t="str">
        <f t="shared" si="2"/>
        <v>"key_sub":"Num -",</v>
      </c>
      <c r="L77" t="str">
        <f t="shared" si="3"/>
        <v>"key_sub":"Num -",</v>
      </c>
    </row>
    <row r="78" spans="1:12" x14ac:dyDescent="0.3">
      <c r="A78" t="s">
        <v>579</v>
      </c>
      <c r="B78" t="s">
        <v>660</v>
      </c>
      <c r="C78" t="s">
        <v>660</v>
      </c>
      <c r="K78" t="str">
        <f t="shared" si="2"/>
        <v>"key_point":"Num .",</v>
      </c>
      <c r="L78" t="str">
        <f t="shared" si="3"/>
        <v>"key_point":"Num .",</v>
      </c>
    </row>
    <row r="79" spans="1:12" x14ac:dyDescent="0.3">
      <c r="A79" t="s">
        <v>580</v>
      </c>
      <c r="B79" t="s">
        <v>661</v>
      </c>
      <c r="C79" t="s">
        <v>661</v>
      </c>
      <c r="K79" t="str">
        <f t="shared" si="2"/>
        <v>"key_div":"Num /",</v>
      </c>
      <c r="L79" t="str">
        <f t="shared" si="3"/>
        <v>"key_div":"Num /",</v>
      </c>
    </row>
    <row r="80" spans="1:12" x14ac:dyDescent="0.3">
      <c r="A80" t="s">
        <v>581</v>
      </c>
      <c r="B80" t="s">
        <v>614</v>
      </c>
      <c r="C80" t="s">
        <v>614</v>
      </c>
      <c r="K80" t="str">
        <f t="shared" si="2"/>
        <v>"key_f1":"F1",</v>
      </c>
      <c r="L80" t="str">
        <f t="shared" si="3"/>
        <v>"key_f1":"F1",</v>
      </c>
    </row>
    <row r="81" spans="1:12" x14ac:dyDescent="0.3">
      <c r="A81" t="s">
        <v>582</v>
      </c>
      <c r="B81" t="s">
        <v>615</v>
      </c>
      <c r="C81" t="s">
        <v>615</v>
      </c>
      <c r="K81" t="str">
        <f t="shared" si="2"/>
        <v>"key_f2":"F2",</v>
      </c>
      <c r="L81" t="str">
        <f t="shared" si="3"/>
        <v>"key_f2":"F2",</v>
      </c>
    </row>
    <row r="82" spans="1:12" x14ac:dyDescent="0.3">
      <c r="A82" t="s">
        <v>583</v>
      </c>
      <c r="B82" t="s">
        <v>616</v>
      </c>
      <c r="C82" t="s">
        <v>616</v>
      </c>
      <c r="K82" t="str">
        <f t="shared" si="2"/>
        <v>"key_f3":"F3",</v>
      </c>
      <c r="L82" t="str">
        <f t="shared" si="3"/>
        <v>"key_f3":"F3",</v>
      </c>
    </row>
    <row r="83" spans="1:12" x14ac:dyDescent="0.3">
      <c r="A83" t="s">
        <v>584</v>
      </c>
      <c r="B83" t="s">
        <v>617</v>
      </c>
      <c r="C83" t="s">
        <v>617</v>
      </c>
      <c r="K83" t="str">
        <f t="shared" si="2"/>
        <v>"key_f4":"F4",</v>
      </c>
      <c r="L83" t="str">
        <f t="shared" si="3"/>
        <v>"key_f4":"F4",</v>
      </c>
    </row>
    <row r="84" spans="1:12" x14ac:dyDescent="0.3">
      <c r="A84" t="s">
        <v>585</v>
      </c>
      <c r="B84" t="s">
        <v>618</v>
      </c>
      <c r="C84" t="s">
        <v>618</v>
      </c>
      <c r="K84" t="str">
        <f t="shared" si="2"/>
        <v>"key_f5":"F5",</v>
      </c>
      <c r="L84" t="str">
        <f t="shared" si="3"/>
        <v>"key_f5":"F5",</v>
      </c>
    </row>
    <row r="85" spans="1:12" x14ac:dyDescent="0.3">
      <c r="A85" t="s">
        <v>586</v>
      </c>
      <c r="B85" t="s">
        <v>619</v>
      </c>
      <c r="C85" t="s">
        <v>619</v>
      </c>
      <c r="K85" t="str">
        <f t="shared" si="2"/>
        <v>"key_f6":"F6",</v>
      </c>
      <c r="L85" t="str">
        <f t="shared" si="3"/>
        <v>"key_f6":"F6",</v>
      </c>
    </row>
    <row r="86" spans="1:12" x14ac:dyDescent="0.3">
      <c r="A86" t="s">
        <v>587</v>
      </c>
      <c r="B86" t="s">
        <v>620</v>
      </c>
      <c r="C86" t="s">
        <v>620</v>
      </c>
      <c r="K86" t="str">
        <f t="shared" si="2"/>
        <v>"key_f7":"F7",</v>
      </c>
      <c r="L86" t="str">
        <f t="shared" si="3"/>
        <v>"key_f7":"F7",</v>
      </c>
    </row>
    <row r="87" spans="1:12" x14ac:dyDescent="0.3">
      <c r="A87" t="s">
        <v>588</v>
      </c>
      <c r="B87" t="s">
        <v>621</v>
      </c>
      <c r="C87" t="s">
        <v>621</v>
      </c>
      <c r="K87" t="str">
        <f t="shared" si="2"/>
        <v>"key_f8":"F8",</v>
      </c>
      <c r="L87" t="str">
        <f t="shared" si="3"/>
        <v>"key_f8":"F8",</v>
      </c>
    </row>
    <row r="88" spans="1:12" x14ac:dyDescent="0.3">
      <c r="A88" t="s">
        <v>589</v>
      </c>
      <c r="B88" t="s">
        <v>622</v>
      </c>
      <c r="C88" t="s">
        <v>622</v>
      </c>
      <c r="K88" t="str">
        <f t="shared" si="2"/>
        <v>"key_f9":"F9",</v>
      </c>
      <c r="L88" t="str">
        <f t="shared" si="3"/>
        <v>"key_f9":"F9",</v>
      </c>
    </row>
    <row r="89" spans="1:12" x14ac:dyDescent="0.3">
      <c r="A89" t="s">
        <v>590</v>
      </c>
      <c r="B89" t="s">
        <v>623</v>
      </c>
      <c r="C89" t="s">
        <v>623</v>
      </c>
      <c r="K89" t="str">
        <f t="shared" si="2"/>
        <v>"key_f10":"F10",</v>
      </c>
      <c r="L89" t="str">
        <f t="shared" si="3"/>
        <v>"key_f10":"F10",</v>
      </c>
    </row>
    <row r="90" spans="1:12" x14ac:dyDescent="0.3">
      <c r="A90" t="s">
        <v>591</v>
      </c>
      <c r="B90" t="s">
        <v>624</v>
      </c>
      <c r="C90" t="s">
        <v>624</v>
      </c>
      <c r="K90" t="str">
        <f t="shared" si="2"/>
        <v>"key_f11":"F11",</v>
      </c>
      <c r="L90" t="str">
        <f t="shared" si="3"/>
        <v>"key_f11":"F11",</v>
      </c>
    </row>
    <row r="91" spans="1:12" x14ac:dyDescent="0.3">
      <c r="A91" t="s">
        <v>592</v>
      </c>
      <c r="B91" t="s">
        <v>625</v>
      </c>
      <c r="C91" t="s">
        <v>625</v>
      </c>
      <c r="K91" t="str">
        <f t="shared" si="2"/>
        <v>"key_f12":"F12",</v>
      </c>
      <c r="L91" t="str">
        <f t="shared" si="3"/>
        <v>"key_f12":"F12",</v>
      </c>
    </row>
    <row r="92" spans="1:12" x14ac:dyDescent="0.3">
      <c r="A92" t="s">
        <v>593</v>
      </c>
      <c r="B92" t="s">
        <v>655</v>
      </c>
      <c r="C92" t="s">
        <v>655</v>
      </c>
      <c r="K92" t="str">
        <f t="shared" si="2"/>
        <v>"key_num_lock":"Num",</v>
      </c>
      <c r="L92" t="str">
        <f t="shared" si="3"/>
        <v>"key_num_lock":"Num",</v>
      </c>
    </row>
    <row r="93" spans="1:12" x14ac:dyDescent="0.3">
      <c r="A93" t="s">
        <v>594</v>
      </c>
      <c r="B93" t="s">
        <v>656</v>
      </c>
      <c r="C93" t="s">
        <v>656</v>
      </c>
      <c r="K93" t="str">
        <f t="shared" si="2"/>
        <v>"key_scroll_lock":"Scroll",</v>
      </c>
      <c r="L93" t="str">
        <f t="shared" si="3"/>
        <v>"key_scroll_lock":"Scroll",</v>
      </c>
    </row>
    <row r="94" spans="1:12" x14ac:dyDescent="0.3">
      <c r="A94" t="s">
        <v>595</v>
      </c>
      <c r="B94" t="s">
        <v>644</v>
      </c>
      <c r="C94" t="s">
        <v>644</v>
      </c>
      <c r="K94" t="str">
        <f t="shared" si="2"/>
        <v>"key_semi_colon":";",</v>
      </c>
      <c r="L94" t="str">
        <f t="shared" si="3"/>
        <v>"key_semi_colon":";",</v>
      </c>
    </row>
    <row r="95" spans="1:12" x14ac:dyDescent="0.3">
      <c r="A95" t="s">
        <v>596</v>
      </c>
      <c r="B95" t="s">
        <v>645</v>
      </c>
      <c r="C95" t="s">
        <v>645</v>
      </c>
      <c r="K95" t="str">
        <f t="shared" si="2"/>
        <v>"key_equal_sign":"=",</v>
      </c>
      <c r="L95" t="str">
        <f t="shared" si="3"/>
        <v>"key_equal_sign":"=",</v>
      </c>
    </row>
    <row r="96" spans="1:12" x14ac:dyDescent="0.3">
      <c r="A96" t="s">
        <v>643</v>
      </c>
      <c r="B96" t="s">
        <v>646</v>
      </c>
      <c r="C96" t="s">
        <v>646</v>
      </c>
      <c r="K96" t="str">
        <f t="shared" si="2"/>
        <v>"key_comma":",",</v>
      </c>
      <c r="L96" t="str">
        <f t="shared" si="3"/>
        <v>"key_comma":",",</v>
      </c>
    </row>
    <row r="97" spans="1:12" x14ac:dyDescent="0.3">
      <c r="A97" t="s">
        <v>647</v>
      </c>
      <c r="B97" t="s">
        <v>260</v>
      </c>
      <c r="C97" t="s">
        <v>260</v>
      </c>
      <c r="K97" t="str">
        <f t="shared" si="2"/>
        <v>"key_dash":"-",</v>
      </c>
      <c r="L97" t="str">
        <f t="shared" si="3"/>
        <v>"key_dash":"-",</v>
      </c>
    </row>
    <row r="98" spans="1:12" x14ac:dyDescent="0.3">
      <c r="A98" t="s">
        <v>648</v>
      </c>
      <c r="B98" t="s">
        <v>649</v>
      </c>
      <c r="C98" t="s">
        <v>649</v>
      </c>
      <c r="K98" t="str">
        <f t="shared" si="2"/>
        <v>"key_period":".",</v>
      </c>
      <c r="L98" t="str">
        <f t="shared" si="3"/>
        <v>"key_period":".",</v>
      </c>
    </row>
    <row r="99" spans="1:12" x14ac:dyDescent="0.3">
      <c r="A99" t="s">
        <v>597</v>
      </c>
      <c r="B99" s="1" t="s">
        <v>650</v>
      </c>
      <c r="C99" s="1" t="s">
        <v>650</v>
      </c>
      <c r="K99" t="str">
        <f t="shared" si="2"/>
        <v>"key_forward_slash":"/",</v>
      </c>
      <c r="L99" t="str">
        <f t="shared" si="3"/>
        <v>"key_forward_slash":"/",</v>
      </c>
    </row>
    <row r="100" spans="1:12" x14ac:dyDescent="0.3">
      <c r="A100" t="s">
        <v>598</v>
      </c>
      <c r="B100" t="s">
        <v>651</v>
      </c>
      <c r="C100" t="s">
        <v>651</v>
      </c>
      <c r="K100" t="str">
        <f t="shared" si="2"/>
        <v>"key_grave_accent":"`",</v>
      </c>
      <c r="L100" t="str">
        <f t="shared" si="3"/>
        <v>"key_grave_accent":"`",</v>
      </c>
    </row>
    <row r="101" spans="1:12" x14ac:dyDescent="0.3">
      <c r="A101" t="s">
        <v>599</v>
      </c>
      <c r="B101" t="s">
        <v>652</v>
      </c>
      <c r="C101" t="s">
        <v>652</v>
      </c>
      <c r="K101" t="str">
        <f t="shared" si="2"/>
        <v>"key_open_bracket":"[",</v>
      </c>
      <c r="L101" t="str">
        <f t="shared" si="3"/>
        <v>"key_open_bracket":"[",</v>
      </c>
    </row>
    <row r="102" spans="1:12" x14ac:dyDescent="0.3">
      <c r="A102" t="s">
        <v>600</v>
      </c>
      <c r="B102" s="8" t="s">
        <v>664</v>
      </c>
      <c r="C102" s="8" t="s">
        <v>664</v>
      </c>
      <c r="K102" t="str">
        <f t="shared" si="2"/>
        <v>"key_back_slash":"\\",</v>
      </c>
      <c r="L102" t="str">
        <f t="shared" si="3"/>
        <v>"key_back_slash":"\\",</v>
      </c>
    </row>
    <row r="103" spans="1:12" x14ac:dyDescent="0.3">
      <c r="A103" t="s">
        <v>601</v>
      </c>
      <c r="B103" t="s">
        <v>653</v>
      </c>
      <c r="C103" t="s">
        <v>653</v>
      </c>
      <c r="K103" t="str">
        <f t="shared" si="2"/>
        <v>"key_close_braket":"]",</v>
      </c>
      <c r="L103" t="str">
        <f t="shared" si="3"/>
        <v>"key_close_braket":"]",</v>
      </c>
    </row>
    <row r="104" spans="1:12" x14ac:dyDescent="0.3">
      <c r="A104" t="s">
        <v>602</v>
      </c>
      <c r="B104" s="1" t="s">
        <v>654</v>
      </c>
      <c r="C104" s="1" t="s">
        <v>654</v>
      </c>
      <c r="K104" t="str">
        <f t="shared" si="2"/>
        <v>"key_single_quote":"'",</v>
      </c>
      <c r="L104" t="str">
        <f t="shared" si="3"/>
        <v>"key_single_quote":"'",</v>
      </c>
    </row>
    <row r="105" spans="1:12" x14ac:dyDescent="0.3">
      <c r="A105" t="s">
        <v>682</v>
      </c>
      <c r="B105" t="s">
        <v>683</v>
      </c>
      <c r="C105" t="s">
        <v>684</v>
      </c>
      <c r="K105" t="str">
        <f t="shared" si="2"/>
        <v>"settings":"Settings",</v>
      </c>
      <c r="L105" t="str">
        <f t="shared" si="3"/>
        <v>"settings":"Configuraciones",</v>
      </c>
    </row>
    <row r="106" spans="1:12" x14ac:dyDescent="0.3">
      <c r="A106" t="s">
        <v>686</v>
      </c>
      <c r="B106" t="s">
        <v>685</v>
      </c>
      <c r="C106" t="s">
        <v>693</v>
      </c>
      <c r="K106" t="str">
        <f t="shared" si="2"/>
        <v>"theme":"Theme",</v>
      </c>
      <c r="L106" t="str">
        <f t="shared" si="3"/>
        <v>"theme":"Tema",</v>
      </c>
    </row>
    <row r="107" spans="1:12" x14ac:dyDescent="0.3">
      <c r="A107" t="s">
        <v>699</v>
      </c>
      <c r="B107" t="s">
        <v>687</v>
      </c>
      <c r="C107" t="s">
        <v>694</v>
      </c>
      <c r="K107" t="str">
        <f t="shared" si="2"/>
        <v>"theme-light":"Light mode",</v>
      </c>
      <c r="L107" t="str">
        <f t="shared" si="3"/>
        <v>"theme-light":"Modo de luz",</v>
      </c>
    </row>
    <row r="108" spans="1:12" x14ac:dyDescent="0.3">
      <c r="A108" t="s">
        <v>698</v>
      </c>
      <c r="B108" t="s">
        <v>688</v>
      </c>
      <c r="C108" t="s">
        <v>695</v>
      </c>
      <c r="K108" t="str">
        <f t="shared" si="2"/>
        <v>"theme-dark":"Dark mode",</v>
      </c>
      <c r="L108" t="str">
        <f t="shared" si="3"/>
        <v>"theme-dark":"Modo oscuro",</v>
      </c>
    </row>
    <row r="109" spans="1:12" x14ac:dyDescent="0.3">
      <c r="A109" t="s">
        <v>689</v>
      </c>
      <c r="B109" t="s">
        <v>690</v>
      </c>
      <c r="C109" t="s">
        <v>696</v>
      </c>
      <c r="K109" t="str">
        <f t="shared" si="2"/>
        <v>"language":"Language",</v>
      </c>
      <c r="L109" t="str">
        <f t="shared" si="3"/>
        <v>"language":"Idioma",</v>
      </c>
    </row>
    <row r="110" spans="1:12" x14ac:dyDescent="0.3">
      <c r="A110" t="s">
        <v>329</v>
      </c>
      <c r="B110" t="s">
        <v>691</v>
      </c>
      <c r="C110" t="s">
        <v>697</v>
      </c>
      <c r="K110" t="str">
        <f t="shared" si="2"/>
        <v>"en-us":"English (United states)",</v>
      </c>
      <c r="L110" t="str">
        <f t="shared" si="3"/>
        <v>"en-us":"Inglés Estados Unidos)",</v>
      </c>
    </row>
    <row r="111" spans="1:12" x14ac:dyDescent="0.3">
      <c r="A111" t="s">
        <v>330</v>
      </c>
      <c r="B111" t="s">
        <v>692</v>
      </c>
      <c r="C111" t="s">
        <v>692</v>
      </c>
      <c r="K111" t="str">
        <f t="shared" si="2"/>
        <v>"es-mx":"Español (México)",</v>
      </c>
      <c r="L111" t="str">
        <f t="shared" si="3"/>
        <v>"es-mx":"Español (México)",</v>
      </c>
    </row>
    <row r="112" spans="1:12" x14ac:dyDescent="0.3">
      <c r="A112" t="s">
        <v>721</v>
      </c>
      <c r="B112" t="s">
        <v>722</v>
      </c>
      <c r="C112" t="s">
        <v>723</v>
      </c>
      <c r="K112" t="str">
        <f t="shared" si="2"/>
        <v>"sblocks":"Search blocks…",</v>
      </c>
      <c r="L112" t="str">
        <f t="shared" si="3"/>
        <v>"sblocks":"Buscar bloques…",</v>
      </c>
    </row>
    <row r="113" spans="1:12" x14ac:dyDescent="0.3">
      <c r="A113" t="s">
        <v>732</v>
      </c>
      <c r="B113" t="s">
        <v>733</v>
      </c>
      <c r="C113" t="s">
        <v>734</v>
      </c>
      <c r="K113" t="str">
        <f t="shared" si="2"/>
        <v>"sResults":"Search results",</v>
      </c>
      <c r="L113" t="str">
        <f t="shared" si="3"/>
        <v>"sResults":"Resultados de la búsqueda",</v>
      </c>
    </row>
    <row r="114" spans="1:12" x14ac:dyDescent="0.3">
      <c r="A114" t="s">
        <v>735</v>
      </c>
      <c r="B114" t="s">
        <v>736</v>
      </c>
      <c r="C114" t="s">
        <v>737</v>
      </c>
      <c r="K114" t="str">
        <f t="shared" si="2"/>
        <v>"sResDesc":"Blocks matching the search query.",</v>
      </c>
      <c r="L114" t="str">
        <f t="shared" si="3"/>
        <v>"sResDesc":"Bloques que coinciden con la consulta de búsqueda.",</v>
      </c>
    </row>
    <row r="115" spans="1:12" x14ac:dyDescent="0.3">
      <c r="A115" t="s">
        <v>738</v>
      </c>
      <c r="B115" t="s">
        <v>748</v>
      </c>
      <c r="C115" t="s">
        <v>745</v>
      </c>
      <c r="K115" t="str">
        <f t="shared" si="2"/>
        <v>"gridLines":"Gridlines",</v>
      </c>
      <c r="L115" t="str">
        <f t="shared" si="3"/>
        <v>"gridLines":"Líneas de cuadrícula",</v>
      </c>
    </row>
    <row r="116" spans="1:12" x14ac:dyDescent="0.3">
      <c r="A116" t="s">
        <v>739</v>
      </c>
      <c r="B116" t="s">
        <v>744</v>
      </c>
      <c r="C116" t="s">
        <v>746</v>
      </c>
      <c r="K116" t="str">
        <f t="shared" si="2"/>
        <v>"gLinesMinor":"Minor",</v>
      </c>
      <c r="L116" t="str">
        <f t="shared" si="3"/>
        <v>"gLinesMinor":"Menor",</v>
      </c>
    </row>
    <row r="117" spans="1:12" x14ac:dyDescent="0.3">
      <c r="A117" t="s">
        <v>740</v>
      </c>
      <c r="B117" t="s">
        <v>742</v>
      </c>
      <c r="C117" t="s">
        <v>747</v>
      </c>
      <c r="K117" t="str">
        <f t="shared" si="2"/>
        <v>"gLinesMajor":"Major",</v>
      </c>
      <c r="L117" t="str">
        <f t="shared" si="3"/>
        <v>"gLinesMajor":"Mayor",</v>
      </c>
    </row>
    <row r="118" spans="1:12" x14ac:dyDescent="0.3">
      <c r="A118" t="s">
        <v>741</v>
      </c>
      <c r="B118" t="s">
        <v>743</v>
      </c>
      <c r="C118" t="s">
        <v>743</v>
      </c>
      <c r="K118" t="str">
        <f t="shared" si="2"/>
        <v>"gLinesMega":"Mega",</v>
      </c>
      <c r="L118" t="str">
        <f t="shared" si="3"/>
        <v>"gLinesMega":"Mega",</v>
      </c>
    </row>
    <row r="119" spans="1:12" x14ac:dyDescent="0.3">
      <c r="A119" t="s">
        <v>749</v>
      </c>
      <c r="B119" t="s">
        <v>750</v>
      </c>
      <c r="C119" t="s">
        <v>751</v>
      </c>
      <c r="K119" t="str">
        <f t="shared" si="2"/>
        <v>"navi":"Navigation",</v>
      </c>
      <c r="L119" t="str">
        <f t="shared" si="3"/>
        <v>"navi":"Navegación",</v>
      </c>
    </row>
    <row r="120" spans="1:12" x14ac:dyDescent="0.3">
      <c r="A120" t="s">
        <v>752</v>
      </c>
      <c r="B120" t="s">
        <v>754</v>
      </c>
      <c r="C120" t="s">
        <v>760</v>
      </c>
      <c r="K120" t="str">
        <f t="shared" si="2"/>
        <v>"gridSize":"Grid size",</v>
      </c>
      <c r="L120" t="str">
        <f t="shared" si="3"/>
        <v>"gridSize":"Tamaño de la cuadrícula",</v>
      </c>
    </row>
    <row r="121" spans="1:12" x14ac:dyDescent="0.3">
      <c r="A121" t="s">
        <v>753</v>
      </c>
      <c r="B121" t="s">
        <v>755</v>
      </c>
      <c r="C121" t="s">
        <v>761</v>
      </c>
      <c r="K121" t="str">
        <f t="shared" si="2"/>
        <v>"showOutline":"Show outline",</v>
      </c>
      <c r="L121" t="str">
        <f t="shared" si="3"/>
        <v>"showOutline":"Mostrar esquema",</v>
      </c>
    </row>
    <row r="122" spans="1:12" x14ac:dyDescent="0.3">
      <c r="A122" t="s">
        <v>759</v>
      </c>
      <c r="B122" t="s">
        <v>756</v>
      </c>
      <c r="C122" t="s">
        <v>762</v>
      </c>
      <c r="K122" t="str">
        <f t="shared" si="2"/>
        <v>"guidesEnabled":"Enable guides",</v>
      </c>
      <c r="L122" t="str">
        <f t="shared" si="3"/>
        <v>"guidesEnabled":"Habilitar guías",</v>
      </c>
    </row>
    <row r="123" spans="1:12" x14ac:dyDescent="0.3">
      <c r="A123" t="s">
        <v>757</v>
      </c>
      <c r="B123" t="s">
        <v>758</v>
      </c>
      <c r="C123" t="s">
        <v>763</v>
      </c>
      <c r="K123" t="str">
        <f t="shared" si="2"/>
        <v>"oSettings":"Other settings",</v>
      </c>
      <c r="L123" t="str">
        <f t="shared" si="3"/>
        <v>"oSettings":"Otros ajustes",</v>
      </c>
    </row>
    <row r="124" spans="1:12" x14ac:dyDescent="0.3">
      <c r="A124" t="s">
        <v>767</v>
      </c>
      <c r="B124" t="s">
        <v>765</v>
      </c>
      <c r="C124" t="s">
        <v>772</v>
      </c>
      <c r="K124" t="str">
        <f t="shared" si="2"/>
        <v>"vManager":"Variable manager",</v>
      </c>
      <c r="L124" t="str">
        <f t="shared" si="3"/>
        <v>"vManager":"Administrador de variables",</v>
      </c>
    </row>
    <row r="125" spans="1:12" x14ac:dyDescent="0.3">
      <c r="A125" t="s">
        <v>782</v>
      </c>
      <c r="B125" t="s">
        <v>784</v>
      </c>
      <c r="C125" t="s">
        <v>786</v>
      </c>
      <c r="K125" t="str">
        <f t="shared" si="2"/>
        <v>"constants":"Constants",</v>
      </c>
      <c r="L125" t="str">
        <f t="shared" si="3"/>
        <v>"constants":"Constantes",</v>
      </c>
    </row>
    <row r="126" spans="1:12" x14ac:dyDescent="0.3">
      <c r="A126" t="s">
        <v>783</v>
      </c>
      <c r="B126" t="s">
        <v>785</v>
      </c>
      <c r="C126" t="s">
        <v>785</v>
      </c>
      <c r="K126" t="str">
        <f t="shared" si="2"/>
        <v>"variables":"Variables",</v>
      </c>
      <c r="L126" t="str">
        <f t="shared" si="3"/>
        <v>"variables":"Variables",</v>
      </c>
    </row>
    <row r="127" spans="1:12" x14ac:dyDescent="0.3">
      <c r="A127" t="s">
        <v>768</v>
      </c>
      <c r="B127" t="s">
        <v>770</v>
      </c>
      <c r="C127" t="s">
        <v>770</v>
      </c>
      <c r="K127" t="str">
        <f t="shared" ref="K127:K131" si="4">IF(ISBLANK($A127),"",""""&amp;$A127&amp;""":"""&amp;B127&amp;""""&amp;IF(ISBLANK(A128),"}",","))</f>
        <v>"var":"Variable",</v>
      </c>
      <c r="L127" t="str">
        <f t="shared" ref="L127:L131" si="5">IF(ISBLANK($A127),"",""""&amp;$A127&amp;""":"""&amp;C127&amp;""""&amp;IF(ISBLANK(B128),"}",","))</f>
        <v>"var":"Variable",</v>
      </c>
    </row>
    <row r="128" spans="1:12" x14ac:dyDescent="0.3">
      <c r="A128" t="s">
        <v>769</v>
      </c>
      <c r="B128" t="s">
        <v>771</v>
      </c>
      <c r="C128" t="s">
        <v>773</v>
      </c>
      <c r="K128" t="str">
        <f t="shared" si="4"/>
        <v>"value":"Value",</v>
      </c>
      <c r="L128" t="str">
        <f t="shared" si="5"/>
        <v>"value":"Valor",</v>
      </c>
    </row>
    <row r="129" spans="1:12" x14ac:dyDescent="0.3">
      <c r="A129" t="s">
        <v>774</v>
      </c>
      <c r="B129" t="s">
        <v>1629</v>
      </c>
      <c r="C129" t="s">
        <v>1630</v>
      </c>
      <c r="K129" t="str">
        <f t="shared" si="4"/>
        <v>"errSameBlkConn":"These two terminals are already connected",</v>
      </c>
      <c r="L129" t="str">
        <f t="shared" si="5"/>
        <v>"errSameBlkConn":"Estos dos terminales ya están conectados",</v>
      </c>
    </row>
    <row r="130" spans="1:12" x14ac:dyDescent="0.3">
      <c r="A130" t="s">
        <v>776</v>
      </c>
      <c r="B130" t="s">
        <v>1631</v>
      </c>
      <c r="C130" t="s">
        <v>1632</v>
      </c>
      <c r="K130" t="str">
        <f t="shared" si="4"/>
        <v>"errInpInpConn":"A source is already connected",</v>
      </c>
      <c r="L130" t="str">
        <f t="shared" si="5"/>
        <v>"errInpInpConn":"Una fuente ya está conectada",</v>
      </c>
    </row>
    <row r="131" spans="1:12" x14ac:dyDescent="0.3">
      <c r="A131" t="s">
        <v>775</v>
      </c>
      <c r="B131" t="s">
        <v>778</v>
      </c>
      <c r="C131" t="s">
        <v>780</v>
      </c>
      <c r="K131" t="str">
        <f t="shared" si="4"/>
        <v>"errOutOutConn":"Output cannot be connected to another output",</v>
      </c>
      <c r="L131" t="str">
        <f t="shared" si="5"/>
        <v>"errOutOutConn":"La salida no se puede conectar a otra salida",</v>
      </c>
    </row>
    <row r="132" spans="1:12" x14ac:dyDescent="0.3">
      <c r="A132" t="s">
        <v>777</v>
      </c>
      <c r="B132" t="s">
        <v>779</v>
      </c>
      <c r="C132" t="s">
        <v>781</v>
      </c>
      <c r="K132" t="str">
        <f t="shared" ref="K132:K163" si="6">IF(ISBLANK($A132),"",""""&amp;$A132&amp;""":"""&amp;B132&amp;""""&amp;IF(ISBLANK(A133),"}",","))</f>
        <v>"errOnlyOneInp":"Only one input can be connected per terminal",</v>
      </c>
      <c r="L132" t="str">
        <f t="shared" ref="L132:L163" si="7">IF(ISBLANK($A132),"",""""&amp;$A132&amp;""":"""&amp;C132&amp;""""&amp;IF(ISBLANK(B133),"}",","))</f>
        <v>"errOnlyOneInp":"Solo se puede conectar una entrada por terminal",</v>
      </c>
    </row>
    <row r="133" spans="1:12" x14ac:dyDescent="0.3">
      <c r="A133" t="s">
        <v>828</v>
      </c>
      <c r="B133" t="s">
        <v>829</v>
      </c>
      <c r="C133" t="s">
        <v>830</v>
      </c>
      <c r="K133" t="str">
        <f t="shared" si="6"/>
        <v>"errUblPlcBlock":"Unable to use this block. Please contact our support team.",</v>
      </c>
      <c r="L133" t="str">
        <f t="shared" si="7"/>
        <v>"errUblPlcBlock":"No se puede usar este bloque. Por favor contacte a nuestro equipo de soporte.",</v>
      </c>
    </row>
    <row r="134" spans="1:12" x14ac:dyDescent="0.3">
      <c r="A134" t="s">
        <v>788</v>
      </c>
      <c r="B134" t="s">
        <v>790</v>
      </c>
      <c r="C134" t="s">
        <v>791</v>
      </c>
      <c r="K134" t="str">
        <f t="shared" si="6"/>
        <v>"cPolicyText":"We use cookies to improve the performance.",</v>
      </c>
      <c r="L134" t="str">
        <f t="shared" si="7"/>
        <v>"cPolicyText":"Utilizamos cookies para mejorar el rendimiento.",</v>
      </c>
    </row>
    <row r="135" spans="1:12" x14ac:dyDescent="0.3">
      <c r="A135" t="s">
        <v>1930</v>
      </c>
      <c r="B135" t="s">
        <v>1935</v>
      </c>
      <c r="C135" t="s">
        <v>1934</v>
      </c>
      <c r="K135" t="str">
        <f>IF(ISBLANK($A135),"",""""&amp;$A135&amp;""":"""&amp;B135&amp;""""&amp;IF(ISBLANK(A137),"}",","))</f>
        <v>"pPLink":"Privacy Policy",</v>
      </c>
      <c r="L135" t="str">
        <f>IF(ISBLANK($A135),"",""""&amp;$A135&amp;""":"""&amp;C135&amp;""""&amp;IF(ISBLANK(B137),"}",","))</f>
        <v>"pPLink":"Política de privacidad",</v>
      </c>
    </row>
    <row r="136" spans="1:12" x14ac:dyDescent="0.3">
      <c r="A136" t="s">
        <v>1931</v>
      </c>
      <c r="B136" t="s">
        <v>1933</v>
      </c>
      <c r="C136" t="s">
        <v>1932</v>
      </c>
      <c r="K136" t="str">
        <f t="shared" ref="K136:L136" si="8">IF(ISBLANK($A136),"",""""&amp;$A136&amp;""":"""&amp;B136&amp;""""&amp;IF(ISBLANK(A138),"}",","))</f>
        <v>"tNCLink":"Terms and Conditions",</v>
      </c>
      <c r="L136" t="str">
        <f t="shared" si="8"/>
        <v>"tNCLink":"Términos y condiciones",</v>
      </c>
    </row>
    <row r="137" spans="1:12" x14ac:dyDescent="0.3">
      <c r="A137" t="s">
        <v>787</v>
      </c>
      <c r="B137" t="s">
        <v>789</v>
      </c>
      <c r="C137" t="s">
        <v>792</v>
      </c>
      <c r="K137" t="str">
        <f t="shared" ref="K137:L137" si="9">IF(ISBLANK($A137),"",""""&amp;$A137&amp;""":"""&amp;B137&amp;""""&amp;IF(ISBLANK(A139),"}",","))</f>
        <v>"accept":"Accept",</v>
      </c>
      <c r="L137" t="str">
        <f t="shared" si="9"/>
        <v>"accept":"Aceptar",</v>
      </c>
    </row>
    <row r="138" spans="1:12" x14ac:dyDescent="0.3">
      <c r="A138" t="s">
        <v>814</v>
      </c>
      <c r="B138" t="s">
        <v>815</v>
      </c>
      <c r="C138" t="s">
        <v>816</v>
      </c>
      <c r="K138" t="str">
        <f t="shared" si="6"/>
        <v>"aNewVar":"Add a new variable",</v>
      </c>
      <c r="L138" t="str">
        <f t="shared" si="7"/>
        <v>"aNewVar":"Agregar una nueva variable",</v>
      </c>
    </row>
    <row r="139" spans="1:12" x14ac:dyDescent="0.3">
      <c r="A139" t="s">
        <v>817</v>
      </c>
      <c r="B139" t="s">
        <v>819</v>
      </c>
      <c r="C139" t="s">
        <v>821</v>
      </c>
      <c r="K139" t="str">
        <f t="shared" si="6"/>
        <v>"save":"Save",</v>
      </c>
      <c r="L139" t="str">
        <f t="shared" si="7"/>
        <v>"save":"Guardar",</v>
      </c>
    </row>
    <row r="140" spans="1:12" x14ac:dyDescent="0.3">
      <c r="A140" t="s">
        <v>818</v>
      </c>
      <c r="B140" t="s">
        <v>820</v>
      </c>
      <c r="C140" t="s">
        <v>822</v>
      </c>
      <c r="K140" t="str">
        <f t="shared" si="6"/>
        <v>"cancel":"Cancel",</v>
      </c>
      <c r="L140" t="str">
        <f t="shared" si="7"/>
        <v>"cancel":"Cancelar",</v>
      </c>
    </row>
    <row r="141" spans="1:12" x14ac:dyDescent="0.3">
      <c r="A141" t="s">
        <v>831</v>
      </c>
      <c r="B141" t="s">
        <v>98</v>
      </c>
      <c r="C141" t="s">
        <v>832</v>
      </c>
      <c r="K141" t="str">
        <f t="shared" si="6"/>
        <v>"label":"Label",</v>
      </c>
      <c r="L141" t="str">
        <f t="shared" si="7"/>
        <v>"label":"Etiqueta",</v>
      </c>
    </row>
    <row r="142" spans="1:12" x14ac:dyDescent="0.3">
      <c r="A142" t="s">
        <v>835</v>
      </c>
      <c r="B142" t="s">
        <v>833</v>
      </c>
      <c r="C142" t="s">
        <v>837</v>
      </c>
      <c r="K142" t="str">
        <f t="shared" si="6"/>
        <v>"noOfIns":"Input terminals count",</v>
      </c>
      <c r="L142" t="str">
        <f t="shared" si="7"/>
        <v>"noOfIns":"Conteo de terminales de entrada",</v>
      </c>
    </row>
    <row r="143" spans="1:12" x14ac:dyDescent="0.3">
      <c r="A143" t="s">
        <v>834</v>
      </c>
      <c r="B143" t="s">
        <v>836</v>
      </c>
      <c r="C143" t="s">
        <v>838</v>
      </c>
      <c r="K143" t="str">
        <f t="shared" si="6"/>
        <v>"noOfOuts":"Output terminals count",</v>
      </c>
      <c r="L143" t="str">
        <f t="shared" si="7"/>
        <v>"noOfOuts":"Los terminales de salida cuentan",</v>
      </c>
    </row>
    <row r="144" spans="1:12" x14ac:dyDescent="0.3">
      <c r="A144" t="s">
        <v>839</v>
      </c>
      <c r="B144" t="s">
        <v>840</v>
      </c>
      <c r="C144" t="s">
        <v>841</v>
      </c>
      <c r="K144" t="str">
        <f t="shared" si="6"/>
        <v>"preview":"Preview",</v>
      </c>
      <c r="L144" t="str">
        <f t="shared" si="7"/>
        <v>"preview":"Vista previa",</v>
      </c>
    </row>
    <row r="145" spans="1:12" x14ac:dyDescent="0.3">
      <c r="A145" t="s">
        <v>842</v>
      </c>
      <c r="B145" t="s">
        <v>94</v>
      </c>
      <c r="C145" t="s">
        <v>851</v>
      </c>
      <c r="K145" t="str">
        <f t="shared" si="6"/>
        <v>"params":"Parameters",</v>
      </c>
      <c r="L145" t="str">
        <f t="shared" si="7"/>
        <v>"params":"Parámetros",</v>
      </c>
    </row>
    <row r="146" spans="1:12" x14ac:dyDescent="0.3">
      <c r="A146" t="s">
        <v>843</v>
      </c>
      <c r="B146" t="s">
        <v>844</v>
      </c>
      <c r="C146" t="s">
        <v>852</v>
      </c>
      <c r="K146" t="str">
        <f t="shared" si="6"/>
        <v>"functionality":"Functionality",</v>
      </c>
      <c r="L146" t="str">
        <f t="shared" si="7"/>
        <v>"functionality":"Funcionalidad",</v>
      </c>
    </row>
    <row r="147" spans="1:12" x14ac:dyDescent="0.3">
      <c r="A147" t="s">
        <v>845</v>
      </c>
      <c r="B147" t="s">
        <v>847</v>
      </c>
      <c r="C147" t="s">
        <v>853</v>
      </c>
      <c r="K147" t="str">
        <f t="shared" si="6"/>
        <v>"aChanges":"Apply changes",</v>
      </c>
      <c r="L147" t="str">
        <f t="shared" si="7"/>
        <v>"aChanges":"Aplicar los cambios",</v>
      </c>
    </row>
    <row r="148" spans="1:12" x14ac:dyDescent="0.3">
      <c r="A148" t="s">
        <v>846</v>
      </c>
      <c r="B148" t="s">
        <v>850</v>
      </c>
      <c r="C148" t="s">
        <v>854</v>
      </c>
      <c r="K148" t="str">
        <f t="shared" si="6"/>
        <v>"rChanges":"Reset Changes",</v>
      </c>
      <c r="L148" t="str">
        <f t="shared" si="7"/>
        <v>"rChanges":"Restablecer cambios",</v>
      </c>
    </row>
    <row r="149" spans="1:12" x14ac:dyDescent="0.3">
      <c r="A149" t="s">
        <v>848</v>
      </c>
      <c r="B149" t="s">
        <v>849</v>
      </c>
      <c r="C149" t="s">
        <v>855</v>
      </c>
      <c r="K149" t="str">
        <f t="shared" si="6"/>
        <v>"orientation":"Orientation",</v>
      </c>
      <c r="L149" t="str">
        <f t="shared" si="7"/>
        <v>"orientation":"Orientación",</v>
      </c>
    </row>
    <row r="150" spans="1:12" x14ac:dyDescent="0.3">
      <c r="A150" t="s">
        <v>857</v>
      </c>
      <c r="B150" t="s">
        <v>856</v>
      </c>
      <c r="C150" t="s">
        <v>858</v>
      </c>
      <c r="K150" t="str">
        <f t="shared" si="6"/>
        <v>"showLabels":"Show  labels",</v>
      </c>
      <c r="L150" t="str">
        <f t="shared" si="7"/>
        <v>"showLabels":"Mostrar etiquetas",</v>
      </c>
    </row>
    <row r="151" spans="1:12" x14ac:dyDescent="0.3">
      <c r="A151" t="s">
        <v>97</v>
      </c>
      <c r="B151" t="s">
        <v>88</v>
      </c>
      <c r="C151" t="s">
        <v>859</v>
      </c>
      <c r="K151" t="str">
        <f t="shared" si="6"/>
        <v>"name":"Name",</v>
      </c>
      <c r="L151" t="str">
        <f t="shared" si="7"/>
        <v>"name":"Nombre",</v>
      </c>
    </row>
    <row r="152" spans="1:12" x14ac:dyDescent="0.3">
      <c r="A152" t="s">
        <v>860</v>
      </c>
      <c r="B152" t="s">
        <v>861</v>
      </c>
      <c r="C152" t="s">
        <v>864</v>
      </c>
      <c r="K152" t="str">
        <f t="shared" si="6"/>
        <v>"errUnablGrping":"Unable to group the selected items",</v>
      </c>
      <c r="L152" t="str">
        <f t="shared" si="7"/>
        <v>"errUnablGrping":"No se pueden agrupar los elementos seleccionados",</v>
      </c>
    </row>
    <row r="153" spans="1:12" x14ac:dyDescent="0.3">
      <c r="A153" t="s">
        <v>862</v>
      </c>
      <c r="B153" t="s">
        <v>863</v>
      </c>
      <c r="C153" t="s">
        <v>865</v>
      </c>
      <c r="K153" t="str">
        <f t="shared" si="6"/>
        <v>"subModel":"Sub model",</v>
      </c>
      <c r="L153" t="str">
        <f t="shared" si="7"/>
        <v>"subModel":"Submodelo",</v>
      </c>
    </row>
    <row r="154" spans="1:12" x14ac:dyDescent="0.3">
      <c r="A154" t="s">
        <v>888</v>
      </c>
      <c r="B154" t="s">
        <v>892</v>
      </c>
      <c r="C154" t="s">
        <v>893</v>
      </c>
      <c r="K154" t="str">
        <f t="shared" si="6"/>
        <v>"enterFileName":"Enter a filename to save",</v>
      </c>
      <c r="L154" t="str">
        <f t="shared" si="7"/>
        <v>"enterFileName":"Ingrese un nombre de archivo para guardar",</v>
      </c>
    </row>
    <row r="155" spans="1:12" x14ac:dyDescent="0.3">
      <c r="A155" t="s">
        <v>889</v>
      </c>
      <c r="B155" t="s">
        <v>890</v>
      </c>
      <c r="C155" t="s">
        <v>891</v>
      </c>
      <c r="K155" t="str">
        <f t="shared" si="6"/>
        <v>"myUmkModel":"myUyamakModel",</v>
      </c>
      <c r="L155" t="str">
        <f t="shared" si="7"/>
        <v>"myUmkModel":"miModeloDeUyamak",</v>
      </c>
    </row>
    <row r="156" spans="1:12" x14ac:dyDescent="0.3">
      <c r="A156" t="s">
        <v>926</v>
      </c>
      <c r="B156" t="s">
        <v>938</v>
      </c>
      <c r="C156" t="s">
        <v>940</v>
      </c>
      <c r="K156" t="str">
        <f t="shared" si="6"/>
        <v>"rRealTime":"Run at real-time",</v>
      </c>
      <c r="L156" t="str">
        <f t="shared" si="7"/>
        <v>"rRealTime":"Corre en tiempo real",</v>
      </c>
    </row>
    <row r="157" spans="1:12" x14ac:dyDescent="0.3">
      <c r="A157" t="s">
        <v>927</v>
      </c>
      <c r="B157" t="s">
        <v>929</v>
      </c>
      <c r="C157" t="s">
        <v>946</v>
      </c>
      <c r="K157" t="str">
        <f t="shared" si="6"/>
        <v>"endTime":"End time in seconds (negative for &amp;infin;)",</v>
      </c>
      <c r="L157" t="str">
        <f t="shared" si="7"/>
        <v>"endTime":"Tiempo de finalización en segundos (negativo para &amp;infin;)",</v>
      </c>
    </row>
    <row r="158" spans="1:12" x14ac:dyDescent="0.3">
      <c r="A158" t="s">
        <v>928</v>
      </c>
      <c r="B158" t="s">
        <v>939</v>
      </c>
      <c r="C158" t="s">
        <v>941</v>
      </c>
      <c r="K158" t="str">
        <f t="shared" si="6"/>
        <v>"stepSize":"Step size in milliseconds",</v>
      </c>
      <c r="L158" t="str">
        <f t="shared" si="7"/>
        <v>"stepSize":"Tamaño de paso en milisegundos",</v>
      </c>
    </row>
    <row r="159" spans="1:12" x14ac:dyDescent="0.3">
      <c r="A159" t="s">
        <v>930</v>
      </c>
      <c r="B159" t="s">
        <v>934</v>
      </c>
      <c r="C159" t="s">
        <v>942</v>
      </c>
      <c r="K159" t="str">
        <f t="shared" si="6"/>
        <v>"run":"Run simulation",</v>
      </c>
      <c r="L159" t="str">
        <f t="shared" si="7"/>
        <v>"run":"Ejecutar simulación",</v>
      </c>
    </row>
    <row r="160" spans="1:12" x14ac:dyDescent="0.3">
      <c r="A160" t="s">
        <v>931</v>
      </c>
      <c r="B160" t="s">
        <v>935</v>
      </c>
      <c r="C160" t="s">
        <v>943</v>
      </c>
      <c r="K160" t="str">
        <f t="shared" si="6"/>
        <v>"stop":"Stop simulation",</v>
      </c>
      <c r="L160" t="str">
        <f t="shared" si="7"/>
        <v>"stop":"Detener la simulación",</v>
      </c>
    </row>
    <row r="161" spans="1:12" x14ac:dyDescent="0.3">
      <c r="A161" t="s">
        <v>932</v>
      </c>
      <c r="B161" t="s">
        <v>936</v>
      </c>
      <c r="C161" t="s">
        <v>944</v>
      </c>
      <c r="K161" t="str">
        <f t="shared" si="6"/>
        <v>"pause":"Pause simulation",</v>
      </c>
      <c r="L161" t="str">
        <f t="shared" si="7"/>
        <v>"pause":"Pausa simulación",</v>
      </c>
    </row>
    <row r="162" spans="1:12" x14ac:dyDescent="0.3">
      <c r="A162" t="s">
        <v>933</v>
      </c>
      <c r="B162" t="s">
        <v>937</v>
      </c>
      <c r="C162" t="s">
        <v>945</v>
      </c>
      <c r="K162" t="str">
        <f t="shared" si="6"/>
        <v>"nSteps":"Next N-Steps to the simulation",</v>
      </c>
      <c r="L162" t="str">
        <f t="shared" si="7"/>
        <v>"nSteps":"N pasos siguientes a la simulación",</v>
      </c>
    </row>
    <row r="163" spans="1:12" x14ac:dyDescent="0.3">
      <c r="A163" t="s">
        <v>956</v>
      </c>
      <c r="B163" t="s">
        <v>957</v>
      </c>
      <c r="C163" t="s">
        <v>958</v>
      </c>
      <c r="K163" t="str">
        <f t="shared" si="6"/>
        <v>"confirmLoss":"This operation will close the present model.\nAny unsaved data will be lost.\n\nDo you want to proceed?",</v>
      </c>
      <c r="L163" t="str">
        <f t="shared" si="7"/>
        <v>"confirmLoss":"Esta operación cerrará el modelo actual.\nCualquier información no guardada se perderá.\n\nQuieres proceder?",</v>
      </c>
    </row>
    <row r="164" spans="1:12" x14ac:dyDescent="0.3">
      <c r="A164" t="s">
        <v>960</v>
      </c>
      <c r="B164" t="s">
        <v>961</v>
      </c>
      <c r="C164" t="s">
        <v>962</v>
      </c>
      <c r="K164" t="str">
        <f t="shared" ref="K164:K173" si="10">IF(ISBLANK($A164),"",""""&amp;$A164&amp;""":"""&amp;B164&amp;""""&amp;IF(ISBLANK(A165),"}",","))</f>
        <v>"errorGen":"Error: Unable to perform this action",</v>
      </c>
      <c r="L164" t="str">
        <f t="shared" ref="L164:L173" si="11">IF(ISBLANK($A164),"",""""&amp;$A164&amp;""":"""&amp;C164&amp;""""&amp;IF(ISBLANK(B165),"}",","))</f>
        <v>"errorGen":"Error: no se puede realizar esta acción",</v>
      </c>
    </row>
    <row r="165" spans="1:12" x14ac:dyDescent="0.3">
      <c r="A165" t="s">
        <v>971</v>
      </c>
      <c r="B165" t="s">
        <v>976</v>
      </c>
      <c r="C165" t="s">
        <v>977</v>
      </c>
      <c r="K165" t="str">
        <f t="shared" si="10"/>
        <v>"aLoop":"Error: Possible algebraic loop",</v>
      </c>
      <c r="L165" t="str">
        <f t="shared" si="11"/>
        <v>"aLoop":"Error: Posible lazo algebraico",</v>
      </c>
    </row>
    <row r="166" spans="1:12" x14ac:dyDescent="0.3">
      <c r="A166" t="s">
        <v>972</v>
      </c>
      <c r="B166" t="s">
        <v>973</v>
      </c>
      <c r="C166" t="s">
        <v>974</v>
      </c>
      <c r="K166" t="str">
        <f t="shared" si="10"/>
        <v>"showExeOrder":"Show execution order",</v>
      </c>
      <c r="L166" t="str">
        <f t="shared" si="11"/>
        <v>"showExeOrder":"Mostrar orden de ejecución",</v>
      </c>
    </row>
    <row r="167" spans="1:12" x14ac:dyDescent="0.3">
      <c r="A167" t="s">
        <v>978</v>
      </c>
      <c r="B167" t="s">
        <v>981</v>
      </c>
      <c r="C167" t="s">
        <v>984</v>
      </c>
      <c r="K167" t="str">
        <f t="shared" si="10"/>
        <v>"mDesign":"Design mode",</v>
      </c>
      <c r="L167" t="str">
        <f t="shared" si="11"/>
        <v>"mDesign":"Modo de diseño",</v>
      </c>
    </row>
    <row r="168" spans="1:12" x14ac:dyDescent="0.3">
      <c r="A168" t="s">
        <v>979</v>
      </c>
      <c r="B168" t="s">
        <v>982</v>
      </c>
      <c r="C168" t="s">
        <v>985</v>
      </c>
      <c r="K168" t="str">
        <f t="shared" si="10"/>
        <v>"mSim":"Simulating",</v>
      </c>
      <c r="L168" t="str">
        <f t="shared" si="11"/>
        <v>"mSim":"Simulando",</v>
      </c>
    </row>
    <row r="169" spans="1:12" x14ac:dyDescent="0.3">
      <c r="A169" t="s">
        <v>980</v>
      </c>
      <c r="B169" t="s">
        <v>983</v>
      </c>
      <c r="C169" t="s">
        <v>986</v>
      </c>
      <c r="K169" t="str">
        <f>IF(ISBLANK($A169),"",""""&amp;$A169&amp;""":"""&amp;B169&amp;""""&amp;IF(ISBLANK(A170),"}",","))</f>
        <v>"mSimPause":"Simulation paused",</v>
      </c>
      <c r="L169" t="str">
        <f>IF(ISBLANK($A169),"",""""&amp;$A169&amp;""":"""&amp;C169&amp;""""&amp;IF(ISBLANK(B170),"}",","))</f>
        <v>"mSimPause":"Simulación en pausa",</v>
      </c>
    </row>
    <row r="170" spans="1:12" x14ac:dyDescent="0.3">
      <c r="A170" t="s">
        <v>997</v>
      </c>
      <c r="B170" t="s">
        <v>992</v>
      </c>
      <c r="C170" t="s">
        <v>988</v>
      </c>
      <c r="K170" t="str">
        <f t="shared" si="10"/>
        <v>"k169":"Incompatible browser. Uyamak requires a modern browser to run the simulation.",</v>
      </c>
      <c r="L170" t="str">
        <f t="shared" si="11"/>
        <v>"k169":"Navegador incompatible. Uyanmak requiere un navegador moderno para ejecutar la simulación.",</v>
      </c>
    </row>
    <row r="171" spans="1:12" x14ac:dyDescent="0.3">
      <c r="A171" t="s">
        <v>998</v>
      </c>
      <c r="B171" t="s">
        <v>987</v>
      </c>
      <c r="C171" t="s">
        <v>989</v>
      </c>
      <c r="K171" t="str">
        <f t="shared" si="10"/>
        <v>"k170":"There is no model to simulate. Pull blocks from the library and place on the graph.",</v>
      </c>
      <c r="L171" t="str">
        <f t="shared" si="11"/>
        <v>"k170":"No hay modelo para simular. Extraiga bloques de la biblioteca y colóquelos en el gráfico.",</v>
      </c>
    </row>
    <row r="172" spans="1:12" x14ac:dyDescent="0.3">
      <c r="A172" t="s">
        <v>999</v>
      </c>
      <c r="B172" t="s">
        <v>990</v>
      </c>
      <c r="C172" t="s">
        <v>991</v>
      </c>
      <c r="K172" t="str">
        <f t="shared" si="10"/>
        <v>"k171":"Unable to ungroup the selected items",</v>
      </c>
      <c r="L172" t="str">
        <f t="shared" si="11"/>
        <v>"k171":"No se pueden desagrupar los elementos seleccionados",</v>
      </c>
    </row>
    <row r="173" spans="1:12" x14ac:dyDescent="0.3">
      <c r="A173" t="s">
        <v>1000</v>
      </c>
      <c r="B173" t="s">
        <v>993</v>
      </c>
      <c r="C173" t="s">
        <v>994</v>
      </c>
      <c r="K173" t="str">
        <f t="shared" si="10"/>
        <v>"k172":"Unable to decode the parameter value. Try updating the variables.",</v>
      </c>
      <c r="L173" t="str">
        <f t="shared" si="11"/>
        <v>"k172":"No se puede decodificar el valor del parámetro. Intenta actualizar las variables.",</v>
      </c>
    </row>
    <row r="174" spans="1:12" x14ac:dyDescent="0.3">
      <c r="A174" t="s">
        <v>1001</v>
      </c>
      <c r="B174" t="s">
        <v>995</v>
      </c>
      <c r="C174" t="s">
        <v>996</v>
      </c>
      <c r="K174" t="str">
        <f t="shared" ref="K174:K237" si="12">IF(ISBLANK($A174),"",""""&amp;$A174&amp;""":"""&amp;B174&amp;""""&amp;IF(ISBLANK(A175),"}",","))</f>
        <v>"k173":"Some parameters are incorrect. Please edit blocks with warning symbol.",</v>
      </c>
      <c r="L174" t="str">
        <f t="shared" ref="L174:L237" si="13">IF(ISBLANK($A174),"",""""&amp;$A174&amp;""":"""&amp;C174&amp;""""&amp;IF(ISBLANK(B175),"}",","))</f>
        <v>"k173":"Algunos parámetros son incorrectos. Edite los bloques con el símbolo de advertencia.",</v>
      </c>
    </row>
    <row r="175" spans="1:12" x14ac:dyDescent="0.3">
      <c r="A175" t="s">
        <v>1002</v>
      </c>
      <c r="B175" t="s">
        <v>1003</v>
      </c>
      <c r="C175" t="s">
        <v>1004</v>
      </c>
      <c r="K175" t="str">
        <f t="shared" si="12"/>
        <v>"simErr":"Simulation error",</v>
      </c>
      <c r="L175" t="str">
        <f t="shared" si="13"/>
        <v>"simErr":"Error de simulación",</v>
      </c>
    </row>
    <row r="176" spans="1:12" x14ac:dyDescent="0.3">
      <c r="A176" t="s">
        <v>1005</v>
      </c>
      <c r="B176" t="s">
        <v>1006</v>
      </c>
      <c r="C176" t="s">
        <v>1007</v>
      </c>
      <c r="K176" t="str">
        <f t="shared" si="12"/>
        <v>"chartLang":"en",</v>
      </c>
      <c r="L176" t="str">
        <f t="shared" si="13"/>
        <v>"chartLang":"es",</v>
      </c>
    </row>
    <row r="177" spans="1:12" x14ac:dyDescent="0.3">
      <c r="A177" t="s">
        <v>1010</v>
      </c>
      <c r="B177" t="s">
        <v>1008</v>
      </c>
      <c r="C177" t="s">
        <v>1009</v>
      </c>
      <c r="K177" t="str">
        <f t="shared" si="12"/>
        <v>"sOEvery":"Record output for every X samples",</v>
      </c>
      <c r="L177" t="str">
        <f t="shared" si="13"/>
        <v>"sOEvery":"Grabar salida para cada X muestras",</v>
      </c>
    </row>
    <row r="178" spans="1:12" x14ac:dyDescent="0.3">
      <c r="A178" t="s">
        <v>1011</v>
      </c>
      <c r="B178" t="s">
        <v>1012</v>
      </c>
      <c r="C178" t="s">
        <v>1013</v>
      </c>
      <c r="K178" t="str">
        <f t="shared" si="12"/>
        <v>"mHis":"History points in the memory per second",</v>
      </c>
      <c r="L178" t="str">
        <f t="shared" si="13"/>
        <v>"mHis":"Puntos de historia en la memoria por segundo",</v>
      </c>
    </row>
    <row r="179" spans="1:12" x14ac:dyDescent="0.3">
      <c r="A179" t="s">
        <v>1014</v>
      </c>
      <c r="B179" t="s">
        <v>1027</v>
      </c>
      <c r="C179" t="s">
        <v>1028</v>
      </c>
      <c r="K179" t="str">
        <f t="shared" si="12"/>
        <v>"hideGraphText":"Hide text inside the blocks",</v>
      </c>
      <c r="L179" t="str">
        <f t="shared" si="13"/>
        <v>"hideGraphText":"Ocultar texto dentro de los bloques",</v>
      </c>
    </row>
    <row r="180" spans="1:12" x14ac:dyDescent="0.3">
      <c r="A180" t="s">
        <v>1015</v>
      </c>
      <c r="B180" t="s">
        <v>1016</v>
      </c>
      <c r="C180" t="s">
        <v>1017</v>
      </c>
      <c r="K180" t="str">
        <f t="shared" si="12"/>
        <v>"errorParsing":"Unable to parse the input. If required, update your variables in the variable manager.",</v>
      </c>
      <c r="L180" t="str">
        <f t="shared" si="13"/>
        <v>"errorParsing":"No se puede analizar la entrada. Si es necesario, actualice sus variables en el administrador de variables.",</v>
      </c>
    </row>
    <row r="181" spans="1:12" x14ac:dyDescent="0.3">
      <c r="A181" t="s">
        <v>1018</v>
      </c>
      <c r="B181" t="s">
        <v>1019</v>
      </c>
      <c r="C181" t="s">
        <v>1020</v>
      </c>
      <c r="K181" t="str">
        <f t="shared" si="12"/>
        <v>"errParamEntry":"Parameter error",</v>
      </c>
      <c r="L181" t="str">
        <f t="shared" si="13"/>
        <v>"errParamEntry":"Error de parametro",</v>
      </c>
    </row>
    <row r="182" spans="1:12" x14ac:dyDescent="0.3">
      <c r="A182" t="s">
        <v>1021</v>
      </c>
      <c r="B182" t="s">
        <v>1023</v>
      </c>
      <c r="C182" t="s">
        <v>1025</v>
      </c>
      <c r="K182" t="str">
        <f t="shared" si="12"/>
        <v>"errDetails":"Unknown error. Please contact the support team if  it continous.",</v>
      </c>
      <c r="L182" t="str">
        <f t="shared" si="13"/>
        <v>"errDetails":"Error desconocido. Póngase en contacto con el equipo de soporte si es continuo.",</v>
      </c>
    </row>
    <row r="183" spans="1:12" x14ac:dyDescent="0.3">
      <c r="A183" t="s">
        <v>1022</v>
      </c>
      <c r="B183" t="s">
        <v>1024</v>
      </c>
      <c r="C183" t="s">
        <v>1026</v>
      </c>
      <c r="K183" t="str">
        <f t="shared" si="12"/>
        <v>"errCompat":"Compatibility error. We cannot proceed to save. Please a look at the functionality and correct your parameters.",</v>
      </c>
      <c r="L183" t="str">
        <f t="shared" si="13"/>
        <v>"errCompat":"Error de compatibilidad No podemos proceder a guardar. Observe la funcionalidad y corrija sus parámetros.",</v>
      </c>
    </row>
    <row r="184" spans="1:12" x14ac:dyDescent="0.3">
      <c r="A184" t="s">
        <v>1029</v>
      </c>
      <c r="B184" t="s">
        <v>1030</v>
      </c>
      <c r="C184" t="s">
        <v>1031</v>
      </c>
      <c r="K184" t="str">
        <f t="shared" si="12"/>
        <v>"snapToGrid":"Snap to grid",</v>
      </c>
      <c r="L184" t="str">
        <f t="shared" si="13"/>
        <v>"snapToGrid":"Encajar a la cuadricula",</v>
      </c>
    </row>
    <row r="185" spans="1:12" x14ac:dyDescent="0.3">
      <c r="A185" t="s">
        <v>1165</v>
      </c>
      <c r="B185" t="s">
        <v>1166</v>
      </c>
      <c r="C185" t="s">
        <v>1425</v>
      </c>
      <c r="K185" t="str">
        <f t="shared" si="12"/>
        <v>"locFMgr":"Local file manager",</v>
      </c>
      <c r="L185" t="str">
        <f t="shared" si="13"/>
        <v>"locFMgr":"Administrador de archivos locales",</v>
      </c>
    </row>
    <row r="186" spans="1:12" x14ac:dyDescent="0.3">
      <c r="A186" t="s">
        <v>1159</v>
      </c>
      <c r="B186" t="s">
        <v>137</v>
      </c>
      <c r="C186" t="s">
        <v>440</v>
      </c>
      <c r="K186" t="str">
        <f t="shared" si="12"/>
        <v>"saveToLMach":"Save to local machine",</v>
      </c>
      <c r="L186" t="str">
        <f t="shared" si="13"/>
        <v>"saveToLMach":"Guardar en máquina local",</v>
      </c>
    </row>
    <row r="187" spans="1:12" x14ac:dyDescent="0.3">
      <c r="A187" t="s">
        <v>1160</v>
      </c>
      <c r="B187" t="s">
        <v>138</v>
      </c>
      <c r="C187" t="s">
        <v>441</v>
      </c>
      <c r="K187" t="str">
        <f t="shared" si="12"/>
        <v>"loadFrmLMach":"Load from local machine",</v>
      </c>
      <c r="L187" t="str">
        <f t="shared" si="13"/>
        <v>"loadFrmLMach":"Cargar desde máquina local",</v>
      </c>
    </row>
    <row r="188" spans="1:12" x14ac:dyDescent="0.3">
      <c r="A188" t="s">
        <v>1168</v>
      </c>
      <c r="B188" t="s">
        <v>1169</v>
      </c>
      <c r="C188" t="s">
        <v>1174</v>
      </c>
      <c r="K188" t="str">
        <f t="shared" si="12"/>
        <v>"import":"Import",</v>
      </c>
      <c r="L188" t="str">
        <f t="shared" si="13"/>
        <v>"import":"Importar",</v>
      </c>
    </row>
    <row r="189" spans="1:12" x14ac:dyDescent="0.3">
      <c r="A189" t="s">
        <v>1170</v>
      </c>
      <c r="B189" t="s">
        <v>1167</v>
      </c>
      <c r="C189" t="s">
        <v>1175</v>
      </c>
      <c r="K189" t="str">
        <f t="shared" si="12"/>
        <v>"open":"Open",</v>
      </c>
      <c r="L189" t="str">
        <f t="shared" si="13"/>
        <v>"open":"Abierto",</v>
      </c>
    </row>
    <row r="190" spans="1:12" x14ac:dyDescent="0.3">
      <c r="A190" t="s">
        <v>1164</v>
      </c>
      <c r="B190" t="s">
        <v>1173</v>
      </c>
      <c r="C190" t="s">
        <v>1176</v>
      </c>
      <c r="K190" t="str">
        <f t="shared" si="12"/>
        <v>"model":"Uyamak model",</v>
      </c>
      <c r="L190" t="str">
        <f t="shared" si="13"/>
        <v>"model":"Modelo Uyamak",</v>
      </c>
    </row>
    <row r="191" spans="1:12" x14ac:dyDescent="0.3">
      <c r="A191" t="s">
        <v>1161</v>
      </c>
      <c r="B191" t="s">
        <v>785</v>
      </c>
      <c r="C191" t="s">
        <v>785</v>
      </c>
      <c r="K191" t="str">
        <f t="shared" si="12"/>
        <v>"vars":"Variables",</v>
      </c>
      <c r="L191" t="str">
        <f t="shared" si="13"/>
        <v>"vars":"Variables",</v>
      </c>
    </row>
    <row r="192" spans="1:12" x14ac:dyDescent="0.3">
      <c r="A192" t="s">
        <v>1163</v>
      </c>
      <c r="B192" t="s">
        <v>1171</v>
      </c>
      <c r="C192" t="s">
        <v>1177</v>
      </c>
      <c r="K192" t="str">
        <f t="shared" si="12"/>
        <v>"simSet":"Simulation settings",</v>
      </c>
      <c r="L192" t="str">
        <f t="shared" si="13"/>
        <v>"simSet":"Configuraciones de simulación",</v>
      </c>
    </row>
    <row r="193" spans="1:12" x14ac:dyDescent="0.3">
      <c r="A193" t="s">
        <v>1162</v>
      </c>
      <c r="B193" t="s">
        <v>1172</v>
      </c>
      <c r="C193" t="s">
        <v>1178</v>
      </c>
      <c r="K193" t="str">
        <f t="shared" si="12"/>
        <v>"guiSet":"Editor settings",</v>
      </c>
      <c r="L193" t="str">
        <f t="shared" si="13"/>
        <v>"guiSet":"Configuraciones del editor",</v>
      </c>
    </row>
    <row r="194" spans="1:12" x14ac:dyDescent="0.3">
      <c r="A194" t="s">
        <v>1184</v>
      </c>
      <c r="B194" t="s">
        <v>1185</v>
      </c>
      <c r="C194" t="s">
        <v>1186</v>
      </c>
      <c r="K194" t="str">
        <f t="shared" si="12"/>
        <v>"sFile":"Select a file by clicking here or you can drag and drop your file here.",</v>
      </c>
      <c r="L194" t="str">
        <f t="shared" si="13"/>
        <v>"sFile":"Seleccione un archivo haciendo clic aquí o puede arrastrar y soltar su archivo aquí.",</v>
      </c>
    </row>
    <row r="195" spans="1:12" x14ac:dyDescent="0.3">
      <c r="A195" t="s">
        <v>1192</v>
      </c>
      <c r="B195" t="s">
        <v>1188</v>
      </c>
      <c r="C195" t="s">
        <v>1189</v>
      </c>
      <c r="K195" t="str">
        <f t="shared" si="12"/>
        <v>"errFSize":"File is too big to open. Contact support for more information.",</v>
      </c>
      <c r="L195" t="str">
        <f t="shared" si="13"/>
        <v>"errFSize":"El archivo es demasiado grande para abrir. Póngase en contacto con el soporte para más información.",</v>
      </c>
    </row>
    <row r="196" spans="1:12" x14ac:dyDescent="0.3">
      <c r="A196" t="s">
        <v>1193</v>
      </c>
      <c r="B196" t="s">
        <v>1190</v>
      </c>
      <c r="C196" t="s">
        <v>1191</v>
      </c>
      <c r="K196" t="str">
        <f t="shared" si="12"/>
        <v>"errCrpt":"The selected file is empty or corrupted",</v>
      </c>
      <c r="L196" t="str">
        <f t="shared" si="13"/>
        <v>"errCrpt":"El archivo seleccionado está vacío o dañado.",</v>
      </c>
    </row>
    <row r="197" spans="1:12" x14ac:dyDescent="0.3">
      <c r="A197" t="s">
        <v>1426</v>
      </c>
      <c r="B197" t="s">
        <v>1426</v>
      </c>
      <c r="C197" t="s">
        <v>1427</v>
      </c>
      <c r="K197" t="str">
        <f t="shared" si="12"/>
        <v>"for":"for",</v>
      </c>
      <c r="L197" t="str">
        <f t="shared" si="13"/>
        <v>"for":"para",</v>
      </c>
    </row>
    <row r="198" spans="1:12" x14ac:dyDescent="0.3">
      <c r="A198" t="s">
        <v>1530</v>
      </c>
      <c r="B198" t="s">
        <v>1531</v>
      </c>
      <c r="C198" t="s">
        <v>1551</v>
      </c>
      <c r="K198" t="str">
        <f t="shared" si="12"/>
        <v>"intType":"Integration type",</v>
      </c>
      <c r="L198" t="str">
        <f t="shared" si="13"/>
        <v>"intType":"Tipo de integración",</v>
      </c>
    </row>
    <row r="199" spans="1:12" x14ac:dyDescent="0.3">
      <c r="A199" t="s">
        <v>1620</v>
      </c>
      <c r="B199" t="s">
        <v>1622</v>
      </c>
      <c r="C199" t="s">
        <v>1621</v>
      </c>
      <c r="K199" t="str">
        <f t="shared" si="12"/>
        <v>"intTs":"Integrals are updated every",</v>
      </c>
      <c r="L199" t="str">
        <f t="shared" si="13"/>
        <v>"intTs":"Se actualiza integrales cada",</v>
      </c>
    </row>
    <row r="200" spans="1:12" x14ac:dyDescent="0.3">
      <c r="A200" t="s">
        <v>1626</v>
      </c>
      <c r="B200" t="s">
        <v>1627</v>
      </c>
      <c r="C200" t="s">
        <v>1628</v>
      </c>
      <c r="K200" t="str">
        <f t="shared" si="12"/>
        <v>"wMode":"Wire mode",</v>
      </c>
      <c r="L200" t="str">
        <f t="shared" si="13"/>
        <v>"wMode":"Modo de cable",</v>
      </c>
    </row>
    <row r="201" spans="1:12" x14ac:dyDescent="0.3">
      <c r="A201" t="s">
        <v>1782</v>
      </c>
      <c r="B201" t="s">
        <v>1781</v>
      </c>
      <c r="C201" t="s">
        <v>1780</v>
      </c>
      <c r="K201" t="str">
        <f t="shared" si="12"/>
        <v>"etyCap":"Create blocks without a caption"}</v>
      </c>
      <c r="L201" t="str">
        <f t="shared" si="13"/>
        <v>"etyCap":"Crear bloques sin capción"}</v>
      </c>
    </row>
    <row r="202" spans="1:12" x14ac:dyDescent="0.3">
      <c r="K202" t="str">
        <f t="shared" si="12"/>
        <v/>
      </c>
      <c r="L202" t="str">
        <f t="shared" si="13"/>
        <v/>
      </c>
    </row>
    <row r="203" spans="1:12" x14ac:dyDescent="0.3">
      <c r="K203" t="str">
        <f t="shared" si="12"/>
        <v/>
      </c>
      <c r="L203" t="str">
        <f t="shared" si="13"/>
        <v/>
      </c>
    </row>
    <row r="204" spans="1:12" x14ac:dyDescent="0.3">
      <c r="K204" t="str">
        <f t="shared" si="12"/>
        <v/>
      </c>
      <c r="L204" t="str">
        <f t="shared" si="13"/>
        <v/>
      </c>
    </row>
    <row r="205" spans="1:12" x14ac:dyDescent="0.3">
      <c r="K205" t="str">
        <f t="shared" si="12"/>
        <v/>
      </c>
      <c r="L205" t="str">
        <f t="shared" si="13"/>
        <v/>
      </c>
    </row>
    <row r="206" spans="1:12" x14ac:dyDescent="0.3">
      <c r="K206" t="str">
        <f t="shared" si="12"/>
        <v/>
      </c>
      <c r="L206" t="str">
        <f t="shared" si="13"/>
        <v/>
      </c>
    </row>
    <row r="207" spans="1:12" x14ac:dyDescent="0.3">
      <c r="K207" t="str">
        <f t="shared" si="12"/>
        <v/>
      </c>
      <c r="L207" t="str">
        <f t="shared" si="13"/>
        <v/>
      </c>
    </row>
    <row r="208" spans="1:12" x14ac:dyDescent="0.3">
      <c r="K208" t="str">
        <f t="shared" si="12"/>
        <v/>
      </c>
      <c r="L208" t="str">
        <f t="shared" si="13"/>
        <v/>
      </c>
    </row>
    <row r="209" spans="11:12" x14ac:dyDescent="0.3">
      <c r="K209" t="str">
        <f t="shared" si="12"/>
        <v/>
      </c>
      <c r="L209" t="str">
        <f t="shared" si="13"/>
        <v/>
      </c>
    </row>
    <row r="210" spans="11:12" x14ac:dyDescent="0.3">
      <c r="K210" t="str">
        <f t="shared" si="12"/>
        <v/>
      </c>
      <c r="L210" t="str">
        <f t="shared" si="13"/>
        <v/>
      </c>
    </row>
    <row r="211" spans="11:12" x14ac:dyDescent="0.3">
      <c r="K211" t="str">
        <f t="shared" si="12"/>
        <v/>
      </c>
      <c r="L211" t="str">
        <f t="shared" si="13"/>
        <v/>
      </c>
    </row>
    <row r="212" spans="11:12" x14ac:dyDescent="0.3">
      <c r="K212" t="str">
        <f t="shared" si="12"/>
        <v/>
      </c>
      <c r="L212" t="str">
        <f t="shared" si="13"/>
        <v/>
      </c>
    </row>
    <row r="213" spans="11:12" x14ac:dyDescent="0.3">
      <c r="K213" t="str">
        <f t="shared" si="12"/>
        <v/>
      </c>
      <c r="L213" t="str">
        <f t="shared" si="13"/>
        <v/>
      </c>
    </row>
    <row r="214" spans="11:12" x14ac:dyDescent="0.3">
      <c r="K214" t="str">
        <f t="shared" si="12"/>
        <v/>
      </c>
      <c r="L214" t="str">
        <f t="shared" si="13"/>
        <v/>
      </c>
    </row>
    <row r="215" spans="11:12" x14ac:dyDescent="0.3">
      <c r="K215" t="str">
        <f t="shared" si="12"/>
        <v/>
      </c>
      <c r="L215" t="str">
        <f t="shared" si="13"/>
        <v/>
      </c>
    </row>
    <row r="216" spans="11:12" x14ac:dyDescent="0.3">
      <c r="K216" t="str">
        <f t="shared" si="12"/>
        <v/>
      </c>
      <c r="L216" t="str">
        <f t="shared" si="13"/>
        <v/>
      </c>
    </row>
    <row r="217" spans="11:12" x14ac:dyDescent="0.3">
      <c r="K217" t="str">
        <f t="shared" si="12"/>
        <v/>
      </c>
      <c r="L217" t="str">
        <f t="shared" si="13"/>
        <v/>
      </c>
    </row>
    <row r="218" spans="11:12" x14ac:dyDescent="0.3">
      <c r="K218" t="str">
        <f t="shared" si="12"/>
        <v/>
      </c>
      <c r="L218" t="str">
        <f t="shared" si="13"/>
        <v/>
      </c>
    </row>
    <row r="219" spans="11:12" x14ac:dyDescent="0.3">
      <c r="K219" t="str">
        <f t="shared" si="12"/>
        <v/>
      </c>
      <c r="L219" t="str">
        <f t="shared" si="13"/>
        <v/>
      </c>
    </row>
    <row r="220" spans="11:12" x14ac:dyDescent="0.3">
      <c r="K220" t="str">
        <f t="shared" si="12"/>
        <v/>
      </c>
      <c r="L220" t="str">
        <f t="shared" si="13"/>
        <v/>
      </c>
    </row>
    <row r="221" spans="11:12" x14ac:dyDescent="0.3">
      <c r="K221" t="str">
        <f t="shared" si="12"/>
        <v/>
      </c>
      <c r="L221" t="str">
        <f t="shared" si="13"/>
        <v/>
      </c>
    </row>
    <row r="222" spans="11:12" x14ac:dyDescent="0.3">
      <c r="K222" t="str">
        <f t="shared" si="12"/>
        <v/>
      </c>
      <c r="L222" t="str">
        <f t="shared" si="13"/>
        <v/>
      </c>
    </row>
    <row r="223" spans="11:12" x14ac:dyDescent="0.3">
      <c r="K223" t="str">
        <f t="shared" si="12"/>
        <v/>
      </c>
      <c r="L223" t="str">
        <f t="shared" si="13"/>
        <v/>
      </c>
    </row>
    <row r="224" spans="11:12" x14ac:dyDescent="0.3">
      <c r="K224" t="str">
        <f t="shared" si="12"/>
        <v/>
      </c>
      <c r="L224" t="str">
        <f t="shared" si="13"/>
        <v/>
      </c>
    </row>
    <row r="225" spans="11:12" x14ac:dyDescent="0.3">
      <c r="K225" t="str">
        <f t="shared" si="12"/>
        <v/>
      </c>
      <c r="L225" t="str">
        <f t="shared" si="13"/>
        <v/>
      </c>
    </row>
    <row r="226" spans="11:12" x14ac:dyDescent="0.3">
      <c r="K226" t="str">
        <f t="shared" si="12"/>
        <v/>
      </c>
      <c r="L226" t="str">
        <f t="shared" si="13"/>
        <v/>
      </c>
    </row>
    <row r="227" spans="11:12" x14ac:dyDescent="0.3">
      <c r="K227" t="str">
        <f t="shared" si="12"/>
        <v/>
      </c>
      <c r="L227" t="str">
        <f t="shared" si="13"/>
        <v/>
      </c>
    </row>
    <row r="228" spans="11:12" x14ac:dyDescent="0.3">
      <c r="K228" t="str">
        <f t="shared" si="12"/>
        <v/>
      </c>
      <c r="L228" t="str">
        <f t="shared" si="13"/>
        <v/>
      </c>
    </row>
    <row r="229" spans="11:12" x14ac:dyDescent="0.3">
      <c r="K229" t="str">
        <f t="shared" si="12"/>
        <v/>
      </c>
      <c r="L229" t="str">
        <f t="shared" si="13"/>
        <v/>
      </c>
    </row>
    <row r="230" spans="11:12" x14ac:dyDescent="0.3">
      <c r="K230" t="str">
        <f t="shared" si="12"/>
        <v/>
      </c>
      <c r="L230" t="str">
        <f t="shared" si="13"/>
        <v/>
      </c>
    </row>
    <row r="231" spans="11:12" x14ac:dyDescent="0.3">
      <c r="K231" t="str">
        <f t="shared" si="12"/>
        <v/>
      </c>
      <c r="L231" t="str">
        <f t="shared" si="13"/>
        <v/>
      </c>
    </row>
    <row r="232" spans="11:12" x14ac:dyDescent="0.3">
      <c r="K232" t="str">
        <f t="shared" si="12"/>
        <v/>
      </c>
      <c r="L232" t="str">
        <f t="shared" si="13"/>
        <v/>
      </c>
    </row>
    <row r="233" spans="11:12" x14ac:dyDescent="0.3">
      <c r="K233" t="str">
        <f t="shared" si="12"/>
        <v/>
      </c>
      <c r="L233" t="str">
        <f t="shared" si="13"/>
        <v/>
      </c>
    </row>
    <row r="234" spans="11:12" x14ac:dyDescent="0.3">
      <c r="K234" t="str">
        <f t="shared" si="12"/>
        <v/>
      </c>
      <c r="L234" t="str">
        <f t="shared" si="13"/>
        <v/>
      </c>
    </row>
    <row r="235" spans="11:12" x14ac:dyDescent="0.3">
      <c r="K235" t="str">
        <f t="shared" si="12"/>
        <v/>
      </c>
      <c r="L235" t="str">
        <f t="shared" si="13"/>
        <v/>
      </c>
    </row>
    <row r="236" spans="11:12" x14ac:dyDescent="0.3">
      <c r="K236" t="str">
        <f t="shared" si="12"/>
        <v/>
      </c>
      <c r="L236" t="str">
        <f t="shared" si="13"/>
        <v/>
      </c>
    </row>
    <row r="237" spans="11:12" x14ac:dyDescent="0.3">
      <c r="K237" t="str">
        <f t="shared" si="12"/>
        <v/>
      </c>
      <c r="L237" t="str">
        <f t="shared" si="13"/>
        <v/>
      </c>
    </row>
    <row r="238" spans="11:12" x14ac:dyDescent="0.3">
      <c r="K238" t="str">
        <f t="shared" ref="K238:K251" si="14">IF(ISBLANK($A238),"",""""&amp;$A238&amp;""":"""&amp;B238&amp;""""&amp;IF(ISBLANK(A239),"}",","))</f>
        <v/>
      </c>
      <c r="L238" t="str">
        <f t="shared" ref="L238:L251" si="15">IF(ISBLANK($A238),"",""""&amp;$A238&amp;""":"""&amp;C238&amp;""""&amp;IF(ISBLANK(B239),"}",","))</f>
        <v/>
      </c>
    </row>
    <row r="239" spans="11:12" x14ac:dyDescent="0.3">
      <c r="K239" t="str">
        <f t="shared" si="14"/>
        <v/>
      </c>
      <c r="L239" t="str">
        <f t="shared" si="15"/>
        <v/>
      </c>
    </row>
    <row r="240" spans="11:12" x14ac:dyDescent="0.3">
      <c r="K240" t="str">
        <f t="shared" si="14"/>
        <v/>
      </c>
      <c r="L240" t="str">
        <f t="shared" si="15"/>
        <v/>
      </c>
    </row>
    <row r="241" spans="11:12" x14ac:dyDescent="0.3">
      <c r="K241" t="str">
        <f t="shared" si="14"/>
        <v/>
      </c>
      <c r="L241" t="str">
        <f t="shared" si="15"/>
        <v/>
      </c>
    </row>
    <row r="242" spans="11:12" x14ac:dyDescent="0.3">
      <c r="K242" t="str">
        <f t="shared" si="14"/>
        <v/>
      </c>
      <c r="L242" t="str">
        <f t="shared" si="15"/>
        <v/>
      </c>
    </row>
    <row r="243" spans="11:12" x14ac:dyDescent="0.3">
      <c r="K243" t="str">
        <f t="shared" si="14"/>
        <v/>
      </c>
      <c r="L243" t="str">
        <f t="shared" si="15"/>
        <v/>
      </c>
    </row>
    <row r="244" spans="11:12" x14ac:dyDescent="0.3">
      <c r="K244" t="str">
        <f t="shared" si="14"/>
        <v/>
      </c>
      <c r="L244" t="str">
        <f t="shared" si="15"/>
        <v/>
      </c>
    </row>
    <row r="245" spans="11:12" x14ac:dyDescent="0.3">
      <c r="K245" t="str">
        <f t="shared" si="14"/>
        <v/>
      </c>
      <c r="L245" t="str">
        <f t="shared" si="15"/>
        <v/>
      </c>
    </row>
    <row r="246" spans="11:12" x14ac:dyDescent="0.3">
      <c r="K246" t="str">
        <f t="shared" si="14"/>
        <v/>
      </c>
      <c r="L246" t="str">
        <f t="shared" si="15"/>
        <v/>
      </c>
    </row>
    <row r="247" spans="11:12" x14ac:dyDescent="0.3">
      <c r="K247" t="str">
        <f t="shared" si="14"/>
        <v/>
      </c>
      <c r="L247" t="str">
        <f t="shared" si="15"/>
        <v/>
      </c>
    </row>
    <row r="248" spans="11:12" x14ac:dyDescent="0.3">
      <c r="K248" t="str">
        <f t="shared" si="14"/>
        <v/>
      </c>
      <c r="L248" t="str">
        <f t="shared" si="15"/>
        <v/>
      </c>
    </row>
    <row r="249" spans="11:12" x14ac:dyDescent="0.3">
      <c r="K249" t="str">
        <f t="shared" si="14"/>
        <v/>
      </c>
      <c r="L249" t="str">
        <f t="shared" si="15"/>
        <v/>
      </c>
    </row>
    <row r="250" spans="11:12" x14ac:dyDescent="0.3">
      <c r="K250" t="str">
        <f t="shared" si="14"/>
        <v/>
      </c>
      <c r="L250" t="str">
        <f t="shared" si="15"/>
        <v/>
      </c>
    </row>
    <row r="251" spans="11:12" x14ac:dyDescent="0.3">
      <c r="K251" t="str">
        <f t="shared" si="14"/>
        <v/>
      </c>
      <c r="L251" t="str">
        <f t="shared" si="15"/>
        <v/>
      </c>
    </row>
  </sheetData>
  <conditionalFormatting sqref="A1:A1048576">
    <cfRule type="duplicateValues" dxfId="9" priority="1"/>
  </conditionalFormatting>
  <hyperlinks>
    <hyperlink ref="B102" r:id="rId1" xr:uid="{0216ED80-07BE-4655-B2EB-A40A7FBCB22C}"/>
    <hyperlink ref="C102" r:id="rId2" xr:uid="{36A55E53-025B-45E6-8633-D11EDF263BFD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FB325-86A5-444E-A912-38EBC30A0FA3}">
  <sheetPr codeName="Sheet10"/>
  <dimension ref="A1:T53"/>
  <sheetViews>
    <sheetView topLeftCell="E24" zoomScaleNormal="100" workbookViewId="0">
      <selection activeCell="L49" sqref="L49"/>
    </sheetView>
  </sheetViews>
  <sheetFormatPr defaultRowHeight="14.4" x14ac:dyDescent="0.3"/>
  <cols>
    <col min="1" max="1" width="7.6640625" bestFit="1" customWidth="1"/>
    <col min="2" max="2" width="21.44140625" bestFit="1" customWidth="1"/>
    <col min="3" max="3" width="9.44140625" bestFit="1" customWidth="1"/>
    <col min="4" max="4" width="22.44140625" bestFit="1" customWidth="1"/>
    <col min="5" max="8" width="7.88671875" customWidth="1"/>
    <col min="9" max="10" width="10" customWidth="1"/>
    <col min="11" max="11" width="16.88671875" bestFit="1" customWidth="1"/>
    <col min="12" max="12" width="29.5546875" customWidth="1"/>
    <col min="13" max="13" width="21.44140625" bestFit="1" customWidth="1"/>
    <col min="17" max="17" width="31.33203125" customWidth="1"/>
  </cols>
  <sheetData>
    <row r="1" spans="1:20" x14ac:dyDescent="0.3">
      <c r="E1" s="26" t="s">
        <v>341</v>
      </c>
      <c r="F1" s="26"/>
      <c r="G1" s="26"/>
      <c r="H1" s="26"/>
      <c r="I1" s="26"/>
      <c r="J1" s="26"/>
      <c r="K1" s="26"/>
      <c r="M1" s="26" t="s">
        <v>329</v>
      </c>
      <c r="N1" s="26"/>
      <c r="O1" s="26" t="s">
        <v>330</v>
      </c>
      <c r="P1" s="26"/>
      <c r="T1" s="18" t="s">
        <v>1762</v>
      </c>
    </row>
    <row r="2" spans="1:20" x14ac:dyDescent="0.3">
      <c r="A2" t="s">
        <v>340</v>
      </c>
      <c r="B2" t="s">
        <v>434</v>
      </c>
      <c r="C2" t="s">
        <v>433</v>
      </c>
      <c r="D2" t="s">
        <v>22</v>
      </c>
      <c r="E2" t="s">
        <v>239</v>
      </c>
      <c r="F2" s="6" t="s">
        <v>342</v>
      </c>
      <c r="G2" s="6" t="s">
        <v>240</v>
      </c>
      <c r="H2" s="6" t="s">
        <v>343</v>
      </c>
      <c r="I2" s="6" t="s">
        <v>344</v>
      </c>
      <c r="J2" s="7" t="s">
        <v>665</v>
      </c>
      <c r="K2" s="10" t="s">
        <v>681</v>
      </c>
      <c r="L2" s="6" t="s">
        <v>345</v>
      </c>
      <c r="M2" s="6" t="s">
        <v>24</v>
      </c>
      <c r="N2" s="6" t="s">
        <v>346</v>
      </c>
      <c r="O2" s="6" t="s">
        <v>24</v>
      </c>
      <c r="P2" s="6" t="s">
        <v>346</v>
      </c>
    </row>
    <row r="3" spans="1:20" x14ac:dyDescent="0.3">
      <c r="A3">
        <v>1</v>
      </c>
      <c r="B3" t="b">
        <v>1</v>
      </c>
      <c r="C3" t="b">
        <v>0</v>
      </c>
      <c r="D3" t="s">
        <v>187</v>
      </c>
      <c r="F3" s="6" t="b">
        <v>1</v>
      </c>
      <c r="G3" s="6"/>
      <c r="H3" s="6" t="s">
        <v>261</v>
      </c>
      <c r="I3" s="6">
        <f>IF(ISBLANK(H3), "", VLOOKUP(LOWER(H3), javascriptKeycodes!A:B, 2, FALSE))</f>
        <v>70</v>
      </c>
      <c r="J3" s="7" t="str">
        <f>IF(ISBLANK(H3), "", VLOOKUP(LOWER(H3), javascriptKeycodes!A:C, 3, FALSE))</f>
        <v>key_f</v>
      </c>
      <c r="K3" s="10" t="str">
        <f>IF(E3,"CTRL_","")&amp;IF(F3,"ALT_","")&amp;IF(G3,"SHIFT_","")&amp;H3</f>
        <v>ALT_F</v>
      </c>
      <c r="L3" t="s">
        <v>435</v>
      </c>
      <c r="M3" t="s">
        <v>115</v>
      </c>
      <c r="N3" t="s">
        <v>192</v>
      </c>
      <c r="O3" t="s">
        <v>438</v>
      </c>
      <c r="P3" t="s">
        <v>474</v>
      </c>
    </row>
    <row r="4" spans="1:20" x14ac:dyDescent="0.3">
      <c r="A4">
        <v>2</v>
      </c>
      <c r="B4" t="b">
        <v>0</v>
      </c>
      <c r="C4" t="b">
        <v>1</v>
      </c>
      <c r="D4" t="s">
        <v>951</v>
      </c>
      <c r="F4" s="22"/>
      <c r="G4" s="22"/>
      <c r="H4" s="22"/>
      <c r="I4" s="22" t="str">
        <f>IF(ISBLANK(H4), "", VLOOKUP(LOWER(H4), javascriptKeycodes!A:B, 2, FALSE))</f>
        <v/>
      </c>
      <c r="J4" s="22" t="str">
        <f>IF(ISBLANK(H4), "", VLOOKUP(LOWER(H4), javascriptKeycodes!A:C, 3, FALSE))</f>
        <v/>
      </c>
      <c r="K4" s="22" t="str">
        <f t="shared" ref="K4:K24" si="0">IF(E4,"CTRL_","")&amp;IF(F4,"ALT_","")&amp;IF(G4,"SHIFT_","")&amp;H4</f>
        <v/>
      </c>
      <c r="L4" t="s">
        <v>959</v>
      </c>
      <c r="M4" t="s">
        <v>952</v>
      </c>
      <c r="N4" t="s">
        <v>953</v>
      </c>
      <c r="O4" t="s">
        <v>954</v>
      </c>
      <c r="P4" t="s">
        <v>955</v>
      </c>
    </row>
    <row r="5" spans="1:20" x14ac:dyDescent="0.3">
      <c r="A5">
        <v>3</v>
      </c>
      <c r="B5" t="b">
        <v>0</v>
      </c>
      <c r="C5" t="b">
        <v>0</v>
      </c>
      <c r="D5" t="s">
        <v>1194</v>
      </c>
      <c r="E5" t="b">
        <v>1</v>
      </c>
      <c r="F5" s="6"/>
      <c r="G5" s="6" t="b">
        <v>1</v>
      </c>
      <c r="H5" s="6" t="s">
        <v>246</v>
      </c>
      <c r="I5" s="22">
        <f>IF(ISBLANK(H5), "", VLOOKUP(LOWER(H5), javascriptKeycodes!A:B, 2, FALSE))</f>
        <v>76</v>
      </c>
      <c r="J5" s="22" t="str">
        <f>IF(ISBLANK(H5), "", VLOOKUP(LOWER(H5), javascriptKeycodes!A:C, 3, FALSE))</f>
        <v>key_l</v>
      </c>
      <c r="K5" s="22" t="str">
        <f t="shared" si="0"/>
        <v>CTRL_SHIFT_L</v>
      </c>
      <c r="L5" t="s">
        <v>1672</v>
      </c>
      <c r="M5" t="s">
        <v>200</v>
      </c>
      <c r="N5" t="s">
        <v>199</v>
      </c>
      <c r="O5" t="s">
        <v>439</v>
      </c>
      <c r="P5" t="s">
        <v>475</v>
      </c>
    </row>
    <row r="6" spans="1:20" x14ac:dyDescent="0.3">
      <c r="A6">
        <v>4</v>
      </c>
      <c r="B6" t="b">
        <v>0</v>
      </c>
      <c r="C6" t="b">
        <v>1</v>
      </c>
      <c r="D6" t="s">
        <v>1179</v>
      </c>
      <c r="E6" t="b">
        <v>1</v>
      </c>
      <c r="F6" s="24"/>
      <c r="G6" s="24" t="b">
        <v>1</v>
      </c>
      <c r="H6" s="24" t="s">
        <v>371</v>
      </c>
      <c r="I6" s="24">
        <f>IF(ISBLANK(H6), "", VLOOKUP(LOWER(H6), javascriptKeycodes!A:B, 2, FALSE))</f>
        <v>70</v>
      </c>
      <c r="J6" s="24" t="str">
        <f>IF(ISBLANK(H6), "", VLOOKUP(LOWER(H6), javascriptKeycodes!A:C, 3, FALSE))</f>
        <v>key_f</v>
      </c>
      <c r="K6" s="24" t="str">
        <f t="shared" ref="K6" si="1">IF(E6,"CTRL_","")&amp;IF(F6,"ALT_","")&amp;IF(G6,"SHIFT_","")&amp;H6</f>
        <v>CTRL_SHIFT_f</v>
      </c>
      <c r="L6" t="s">
        <v>1187</v>
      </c>
      <c r="M6" t="s">
        <v>1180</v>
      </c>
      <c r="N6" t="s">
        <v>1181</v>
      </c>
      <c r="O6" t="s">
        <v>1182</v>
      </c>
      <c r="P6" t="s">
        <v>1183</v>
      </c>
    </row>
    <row r="7" spans="1:20" x14ac:dyDescent="0.3">
      <c r="A7">
        <v>5</v>
      </c>
      <c r="B7" t="b">
        <v>0</v>
      </c>
      <c r="C7" t="b">
        <v>0</v>
      </c>
      <c r="D7" t="s">
        <v>154</v>
      </c>
      <c r="E7" t="b">
        <v>1</v>
      </c>
      <c r="F7" s="6"/>
      <c r="G7" s="6"/>
      <c r="H7" s="6" t="s">
        <v>251</v>
      </c>
      <c r="I7" s="22">
        <f>IF(ISBLANK(H7), "", VLOOKUP(LOWER(H7), javascriptKeycodes!A:B, 2, FALSE))</f>
        <v>74</v>
      </c>
      <c r="J7" s="22" t="str">
        <f>IF(ISBLANK(H7), "", VLOOKUP(LOWER(H7), javascriptKeycodes!A:C, 3, FALSE))</f>
        <v>key_j</v>
      </c>
      <c r="K7" s="22" t="str">
        <f t="shared" si="0"/>
        <v>CTRL_J</v>
      </c>
      <c r="L7" t="s">
        <v>1672</v>
      </c>
      <c r="M7" t="s">
        <v>140</v>
      </c>
      <c r="N7" t="s">
        <v>193</v>
      </c>
      <c r="O7" t="s">
        <v>442</v>
      </c>
      <c r="P7" t="s">
        <v>476</v>
      </c>
    </row>
    <row r="8" spans="1:20" x14ac:dyDescent="0.3">
      <c r="A8">
        <v>6</v>
      </c>
      <c r="B8" t="b">
        <v>0</v>
      </c>
      <c r="C8" t="b">
        <v>1</v>
      </c>
      <c r="D8" t="s">
        <v>155</v>
      </c>
      <c r="E8" t="b">
        <v>1</v>
      </c>
      <c r="F8" s="6"/>
      <c r="G8" t="b">
        <v>1</v>
      </c>
      <c r="H8" s="6" t="s">
        <v>251</v>
      </c>
      <c r="I8" s="22">
        <f>IF(ISBLANK(H8), "", VLOOKUP(LOWER(H8), javascriptKeycodes!A:B, 2, FALSE))</f>
        <v>74</v>
      </c>
      <c r="J8" s="22" t="str">
        <f>IF(ISBLANK(H8), "", VLOOKUP(LOWER(H8), javascriptKeycodes!A:C, 3, FALSE))</f>
        <v>key_j</v>
      </c>
      <c r="K8" s="22" t="str">
        <f t="shared" si="0"/>
        <v>CTRL_SHIFT_J</v>
      </c>
      <c r="L8" t="s">
        <v>1672</v>
      </c>
      <c r="M8" t="s">
        <v>139</v>
      </c>
      <c r="N8" t="s">
        <v>194</v>
      </c>
      <c r="O8" t="s">
        <v>443</v>
      </c>
      <c r="P8" t="s">
        <v>477</v>
      </c>
    </row>
    <row r="9" spans="1:20" x14ac:dyDescent="0.3">
      <c r="A9">
        <v>7</v>
      </c>
      <c r="B9" t="b">
        <v>0</v>
      </c>
      <c r="C9" t="b">
        <v>0</v>
      </c>
      <c r="D9" t="s">
        <v>156</v>
      </c>
      <c r="E9" t="b">
        <v>1</v>
      </c>
      <c r="F9" s="6"/>
      <c r="G9" s="6"/>
      <c r="H9" s="6" t="s">
        <v>248</v>
      </c>
      <c r="I9" s="22">
        <f>IF(ISBLANK(H9), "", VLOOKUP(LOWER(H9), javascriptKeycodes!A:B, 2, FALSE))</f>
        <v>80</v>
      </c>
      <c r="J9" s="22" t="str">
        <f>IF(ISBLANK(H9), "", VLOOKUP(LOWER(H9), javascriptKeycodes!A:C, 3, FALSE))</f>
        <v>key_p</v>
      </c>
      <c r="K9" s="22" t="str">
        <f t="shared" si="0"/>
        <v>CTRL_P</v>
      </c>
      <c r="L9" t="s">
        <v>1672</v>
      </c>
      <c r="M9" t="s">
        <v>120</v>
      </c>
      <c r="N9" t="s">
        <v>195</v>
      </c>
      <c r="O9" t="s">
        <v>444</v>
      </c>
      <c r="P9" t="s">
        <v>478</v>
      </c>
    </row>
    <row r="10" spans="1:20" x14ac:dyDescent="0.3">
      <c r="A10">
        <v>8</v>
      </c>
      <c r="B10" t="b">
        <v>1</v>
      </c>
      <c r="C10" t="b">
        <v>0</v>
      </c>
      <c r="D10" t="s">
        <v>15</v>
      </c>
      <c r="F10" s="7" t="b">
        <v>1</v>
      </c>
      <c r="G10" s="6"/>
      <c r="H10" s="6" t="s">
        <v>243</v>
      </c>
      <c r="I10" s="22">
        <f>IF(ISBLANK(H10), "", VLOOKUP(LOWER(H10), javascriptKeycodes!A:B, 2, FALSE))</f>
        <v>83</v>
      </c>
      <c r="J10" s="22" t="str">
        <f>IF(ISBLANK(H10), "", VLOOKUP(LOWER(H10), javascriptKeycodes!A:C, 3, FALSE))</f>
        <v>key_s</v>
      </c>
      <c r="K10" s="22" t="str">
        <f t="shared" si="0"/>
        <v>ALT_S</v>
      </c>
      <c r="L10" t="s">
        <v>435</v>
      </c>
      <c r="M10" t="s">
        <v>136</v>
      </c>
      <c r="N10" t="s">
        <v>196</v>
      </c>
      <c r="O10" t="s">
        <v>445</v>
      </c>
      <c r="P10" t="s">
        <v>479</v>
      </c>
    </row>
    <row r="11" spans="1:20" x14ac:dyDescent="0.3">
      <c r="A11">
        <v>9</v>
      </c>
      <c r="B11" t="b">
        <v>0</v>
      </c>
      <c r="C11" t="b">
        <v>0</v>
      </c>
      <c r="D11" t="s">
        <v>157</v>
      </c>
      <c r="E11" t="b">
        <v>1</v>
      </c>
      <c r="F11" s="6"/>
      <c r="G11" s="6"/>
      <c r="H11" s="6" t="s">
        <v>249</v>
      </c>
      <c r="I11" s="22">
        <f>IF(ISBLANK(H11), "", VLOOKUP(LOWER(H11), javascriptKeycodes!A:B, 2, FALSE))</f>
        <v>85</v>
      </c>
      <c r="J11" s="22" t="str">
        <f>IF(ISBLANK(H11), "", VLOOKUP(LOWER(H11), javascriptKeycodes!A:C, 3, FALSE))</f>
        <v>key_u</v>
      </c>
      <c r="K11" s="22" t="str">
        <f t="shared" si="0"/>
        <v>CTRL_U</v>
      </c>
      <c r="L11" t="s">
        <v>867</v>
      </c>
      <c r="M11" t="s">
        <v>234</v>
      </c>
      <c r="N11" t="s">
        <v>235</v>
      </c>
      <c r="O11" t="s">
        <v>446</v>
      </c>
      <c r="P11" t="s">
        <v>480</v>
      </c>
    </row>
    <row r="12" spans="1:20" x14ac:dyDescent="0.3">
      <c r="A12">
        <v>10</v>
      </c>
      <c r="B12" t="b">
        <v>0</v>
      </c>
      <c r="C12" t="b">
        <v>0</v>
      </c>
      <c r="D12" t="s">
        <v>158</v>
      </c>
      <c r="E12" t="b">
        <v>1</v>
      </c>
      <c r="F12" s="6"/>
      <c r="G12" s="6"/>
      <c r="H12" s="6" t="s">
        <v>254</v>
      </c>
      <c r="I12" s="22">
        <f>IF(ISBLANK(H12), "", VLOOKUP(LOWER(H12), javascriptKeycodes!A:B, 2, FALSE))</f>
        <v>69</v>
      </c>
      <c r="J12" s="22" t="str">
        <f>IF(ISBLANK(H12), "", VLOOKUP(LOWER(H12), javascriptKeycodes!A:C, 3, FALSE))</f>
        <v>key_e</v>
      </c>
      <c r="K12" s="22" t="str">
        <f t="shared" si="0"/>
        <v>CTRL_E</v>
      </c>
      <c r="L12" t="s">
        <v>866</v>
      </c>
      <c r="M12" t="s">
        <v>201</v>
      </c>
      <c r="N12" t="s">
        <v>203</v>
      </c>
      <c r="O12" t="s">
        <v>447</v>
      </c>
      <c r="P12" t="s">
        <v>481</v>
      </c>
    </row>
    <row r="13" spans="1:20" x14ac:dyDescent="0.3">
      <c r="A13">
        <v>11</v>
      </c>
      <c r="B13" t="b">
        <v>0</v>
      </c>
      <c r="C13" t="b">
        <v>0</v>
      </c>
      <c r="D13" t="s">
        <v>19</v>
      </c>
      <c r="E13" t="b">
        <v>1</v>
      </c>
      <c r="F13" s="7"/>
      <c r="G13" s="7" t="b">
        <v>1</v>
      </c>
      <c r="H13" s="6" t="s">
        <v>243</v>
      </c>
      <c r="I13" s="22">
        <f>IF(ISBLANK(H13), "", VLOOKUP(LOWER(H13), javascriptKeycodes!A:B, 2, FALSE))</f>
        <v>83</v>
      </c>
      <c r="J13" s="22" t="str">
        <f>IF(ISBLANK(H13), "", VLOOKUP(LOWER(H13), javascriptKeycodes!A:C, 3, FALSE))</f>
        <v>key_s</v>
      </c>
      <c r="K13" s="22" t="str">
        <f t="shared" si="0"/>
        <v>CTRL_SHIFT_S</v>
      </c>
      <c r="L13" t="s">
        <v>1672</v>
      </c>
      <c r="M13" t="s">
        <v>202</v>
      </c>
      <c r="N13" t="s">
        <v>1156</v>
      </c>
      <c r="O13" t="s">
        <v>448</v>
      </c>
      <c r="P13" t="s">
        <v>482</v>
      </c>
    </row>
    <row r="14" spans="1:20" x14ac:dyDescent="0.3">
      <c r="A14">
        <v>12</v>
      </c>
      <c r="B14" t="b">
        <v>0</v>
      </c>
      <c r="C14" t="b">
        <v>1</v>
      </c>
      <c r="D14" t="s">
        <v>285</v>
      </c>
      <c r="E14" t="b">
        <v>1</v>
      </c>
      <c r="F14" s="6"/>
      <c r="G14" s="7" t="b">
        <v>1</v>
      </c>
      <c r="H14" s="6" t="s">
        <v>257</v>
      </c>
      <c r="I14" s="22">
        <f>IF(ISBLANK(H14), "", VLOOKUP(LOWER(H14), javascriptKeycodes!A:B, 2, FALSE))</f>
        <v>86</v>
      </c>
      <c r="J14" s="22" t="str">
        <f>IF(ISBLANK(H14), "", VLOOKUP(LOWER(H14), javascriptKeycodes!A:C, 3, FALSE))</f>
        <v>key_v</v>
      </c>
      <c r="K14" s="22" t="str">
        <f t="shared" si="0"/>
        <v>CTRL_SHIFT_V</v>
      </c>
      <c r="L14" t="s">
        <v>766</v>
      </c>
      <c r="M14" t="s">
        <v>1155</v>
      </c>
      <c r="N14" t="s">
        <v>1157</v>
      </c>
      <c r="O14" t="s">
        <v>1156</v>
      </c>
      <c r="P14" t="s">
        <v>1158</v>
      </c>
    </row>
    <row r="15" spans="1:20" x14ac:dyDescent="0.3">
      <c r="A15">
        <v>13</v>
      </c>
      <c r="B15" t="b">
        <v>0</v>
      </c>
      <c r="C15" t="b">
        <v>0</v>
      </c>
      <c r="D15" t="s">
        <v>159</v>
      </c>
      <c r="E15" t="b">
        <v>1</v>
      </c>
      <c r="F15" s="6"/>
      <c r="G15" s="6"/>
      <c r="H15" s="6" t="s">
        <v>255</v>
      </c>
      <c r="I15" s="22">
        <f>IF(ISBLANK(H15), "", VLOOKUP(LOWER(H15), javascriptKeycodes!A:B, 2, FALSE))</f>
        <v>75</v>
      </c>
      <c r="J15" s="22" t="str">
        <f>IF(ISBLANK(H15), "", VLOOKUP(LOWER(H15), javascriptKeycodes!A:C, 3, FALSE))</f>
        <v>key_k</v>
      </c>
      <c r="K15" s="22" t="str">
        <f t="shared" si="0"/>
        <v>CTRL_K</v>
      </c>
      <c r="L15" t="s">
        <v>868</v>
      </c>
      <c r="M15" t="s">
        <v>236</v>
      </c>
      <c r="N15" t="s">
        <v>205</v>
      </c>
      <c r="O15" t="s">
        <v>449</v>
      </c>
      <c r="P15" t="s">
        <v>483</v>
      </c>
    </row>
    <row r="16" spans="1:20" x14ac:dyDescent="0.3">
      <c r="A16">
        <v>14</v>
      </c>
      <c r="B16" t="b">
        <v>0</v>
      </c>
      <c r="C16" t="b">
        <v>0</v>
      </c>
      <c r="D16" t="s">
        <v>160</v>
      </c>
      <c r="E16" t="b">
        <v>1</v>
      </c>
      <c r="F16" s="6"/>
      <c r="G16" s="7" t="b">
        <v>1</v>
      </c>
      <c r="H16" s="6" t="s">
        <v>255</v>
      </c>
      <c r="I16" s="22">
        <f>IF(ISBLANK(H16), "", VLOOKUP(LOWER(H16), javascriptKeycodes!A:B, 2, FALSE))</f>
        <v>75</v>
      </c>
      <c r="J16" s="22" t="str">
        <f>IF(ISBLANK(H16), "", VLOOKUP(LOWER(H16), javascriptKeycodes!A:C, 3, FALSE))</f>
        <v>key_k</v>
      </c>
      <c r="K16" s="22" t="str">
        <f t="shared" si="0"/>
        <v>CTRL_SHIFT_K</v>
      </c>
      <c r="L16" t="s">
        <v>869</v>
      </c>
      <c r="M16" t="s">
        <v>237</v>
      </c>
      <c r="N16" t="s">
        <v>206</v>
      </c>
      <c r="O16" t="s">
        <v>450</v>
      </c>
      <c r="P16" t="s">
        <v>484</v>
      </c>
    </row>
    <row r="17" spans="1:16" x14ac:dyDescent="0.3">
      <c r="A17">
        <v>15</v>
      </c>
      <c r="B17" t="b">
        <v>1</v>
      </c>
      <c r="C17" t="b">
        <v>0</v>
      </c>
      <c r="D17" t="s">
        <v>188</v>
      </c>
      <c r="F17" s="7" t="b">
        <v>1</v>
      </c>
      <c r="G17" s="6"/>
      <c r="H17" s="6" t="s">
        <v>254</v>
      </c>
      <c r="I17" s="22">
        <f>IF(ISBLANK(H17), "", VLOOKUP(LOWER(H17), javascriptKeycodes!A:B, 2, FALSE))</f>
        <v>69</v>
      </c>
      <c r="J17" s="22" t="str">
        <f>IF(ISBLANK(H17), "", VLOOKUP(LOWER(H17), javascriptKeycodes!A:C, 3, FALSE))</f>
        <v>key_e</v>
      </c>
      <c r="K17" s="22" t="str">
        <f t="shared" si="0"/>
        <v>ALT_E</v>
      </c>
      <c r="L17" t="s">
        <v>435</v>
      </c>
      <c r="M17" t="s">
        <v>123</v>
      </c>
      <c r="N17" t="s">
        <v>214</v>
      </c>
      <c r="O17" t="s">
        <v>451</v>
      </c>
      <c r="P17" t="s">
        <v>485</v>
      </c>
    </row>
    <row r="18" spans="1:16" x14ac:dyDescent="0.3">
      <c r="A18">
        <v>16</v>
      </c>
      <c r="B18" t="b">
        <v>0</v>
      </c>
      <c r="C18" t="b">
        <v>1</v>
      </c>
      <c r="D18" t="s">
        <v>715</v>
      </c>
      <c r="E18" t="b">
        <v>1</v>
      </c>
      <c r="F18" t="b">
        <v>1</v>
      </c>
      <c r="G18" t="b">
        <v>1</v>
      </c>
      <c r="H18" s="16" t="s">
        <v>243</v>
      </c>
      <c r="I18" s="22">
        <f>IF(ISBLANK(H18), "", VLOOKUP(LOWER(H18), javascriptKeycodes!A:B, 2, FALSE))</f>
        <v>83</v>
      </c>
      <c r="J18" s="22" t="str">
        <f>IF(ISBLANK(H18), "", VLOOKUP(LOWER(H18), javascriptKeycodes!A:C, 3, FALSE))</f>
        <v>key_s</v>
      </c>
      <c r="K18" s="22" t="str">
        <f t="shared" si="0"/>
        <v>CTRL_ALT_SHIFT_S</v>
      </c>
      <c r="L18" t="s">
        <v>716</v>
      </c>
      <c r="M18" t="s">
        <v>683</v>
      </c>
      <c r="N18" t="s">
        <v>713</v>
      </c>
      <c r="O18" t="s">
        <v>684</v>
      </c>
      <c r="P18" t="s">
        <v>714</v>
      </c>
    </row>
    <row r="19" spans="1:16" x14ac:dyDescent="0.3">
      <c r="A19">
        <v>17</v>
      </c>
      <c r="B19" t="b">
        <v>0</v>
      </c>
      <c r="C19" t="b">
        <v>0</v>
      </c>
      <c r="D19" t="s">
        <v>271</v>
      </c>
      <c r="E19" t="b">
        <v>1</v>
      </c>
      <c r="F19" s="6"/>
      <c r="G19" s="6"/>
      <c r="H19" s="6" t="s">
        <v>264</v>
      </c>
      <c r="I19" s="22">
        <f>IF(ISBLANK(H19), "", VLOOKUP(LOWER(H19), javascriptKeycodes!A:B, 2, FALSE))</f>
        <v>65</v>
      </c>
      <c r="J19" s="22" t="str">
        <f>IF(ISBLANK(H19), "", VLOOKUP(LOWER(H19), javascriptKeycodes!A:C, 3, FALSE))</f>
        <v>key_a</v>
      </c>
      <c r="K19" s="22" t="str">
        <f t="shared" si="0"/>
        <v>CTRL_A</v>
      </c>
      <c r="L19" t="s">
        <v>870</v>
      </c>
      <c r="M19" t="s">
        <v>268</v>
      </c>
      <c r="N19" t="s">
        <v>436</v>
      </c>
      <c r="O19" t="s">
        <v>452</v>
      </c>
      <c r="P19" t="s">
        <v>486</v>
      </c>
    </row>
    <row r="20" spans="1:16" x14ac:dyDescent="0.3">
      <c r="A20">
        <v>18</v>
      </c>
      <c r="B20" t="b">
        <v>0</v>
      </c>
      <c r="C20" t="b">
        <v>1</v>
      </c>
      <c r="D20" t="s">
        <v>270</v>
      </c>
      <c r="E20" t="b">
        <v>1</v>
      </c>
      <c r="F20" s="6"/>
      <c r="G20" s="7" t="b">
        <v>1</v>
      </c>
      <c r="H20" s="6" t="s">
        <v>264</v>
      </c>
      <c r="I20" s="22">
        <f>IF(ISBLANK(H20), "", VLOOKUP(LOWER(H20), javascriptKeycodes!A:B, 2, FALSE))</f>
        <v>65</v>
      </c>
      <c r="J20" s="22" t="str">
        <f>IF(ISBLANK(H20), "", VLOOKUP(LOWER(H20), javascriptKeycodes!A:C, 3, FALSE))</f>
        <v>key_a</v>
      </c>
      <c r="K20" s="22" t="str">
        <f t="shared" si="0"/>
        <v>CTRL_SHIFT_A</v>
      </c>
      <c r="L20" t="s">
        <v>871</v>
      </c>
      <c r="M20" t="s">
        <v>269</v>
      </c>
      <c r="N20" t="s">
        <v>437</v>
      </c>
      <c r="O20" t="s">
        <v>453</v>
      </c>
      <c r="P20" t="s">
        <v>487</v>
      </c>
    </row>
    <row r="21" spans="1:16" x14ac:dyDescent="0.3">
      <c r="A21">
        <v>19</v>
      </c>
      <c r="B21" t="b">
        <v>0</v>
      </c>
      <c r="C21" t="b">
        <v>0</v>
      </c>
      <c r="D21" t="s">
        <v>161</v>
      </c>
      <c r="E21" t="b">
        <v>1</v>
      </c>
      <c r="F21" s="6"/>
      <c r="G21" s="21"/>
      <c r="H21" s="6" t="s">
        <v>256</v>
      </c>
      <c r="I21" s="22">
        <f>IF(ISBLANK(H21), "", VLOOKUP(LOWER(H21), javascriptKeycodes!A:B, 2, FALSE))</f>
        <v>88</v>
      </c>
      <c r="J21" s="22" t="str">
        <f>IF(ISBLANK(H21), "", VLOOKUP(LOWER(H21), javascriptKeycodes!A:C, 3, FALSE))</f>
        <v>key_x</v>
      </c>
      <c r="K21" s="22" t="str">
        <f t="shared" si="0"/>
        <v>CTRL_X</v>
      </c>
      <c r="L21" t="s">
        <v>912</v>
      </c>
      <c r="M21" t="s">
        <v>124</v>
      </c>
      <c r="N21" t="s">
        <v>208</v>
      </c>
      <c r="O21" t="s">
        <v>454</v>
      </c>
      <c r="P21" t="s">
        <v>488</v>
      </c>
    </row>
    <row r="22" spans="1:16" x14ac:dyDescent="0.3">
      <c r="A22">
        <v>20</v>
      </c>
      <c r="B22" t="b">
        <v>0</v>
      </c>
      <c r="C22" t="b">
        <v>0</v>
      </c>
      <c r="D22" t="s">
        <v>162</v>
      </c>
      <c r="E22" t="b">
        <v>1</v>
      </c>
      <c r="F22" s="6"/>
      <c r="G22" s="21"/>
      <c r="H22" s="6" t="s">
        <v>244</v>
      </c>
      <c r="I22" s="22">
        <f>IF(ISBLANK(H22), "", VLOOKUP(LOWER(H22), javascriptKeycodes!A:B, 2, FALSE))</f>
        <v>67</v>
      </c>
      <c r="J22" s="22" t="str">
        <f>IF(ISBLANK(H22), "", VLOOKUP(LOWER(H22), javascriptKeycodes!A:C, 3, FALSE))</f>
        <v>key_c</v>
      </c>
      <c r="K22" s="22" t="str">
        <f t="shared" si="0"/>
        <v>CTRL_C</v>
      </c>
      <c r="L22" t="s">
        <v>909</v>
      </c>
      <c r="M22" t="s">
        <v>125</v>
      </c>
      <c r="N22" t="s">
        <v>207</v>
      </c>
      <c r="O22" t="s">
        <v>455</v>
      </c>
      <c r="P22" t="s">
        <v>489</v>
      </c>
    </row>
    <row r="23" spans="1:16" x14ac:dyDescent="0.3">
      <c r="A23">
        <v>21</v>
      </c>
      <c r="B23" t="b">
        <v>0</v>
      </c>
      <c r="C23" t="b">
        <v>0</v>
      </c>
      <c r="D23" t="s">
        <v>163</v>
      </c>
      <c r="E23" t="b">
        <v>1</v>
      </c>
      <c r="F23" s="21"/>
      <c r="G23" s="21"/>
      <c r="H23" s="6" t="s">
        <v>257</v>
      </c>
      <c r="I23" s="22">
        <f>IF(ISBLANK(H23), "", VLOOKUP(LOWER(H23), javascriptKeycodes!A:B, 2, FALSE))</f>
        <v>86</v>
      </c>
      <c r="J23" s="22" t="str">
        <f>IF(ISBLANK(H23), "", VLOOKUP(LOWER(H23), javascriptKeycodes!A:C, 3, FALSE))</f>
        <v>key_v</v>
      </c>
      <c r="K23" s="22" t="str">
        <f t="shared" si="0"/>
        <v>CTRL_V</v>
      </c>
      <c r="L23" t="s">
        <v>910</v>
      </c>
      <c r="M23" t="s">
        <v>126</v>
      </c>
      <c r="N23" t="s">
        <v>209</v>
      </c>
      <c r="O23" t="s">
        <v>456</v>
      </c>
      <c r="P23" t="s">
        <v>490</v>
      </c>
    </row>
    <row r="24" spans="1:16" x14ac:dyDescent="0.3">
      <c r="A24">
        <v>22</v>
      </c>
      <c r="B24" t="b">
        <v>0</v>
      </c>
      <c r="C24" t="b">
        <v>0</v>
      </c>
      <c r="D24" t="s">
        <v>165</v>
      </c>
      <c r="E24" t="b">
        <v>1</v>
      </c>
      <c r="F24" s="6"/>
      <c r="G24" s="7" t="b">
        <v>1</v>
      </c>
      <c r="H24" s="6" t="s">
        <v>244</v>
      </c>
      <c r="I24" s="22">
        <f>IF(ISBLANK(H24), "", VLOOKUP(LOWER(H24), javascriptKeycodes!A:B, 2, FALSE))</f>
        <v>67</v>
      </c>
      <c r="J24" s="22" t="str">
        <f>IF(ISBLANK(H24), "", VLOOKUP(LOWER(H24), javascriptKeycodes!A:C, 3, FALSE))</f>
        <v>key_c</v>
      </c>
      <c r="K24" s="22" t="str">
        <f t="shared" si="0"/>
        <v>CTRL_SHIFT_C</v>
      </c>
      <c r="L24" t="s">
        <v>911</v>
      </c>
      <c r="M24" t="s">
        <v>164</v>
      </c>
      <c r="N24" t="s">
        <v>210</v>
      </c>
      <c r="O24" t="s">
        <v>457</v>
      </c>
      <c r="P24" t="s">
        <v>491</v>
      </c>
    </row>
    <row r="25" spans="1:16" x14ac:dyDescent="0.3">
      <c r="A25">
        <v>23</v>
      </c>
      <c r="B25" t="b">
        <v>0</v>
      </c>
      <c r="C25" t="b">
        <v>1</v>
      </c>
      <c r="D25" t="s">
        <v>166</v>
      </c>
      <c r="F25" s="6"/>
      <c r="G25" s="6"/>
      <c r="H25" s="6" t="s">
        <v>7</v>
      </c>
      <c r="I25" s="22">
        <f>IF(ISBLANK(H25), "", VLOOKUP(LOWER(H25), javascriptKeycodes!A:B, 2, FALSE))</f>
        <v>46</v>
      </c>
      <c r="J25" s="22" t="str">
        <f>IF(ISBLANK(H25), "", VLOOKUP(LOWER(H25), javascriptKeycodes!A:C, 3, FALSE))</f>
        <v>key_delete</v>
      </c>
      <c r="K25" s="22" t="str">
        <f t="shared" ref="K25:K27" si="2">IF(E25,"CTRL_","")&amp;IF(F25,"ALT_","")&amp;IF(G25,"SHIFT_","")&amp;H25</f>
        <v>delete</v>
      </c>
      <c r="L25" t="s">
        <v>1653</v>
      </c>
      <c r="M25" t="s">
        <v>33</v>
      </c>
      <c r="N25" t="s">
        <v>211</v>
      </c>
      <c r="O25" t="s">
        <v>458</v>
      </c>
      <c r="P25" t="s">
        <v>492</v>
      </c>
    </row>
    <row r="26" spans="1:16" x14ac:dyDescent="0.3">
      <c r="A26">
        <v>24</v>
      </c>
      <c r="B26" t="b">
        <v>0</v>
      </c>
      <c r="C26" t="b">
        <v>1</v>
      </c>
      <c r="D26" t="s">
        <v>17</v>
      </c>
      <c r="E26" t="b">
        <v>1</v>
      </c>
      <c r="F26" s="25"/>
      <c r="G26" s="25"/>
      <c r="H26" s="25" t="s">
        <v>245</v>
      </c>
      <c r="I26" s="25">
        <f>IF(ISBLANK(H26), "", VLOOKUP(LOWER(H26), javascriptKeycodes!A:B, 2, FALSE))</f>
        <v>68</v>
      </c>
      <c r="J26" s="25" t="str">
        <f>IF(ISBLANK(H26), "", VLOOKUP(LOWER(H26), javascriptKeycodes!A:C, 3, FALSE))</f>
        <v>key_d</v>
      </c>
      <c r="K26" s="25" t="str">
        <f t="shared" ref="K26" si="3">IF(E26,"CTRL_","")&amp;IF(F26,"ALT_","")&amp;IF(G26,"SHIFT_","")&amp;H26</f>
        <v>CTRL_D</v>
      </c>
      <c r="L26" t="s">
        <v>1660</v>
      </c>
      <c r="M26" t="s">
        <v>1656</v>
      </c>
      <c r="N26" t="s">
        <v>1658</v>
      </c>
      <c r="O26" t="s">
        <v>1657</v>
      </c>
      <c r="P26" t="s">
        <v>1659</v>
      </c>
    </row>
    <row r="27" spans="1:16" x14ac:dyDescent="0.3">
      <c r="A27">
        <v>25</v>
      </c>
      <c r="B27" t="b">
        <v>0</v>
      </c>
      <c r="C27" t="b">
        <v>0</v>
      </c>
      <c r="D27" t="s">
        <v>167</v>
      </c>
      <c r="E27" t="b">
        <v>1</v>
      </c>
      <c r="F27" s="6"/>
      <c r="G27" s="6"/>
      <c r="H27" s="6" t="s">
        <v>258</v>
      </c>
      <c r="I27" s="22">
        <f>IF(ISBLANK(H27), "", VLOOKUP(LOWER(H27), javascriptKeycodes!A:B, 2, FALSE))</f>
        <v>90</v>
      </c>
      <c r="J27" s="22" t="str">
        <f>IF(ISBLANK(H27), "", VLOOKUP(LOWER(H27), javascriptKeycodes!A:C, 3, FALSE))</f>
        <v>key_z</v>
      </c>
      <c r="K27" s="22" t="str">
        <f t="shared" si="2"/>
        <v>CTRL_Z</v>
      </c>
      <c r="L27" t="s">
        <v>1654</v>
      </c>
      <c r="M27" t="s">
        <v>143</v>
      </c>
      <c r="N27" t="s">
        <v>212</v>
      </c>
      <c r="O27" t="s">
        <v>459</v>
      </c>
      <c r="P27" t="s">
        <v>493</v>
      </c>
    </row>
    <row r="28" spans="1:16" x14ac:dyDescent="0.3">
      <c r="A28">
        <v>26</v>
      </c>
      <c r="B28" t="b">
        <v>0</v>
      </c>
      <c r="C28" t="b">
        <v>0</v>
      </c>
      <c r="D28" t="s">
        <v>168</v>
      </c>
      <c r="E28" t="b">
        <v>1</v>
      </c>
      <c r="F28" s="6"/>
      <c r="G28" s="7" t="b">
        <v>1</v>
      </c>
      <c r="H28" s="6" t="s">
        <v>258</v>
      </c>
      <c r="I28" s="22">
        <f>IF(ISBLANK(H28), "", VLOOKUP(LOWER(H28), javascriptKeycodes!A:B, 2, FALSE))</f>
        <v>90</v>
      </c>
      <c r="J28" s="22" t="str">
        <f>IF(ISBLANK(H28), "", VLOOKUP(LOWER(H28), javascriptKeycodes!A:C, 3, FALSE))</f>
        <v>key_z</v>
      </c>
      <c r="K28" s="22" t="str">
        <f t="shared" ref="K28:K47" si="4">IF(E28,"CTRL_","")&amp;IF(F28,"ALT_","")&amp;IF(G28,"SHIFT_","")&amp;H28</f>
        <v>CTRL_SHIFT_Z</v>
      </c>
      <c r="L28" t="s">
        <v>1655</v>
      </c>
      <c r="M28" t="s">
        <v>144</v>
      </c>
      <c r="N28" t="s">
        <v>213</v>
      </c>
      <c r="O28" t="s">
        <v>460</v>
      </c>
      <c r="P28" t="s">
        <v>494</v>
      </c>
    </row>
    <row r="29" spans="1:16" x14ac:dyDescent="0.3">
      <c r="A29">
        <v>27</v>
      </c>
      <c r="B29" t="b">
        <v>1</v>
      </c>
      <c r="C29" t="b">
        <v>0</v>
      </c>
      <c r="D29" t="s">
        <v>894</v>
      </c>
      <c r="F29" s="20" t="b">
        <v>1</v>
      </c>
      <c r="G29" s="20"/>
      <c r="H29" s="20" t="s">
        <v>611</v>
      </c>
      <c r="I29" s="22">
        <f>IF(ISBLANK(H29), "", VLOOKUP(LOWER(H29), javascriptKeycodes!A:B, 2, FALSE))</f>
        <v>78</v>
      </c>
      <c r="J29" s="22" t="str">
        <f>IF(ISBLANK(H29), "", VLOOKUP(LOWER(H29), javascriptKeycodes!A:C, 3, FALSE))</f>
        <v>key_n</v>
      </c>
      <c r="K29" s="22" t="str">
        <f t="shared" si="4"/>
        <v>ALT_N</v>
      </c>
      <c r="M29" t="s">
        <v>895</v>
      </c>
      <c r="N29" t="s">
        <v>897</v>
      </c>
      <c r="O29" t="s">
        <v>896</v>
      </c>
      <c r="P29" t="s">
        <v>898</v>
      </c>
    </row>
    <row r="30" spans="1:16" x14ac:dyDescent="0.3">
      <c r="A30">
        <v>28</v>
      </c>
      <c r="B30" t="b">
        <v>0</v>
      </c>
      <c r="C30" t="b">
        <v>0</v>
      </c>
      <c r="D30" t="s">
        <v>169</v>
      </c>
      <c r="E30" t="b">
        <v>1</v>
      </c>
      <c r="F30" s="6"/>
      <c r="G30" s="6"/>
      <c r="H30" s="6" t="s">
        <v>404</v>
      </c>
      <c r="I30" s="22">
        <f>IF(ISBLANK(H30), "", VLOOKUP(LOWER(H30), javascriptKeycodes!A:B, 2, FALSE))</f>
        <v>107</v>
      </c>
      <c r="J30" s="22" t="str">
        <f>IF(ISBLANK(H30), "", VLOOKUP(LOWER(H30), javascriptKeycodes!A:C, 3, FALSE))</f>
        <v>key_add</v>
      </c>
      <c r="K30" s="22" t="str">
        <f t="shared" si="4"/>
        <v>CTRL_add</v>
      </c>
      <c r="L30" t="s">
        <v>875</v>
      </c>
      <c r="M30" t="s">
        <v>129</v>
      </c>
      <c r="N30" t="s">
        <v>216</v>
      </c>
      <c r="O30" t="s">
        <v>462</v>
      </c>
      <c r="P30" t="s">
        <v>496</v>
      </c>
    </row>
    <row r="31" spans="1:16" x14ac:dyDescent="0.3">
      <c r="A31">
        <v>29</v>
      </c>
      <c r="B31" t="b">
        <v>0</v>
      </c>
      <c r="C31" t="b">
        <v>0</v>
      </c>
      <c r="D31" t="s">
        <v>170</v>
      </c>
      <c r="E31" t="b">
        <v>1</v>
      </c>
      <c r="F31" s="6"/>
      <c r="G31" s="6"/>
      <c r="H31" s="6" t="s">
        <v>405</v>
      </c>
      <c r="I31" s="22">
        <f>IF(ISBLANK(H31), "", VLOOKUP(LOWER(H31), javascriptKeycodes!A:B, 2, FALSE))</f>
        <v>109</v>
      </c>
      <c r="J31" s="22" t="str">
        <f>IF(ISBLANK(H31), "", VLOOKUP(LOWER(H31), javascriptKeycodes!A:C, 3, FALSE))</f>
        <v>key_sub</v>
      </c>
      <c r="K31" s="22" t="str">
        <f t="shared" si="4"/>
        <v>CTRL_subtract</v>
      </c>
      <c r="L31" t="s">
        <v>874</v>
      </c>
      <c r="M31" t="s">
        <v>128</v>
      </c>
      <c r="N31" t="s">
        <v>217</v>
      </c>
      <c r="O31" t="s">
        <v>463</v>
      </c>
      <c r="P31" t="s">
        <v>497</v>
      </c>
    </row>
    <row r="32" spans="1:16" x14ac:dyDescent="0.3">
      <c r="A32">
        <v>30</v>
      </c>
      <c r="B32" t="b">
        <v>0</v>
      </c>
      <c r="C32" t="b">
        <v>0</v>
      </c>
      <c r="D32" t="s">
        <v>172</v>
      </c>
      <c r="E32" t="b">
        <v>1</v>
      </c>
      <c r="F32" s="6"/>
      <c r="G32" s="6"/>
      <c r="H32" s="6" t="s">
        <v>666</v>
      </c>
      <c r="I32" s="22">
        <f>IF(ISBLANK(H32), "", VLOOKUP(LOWER(H32), javascriptKeycodes!A:B, 2, FALSE))</f>
        <v>48</v>
      </c>
      <c r="J32" s="22" t="str">
        <f>IF(ISBLANK(H32), "", VLOOKUP(LOWER(H32), javascriptKeycodes!A:C, 3, FALSE))</f>
        <v>key_0</v>
      </c>
      <c r="K32" s="22" t="str">
        <f t="shared" si="4"/>
        <v>CTRL_K_0</v>
      </c>
      <c r="L32" t="s">
        <v>876</v>
      </c>
      <c r="M32" t="s">
        <v>131</v>
      </c>
      <c r="N32" t="s">
        <v>218</v>
      </c>
      <c r="O32" t="s">
        <v>464</v>
      </c>
      <c r="P32" t="s">
        <v>498</v>
      </c>
    </row>
    <row r="33" spans="1:16" x14ac:dyDescent="0.3">
      <c r="A33">
        <v>31</v>
      </c>
      <c r="B33" t="b">
        <v>0</v>
      </c>
      <c r="C33" t="b">
        <v>1</v>
      </c>
      <c r="D33" t="s">
        <v>171</v>
      </c>
      <c r="E33" t="b">
        <v>1</v>
      </c>
      <c r="F33" s="6"/>
      <c r="G33" s="7" t="b">
        <v>1</v>
      </c>
      <c r="H33" s="7" t="s">
        <v>666</v>
      </c>
      <c r="I33" s="22">
        <f>IF(ISBLANK(H33), "", VLOOKUP(LOWER(H33), javascriptKeycodes!A:B, 2, FALSE))</f>
        <v>48</v>
      </c>
      <c r="J33" s="22" t="str">
        <f>IF(ISBLANK(H33), "", VLOOKUP(LOWER(H33), javascriptKeycodes!A:C, 3, FALSE))</f>
        <v>key_0</v>
      </c>
      <c r="K33" s="22" t="str">
        <f t="shared" si="4"/>
        <v>CTRL_SHIFT_K_0</v>
      </c>
      <c r="L33" t="s">
        <v>877</v>
      </c>
      <c r="M33" t="s">
        <v>130</v>
      </c>
      <c r="N33" t="s">
        <v>219</v>
      </c>
      <c r="O33" t="s">
        <v>465</v>
      </c>
      <c r="P33" t="s">
        <v>499</v>
      </c>
    </row>
    <row r="34" spans="1:16" x14ac:dyDescent="0.3">
      <c r="A34">
        <v>32</v>
      </c>
      <c r="B34" t="b">
        <v>0</v>
      </c>
      <c r="C34" t="b">
        <v>0</v>
      </c>
      <c r="D34" t="s">
        <v>764</v>
      </c>
      <c r="E34" t="b">
        <v>1</v>
      </c>
      <c r="F34" s="6" t="b">
        <v>1</v>
      </c>
      <c r="G34" s="19" t="b">
        <v>1</v>
      </c>
      <c r="H34" s="6" t="s">
        <v>264</v>
      </c>
      <c r="I34" s="22">
        <f>IF(ISBLANK(H34), "", VLOOKUP(LOWER(H34), javascriptKeycodes!A:B, 2, FALSE))</f>
        <v>65</v>
      </c>
      <c r="J34" s="22" t="str">
        <f>IF(ISBLANK(H34), "", VLOOKUP(LOWER(H34), javascriptKeycodes!A:C, 3, FALSE))</f>
        <v>key_a</v>
      </c>
      <c r="K34" s="22" t="str">
        <f t="shared" si="4"/>
        <v>CTRL_ALT_SHIFT_A</v>
      </c>
      <c r="L34" t="s">
        <v>1672</v>
      </c>
      <c r="M34" t="s">
        <v>222</v>
      </c>
      <c r="N34" t="s">
        <v>223</v>
      </c>
      <c r="O34" t="s">
        <v>469</v>
      </c>
      <c r="P34" t="s">
        <v>503</v>
      </c>
    </row>
    <row r="35" spans="1:16" x14ac:dyDescent="0.3">
      <c r="A35">
        <v>33</v>
      </c>
      <c r="B35" t="b">
        <v>1</v>
      </c>
      <c r="C35" t="b">
        <v>0</v>
      </c>
      <c r="D35" t="s">
        <v>189</v>
      </c>
      <c r="F35" s="7" t="b">
        <v>1</v>
      </c>
      <c r="G35" s="6"/>
      <c r="H35" s="6" t="s">
        <v>257</v>
      </c>
      <c r="I35" s="22">
        <f>IF(ISBLANK(H35), "", VLOOKUP(LOWER(H35), javascriptKeycodes!A:B, 2, FALSE))</f>
        <v>86</v>
      </c>
      <c r="J35" s="22" t="str">
        <f>IF(ISBLANK(H35), "", VLOOKUP(LOWER(H35), javascriptKeycodes!A:C, 3, FALSE))</f>
        <v>key_v</v>
      </c>
      <c r="K35" s="22" t="str">
        <f t="shared" si="4"/>
        <v>ALT_V</v>
      </c>
      <c r="L35" t="s">
        <v>435</v>
      </c>
      <c r="M35" t="s">
        <v>127</v>
      </c>
      <c r="N35" t="s">
        <v>215</v>
      </c>
      <c r="O35" t="s">
        <v>461</v>
      </c>
      <c r="P35" t="s">
        <v>495</v>
      </c>
    </row>
    <row r="36" spans="1:16" x14ac:dyDescent="0.3">
      <c r="A36">
        <v>34</v>
      </c>
      <c r="B36" t="b">
        <v>0</v>
      </c>
      <c r="C36" t="b">
        <v>0</v>
      </c>
      <c r="D36" t="s">
        <v>189</v>
      </c>
      <c r="E36" t="b">
        <v>1</v>
      </c>
      <c r="F36" s="9" t="b">
        <v>1</v>
      </c>
      <c r="G36" s="9" t="b">
        <v>1</v>
      </c>
      <c r="H36" s="9" t="s">
        <v>261</v>
      </c>
      <c r="I36" s="22">
        <f>IF(ISBLANK(H36), "", VLOOKUP(LOWER(H36), javascriptKeycodes!A:B, 2, FALSE))</f>
        <v>70</v>
      </c>
      <c r="J36" s="22" t="str">
        <f>IF(ISBLANK(H36), "", VLOOKUP(LOWER(H36), javascriptKeycodes!A:C, 3, FALSE))</f>
        <v>key_f</v>
      </c>
      <c r="K36" s="22" t="str">
        <f t="shared" si="4"/>
        <v>CTRL_ALT_SHIFT_F</v>
      </c>
      <c r="L36" t="s">
        <v>680</v>
      </c>
      <c r="M36" t="s">
        <v>676</v>
      </c>
      <c r="N36" t="s">
        <v>677</v>
      </c>
      <c r="O36" t="s">
        <v>678</v>
      </c>
      <c r="P36" t="s">
        <v>679</v>
      </c>
    </row>
    <row r="37" spans="1:16" x14ac:dyDescent="0.3">
      <c r="A37">
        <v>35</v>
      </c>
      <c r="B37" t="b">
        <v>0</v>
      </c>
      <c r="C37" t="b">
        <v>0</v>
      </c>
      <c r="D37" t="s">
        <v>173</v>
      </c>
      <c r="E37" t="b">
        <v>1</v>
      </c>
      <c r="F37" s="6"/>
      <c r="G37" s="6"/>
      <c r="H37" s="6" t="s">
        <v>247</v>
      </c>
      <c r="I37" s="22">
        <f>IF(ISBLANK(H37), "", VLOOKUP(LOWER(H37), javascriptKeycodes!A:B, 2, FALSE))</f>
        <v>77</v>
      </c>
      <c r="J37" s="22" t="str">
        <f>IF(ISBLANK(H37), "", VLOOKUP(LOWER(H37), javascriptKeycodes!A:C, 3, FALSE))</f>
        <v>key_m</v>
      </c>
      <c r="K37" s="22" t="str">
        <f t="shared" si="4"/>
        <v>CTRL_M</v>
      </c>
      <c r="L37" t="s">
        <v>872</v>
      </c>
      <c r="M37" t="s">
        <v>145</v>
      </c>
      <c r="N37" t="s">
        <v>220</v>
      </c>
      <c r="O37" t="s">
        <v>466</v>
      </c>
      <c r="P37" t="s">
        <v>500</v>
      </c>
    </row>
    <row r="38" spans="1:16" x14ac:dyDescent="0.3">
      <c r="A38">
        <v>36</v>
      </c>
      <c r="B38" t="b">
        <v>0</v>
      </c>
      <c r="C38" t="b">
        <v>1</v>
      </c>
      <c r="D38" t="s">
        <v>174</v>
      </c>
      <c r="E38" t="b">
        <v>1</v>
      </c>
      <c r="F38" s="6"/>
      <c r="G38" s="7" t="b">
        <v>1</v>
      </c>
      <c r="H38" s="7" t="s">
        <v>247</v>
      </c>
      <c r="I38" s="22">
        <f>IF(ISBLANK(H38), "", VLOOKUP(LOWER(H38), javascriptKeycodes!A:B, 2, FALSE))</f>
        <v>77</v>
      </c>
      <c r="J38" s="22" t="str">
        <f>IF(ISBLANK(H38), "", VLOOKUP(LOWER(H38), javascriptKeycodes!A:C, 3, FALSE))</f>
        <v>key_m</v>
      </c>
      <c r="K38" s="22" t="str">
        <f t="shared" si="4"/>
        <v>CTRL_SHIFT_M</v>
      </c>
      <c r="L38" t="s">
        <v>873</v>
      </c>
      <c r="M38" t="s">
        <v>146</v>
      </c>
      <c r="N38" t="s">
        <v>221</v>
      </c>
      <c r="O38" t="s">
        <v>467</v>
      </c>
      <c r="P38" t="s">
        <v>501</v>
      </c>
    </row>
    <row r="39" spans="1:16" x14ac:dyDescent="0.3">
      <c r="A39">
        <v>37</v>
      </c>
      <c r="B39" t="b">
        <v>0</v>
      </c>
      <c r="C39" t="b">
        <v>0</v>
      </c>
      <c r="D39" t="s">
        <v>964</v>
      </c>
      <c r="E39" t="b">
        <v>1</v>
      </c>
      <c r="F39" s="6"/>
      <c r="G39" s="6"/>
      <c r="H39" s="6" t="s">
        <v>250</v>
      </c>
      <c r="I39" s="22">
        <f>IF(ISBLANK(H39), "", VLOOKUP(LOWER(H39), javascriptKeycodes!A:B, 2, FALSE))</f>
        <v>82</v>
      </c>
      <c r="J39" s="22" t="str">
        <f>IF(ISBLANK(H39), "", VLOOKUP(LOWER(H39), javascriptKeycodes!A:C, 3, FALSE))</f>
        <v>key_r</v>
      </c>
      <c r="K39" s="22" t="str">
        <f t="shared" si="4"/>
        <v>CTRL_R</v>
      </c>
      <c r="L39" t="s">
        <v>887</v>
      </c>
      <c r="M39" t="s">
        <v>878</v>
      </c>
      <c r="N39" t="s">
        <v>879</v>
      </c>
      <c r="O39" t="s">
        <v>882</v>
      </c>
      <c r="P39" t="s">
        <v>884</v>
      </c>
    </row>
    <row r="40" spans="1:16" x14ac:dyDescent="0.3">
      <c r="A40">
        <v>38</v>
      </c>
      <c r="B40" t="b">
        <v>0</v>
      </c>
      <c r="C40" t="b">
        <v>1</v>
      </c>
      <c r="D40" t="s">
        <v>965</v>
      </c>
      <c r="E40" t="b">
        <v>1</v>
      </c>
      <c r="F40" s="6"/>
      <c r="G40" s="6" t="b">
        <v>1</v>
      </c>
      <c r="H40" s="6" t="s">
        <v>250</v>
      </c>
      <c r="I40" s="22">
        <f>IF(ISBLANK(H40), "", VLOOKUP(LOWER(H40), javascriptKeycodes!A:B, 2, FALSE))</f>
        <v>82</v>
      </c>
      <c r="J40" s="22" t="str">
        <f>IF(ISBLANK(H40), "", VLOOKUP(LOWER(H40), javascriptKeycodes!A:C, 3, FALSE))</f>
        <v>key_r</v>
      </c>
      <c r="K40" s="22" t="str">
        <f t="shared" si="4"/>
        <v>CTRL_SHIFT_R</v>
      </c>
      <c r="L40" t="s">
        <v>886</v>
      </c>
      <c r="M40" t="s">
        <v>881</v>
      </c>
      <c r="N40" t="s">
        <v>880</v>
      </c>
      <c r="O40" t="s">
        <v>883</v>
      </c>
      <c r="P40" t="s">
        <v>885</v>
      </c>
    </row>
    <row r="41" spans="1:16" x14ac:dyDescent="0.3">
      <c r="A41">
        <v>39</v>
      </c>
      <c r="B41" t="b">
        <v>0</v>
      </c>
      <c r="C41" t="b">
        <v>0</v>
      </c>
      <c r="D41" t="s">
        <v>165</v>
      </c>
      <c r="E41" t="b">
        <v>1</v>
      </c>
      <c r="F41" s="20"/>
      <c r="G41" s="20"/>
      <c r="H41" s="20" t="s">
        <v>261</v>
      </c>
      <c r="I41" s="22">
        <f>IF(ISBLANK(H41), "", VLOOKUP(LOWER(H41), javascriptKeycodes!A:B, 2, FALSE))</f>
        <v>70</v>
      </c>
      <c r="J41" s="22" t="str">
        <f>IF(ISBLANK(H41), "", VLOOKUP(LOWER(H41), javascriptKeycodes!A:C, 3, FALSE))</f>
        <v>key_f</v>
      </c>
      <c r="K41" s="22" t="str">
        <f t="shared" si="4"/>
        <v>CTRL_F</v>
      </c>
      <c r="L41" t="s">
        <v>907</v>
      </c>
      <c r="M41" t="s">
        <v>899</v>
      </c>
      <c r="N41" t="s">
        <v>903</v>
      </c>
      <c r="O41" t="s">
        <v>901</v>
      </c>
      <c r="P41" t="s">
        <v>905</v>
      </c>
    </row>
    <row r="42" spans="1:16" x14ac:dyDescent="0.3">
      <c r="A42">
        <v>40</v>
      </c>
      <c r="B42" t="b">
        <v>0</v>
      </c>
      <c r="C42" t="b">
        <v>0</v>
      </c>
      <c r="D42" t="s">
        <v>975</v>
      </c>
      <c r="E42" t="b">
        <v>1</v>
      </c>
      <c r="F42" s="20"/>
      <c r="G42" s="20"/>
      <c r="H42" s="20" t="s">
        <v>265</v>
      </c>
      <c r="I42" s="22">
        <f>IF(ISBLANK(H42), "", VLOOKUP(LOWER(H42), javascriptKeycodes!A:B, 2, FALSE))</f>
        <v>66</v>
      </c>
      <c r="J42" s="22" t="str">
        <f>IF(ISBLANK(H42), "", VLOOKUP(LOWER(H42), javascriptKeycodes!A:C, 3, FALSE))</f>
        <v>key_b</v>
      </c>
      <c r="K42" s="22" t="str">
        <f t="shared" si="4"/>
        <v>CTRL_B</v>
      </c>
      <c r="L42" t="s">
        <v>908</v>
      </c>
      <c r="M42" t="s">
        <v>900</v>
      </c>
      <c r="N42" t="s">
        <v>904</v>
      </c>
      <c r="O42" t="s">
        <v>902</v>
      </c>
      <c r="P42" t="s">
        <v>906</v>
      </c>
    </row>
    <row r="43" spans="1:16" x14ac:dyDescent="0.3">
      <c r="A43">
        <v>41</v>
      </c>
      <c r="B43" t="b">
        <v>0</v>
      </c>
      <c r="C43" t="b">
        <v>0</v>
      </c>
      <c r="D43" t="s">
        <v>280</v>
      </c>
      <c r="F43" s="6"/>
      <c r="G43" s="6"/>
      <c r="H43" s="6"/>
      <c r="I43" s="22" t="str">
        <f>IF(ISBLANK(H43), "", VLOOKUP(LOWER(H43), javascriptKeycodes!A:B, 2, FALSE))</f>
        <v/>
      </c>
      <c r="J43" s="22" t="str">
        <f>IF(ISBLANK(H43), "", VLOOKUP(LOWER(H43), javascriptKeycodes!A:C, 3, FALSE))</f>
        <v/>
      </c>
      <c r="K43" s="22" t="str">
        <f t="shared" si="4"/>
        <v/>
      </c>
      <c r="L43" t="s">
        <v>963</v>
      </c>
      <c r="M43" t="s">
        <v>279</v>
      </c>
      <c r="N43" t="s">
        <v>281</v>
      </c>
      <c r="O43" t="s">
        <v>468</v>
      </c>
      <c r="P43" t="s">
        <v>502</v>
      </c>
    </row>
    <row r="44" spans="1:16" x14ac:dyDescent="0.3">
      <c r="A44">
        <v>42</v>
      </c>
      <c r="B44" t="b">
        <v>1</v>
      </c>
      <c r="C44" t="b">
        <v>0</v>
      </c>
      <c r="D44" t="s">
        <v>191</v>
      </c>
      <c r="F44" s="7" t="b">
        <v>1</v>
      </c>
      <c r="G44" s="6"/>
      <c r="H44" s="6" t="s">
        <v>267</v>
      </c>
      <c r="I44" s="22">
        <f>IF(ISBLANK(H44), "", VLOOKUP(LOWER(H44), javascriptKeycodes!A:B, 2, FALSE))</f>
        <v>72</v>
      </c>
      <c r="J44" s="22" t="str">
        <f>IF(ISBLANK(H44), "", VLOOKUP(LOWER(H44), javascriptKeycodes!A:C, 3, FALSE))</f>
        <v>key_h</v>
      </c>
      <c r="K44" s="22" t="str">
        <f t="shared" si="4"/>
        <v>ALT_H</v>
      </c>
      <c r="L44" t="s">
        <v>435</v>
      </c>
      <c r="M44" t="s">
        <v>147</v>
      </c>
      <c r="N44" t="s">
        <v>231</v>
      </c>
      <c r="O44" t="s">
        <v>470</v>
      </c>
      <c r="P44" t="s">
        <v>504</v>
      </c>
    </row>
    <row r="45" spans="1:16" x14ac:dyDescent="0.3">
      <c r="A45">
        <v>43</v>
      </c>
      <c r="B45" t="b">
        <v>0</v>
      </c>
      <c r="C45" t="b">
        <v>0</v>
      </c>
      <c r="D45" t="s">
        <v>183</v>
      </c>
      <c r="E45" t="b">
        <v>1</v>
      </c>
      <c r="F45" s="6"/>
      <c r="G45" s="6"/>
      <c r="H45" s="6" t="s">
        <v>267</v>
      </c>
      <c r="I45" s="22">
        <f>IF(ISBLANK(H45), "", VLOOKUP(LOWER(H45), javascriptKeycodes!A:B, 2, FALSE))</f>
        <v>72</v>
      </c>
      <c r="J45" s="22" t="str">
        <f>IF(ISBLANK(H45), "", VLOOKUP(LOWER(H45), javascriptKeycodes!A:C, 3, FALSE))</f>
        <v>key_h</v>
      </c>
      <c r="K45" s="22" t="str">
        <f t="shared" si="4"/>
        <v>CTRL_H</v>
      </c>
      <c r="L45" t="s">
        <v>1672</v>
      </c>
      <c r="M45" t="s">
        <v>148</v>
      </c>
      <c r="N45" t="s">
        <v>232</v>
      </c>
      <c r="O45" t="s">
        <v>471</v>
      </c>
      <c r="P45" t="s">
        <v>505</v>
      </c>
    </row>
    <row r="46" spans="1:16" x14ac:dyDescent="0.3">
      <c r="A46">
        <v>44</v>
      </c>
      <c r="B46" t="b">
        <v>0</v>
      </c>
      <c r="C46" t="b">
        <v>1</v>
      </c>
      <c r="D46" t="s">
        <v>186</v>
      </c>
      <c r="E46" t="b">
        <v>1</v>
      </c>
      <c r="F46" s="6"/>
      <c r="G46" s="6" t="b">
        <v>1</v>
      </c>
      <c r="H46" s="6" t="s">
        <v>267</v>
      </c>
      <c r="I46" s="22">
        <f>IF(ISBLANK(H46), "", VLOOKUP(LOWER(H46), javascriptKeycodes!A:B, 2, FALSE))</f>
        <v>72</v>
      </c>
      <c r="J46" s="22" t="str">
        <f>IF(ISBLANK(H46), "", VLOOKUP(LOWER(H46), javascriptKeycodes!A:C, 3, FALSE))</f>
        <v>key_h</v>
      </c>
      <c r="K46" s="22" t="str">
        <f t="shared" si="4"/>
        <v>CTRL_SHIFT_H</v>
      </c>
      <c r="L46" t="s">
        <v>1672</v>
      </c>
      <c r="M46" t="s">
        <v>184</v>
      </c>
      <c r="N46" t="s">
        <v>233</v>
      </c>
      <c r="O46" t="s">
        <v>472</v>
      </c>
      <c r="P46" t="s">
        <v>506</v>
      </c>
    </row>
    <row r="47" spans="1:16" x14ac:dyDescent="0.3">
      <c r="A47">
        <v>45</v>
      </c>
      <c r="B47" t="b">
        <v>0</v>
      </c>
      <c r="C47" t="b">
        <v>0</v>
      </c>
      <c r="D47" t="s">
        <v>185</v>
      </c>
      <c r="F47" s="6"/>
      <c r="G47" s="6"/>
      <c r="H47" s="6"/>
      <c r="I47" s="22" t="str">
        <f>IF(ISBLANK(H47), "", VLOOKUP(LOWER(H47), javascriptKeycodes!A:B, 2, FALSE))</f>
        <v/>
      </c>
      <c r="J47" s="22" t="str">
        <f>IF(ISBLANK(H47), "", VLOOKUP(LOWER(H47), javascriptKeycodes!A:C, 3, FALSE))</f>
        <v/>
      </c>
      <c r="K47" s="22" t="str">
        <f t="shared" si="4"/>
        <v/>
      </c>
      <c r="L47" t="s">
        <v>1672</v>
      </c>
      <c r="M47" t="s">
        <v>149</v>
      </c>
      <c r="N47" t="s">
        <v>233</v>
      </c>
      <c r="O47" t="s">
        <v>473</v>
      </c>
      <c r="P47" t="s">
        <v>506</v>
      </c>
    </row>
    <row r="48" spans="1:16" x14ac:dyDescent="0.3">
      <c r="A48">
        <v>46</v>
      </c>
      <c r="B48" t="b">
        <v>1</v>
      </c>
      <c r="C48" t="b">
        <v>0</v>
      </c>
      <c r="D48" t="s">
        <v>1740</v>
      </c>
      <c r="F48" s="7"/>
      <c r="G48" s="6"/>
      <c r="H48" s="6"/>
      <c r="I48" s="22" t="str">
        <f>IF(ISBLANK(H48), "", VLOOKUP(LOWER(H48), javascriptKeycodes!A:B, 2, FALSE))</f>
        <v/>
      </c>
      <c r="J48" s="22" t="str">
        <f>IF(ISBLANK(H48), "", VLOOKUP(LOWER(H48), javascriptKeycodes!A:C, 3, FALSE))</f>
        <v/>
      </c>
      <c r="K48" s="22" t="str">
        <f>IF(E48,"CTRL_","")&amp;IF(F48,"ALT_","")&amp;IF(G48,"SHIFT_","")&amp;H48</f>
        <v/>
      </c>
      <c r="M48" t="s">
        <v>1739</v>
      </c>
      <c r="N48" t="s">
        <v>1746</v>
      </c>
      <c r="O48" t="s">
        <v>1750</v>
      </c>
      <c r="P48" t="s">
        <v>1754</v>
      </c>
    </row>
    <row r="49" spans="1:16" x14ac:dyDescent="0.3">
      <c r="A49">
        <v>47</v>
      </c>
      <c r="B49" t="b">
        <v>0</v>
      </c>
      <c r="C49" t="b">
        <v>0</v>
      </c>
      <c r="D49" t="s">
        <v>1742</v>
      </c>
      <c r="F49" s="6"/>
      <c r="G49" s="6"/>
      <c r="H49" s="6"/>
      <c r="I49" s="22" t="str">
        <f>IF(ISBLANK(H49), "", VLOOKUP(LOWER(H49), javascriptKeycodes!A:B, 2, FALSE))</f>
        <v/>
      </c>
      <c r="J49" s="22" t="str">
        <f>IF(ISBLANK(H49), "", VLOOKUP(LOWER(H49), javascriptKeycodes!A:C, 3, FALSE))</f>
        <v/>
      </c>
      <c r="K49" s="22" t="str">
        <f>IF(E49,"CTRL_","")&amp;IF(F49,"ALT_","")&amp;IF(G49,"SHIFT_","")&amp;H49</f>
        <v/>
      </c>
      <c r="L49" t="s">
        <v>1758</v>
      </c>
      <c r="M49" t="s">
        <v>1743</v>
      </c>
      <c r="N49" t="s">
        <v>1747</v>
      </c>
      <c r="O49" t="s">
        <v>1753</v>
      </c>
      <c r="P49" t="s">
        <v>1755</v>
      </c>
    </row>
    <row r="50" spans="1:16" x14ac:dyDescent="0.3">
      <c r="A50">
        <v>48</v>
      </c>
      <c r="B50" t="b">
        <v>0</v>
      </c>
      <c r="C50" t="b">
        <v>0</v>
      </c>
      <c r="D50" t="s">
        <v>1761</v>
      </c>
      <c r="F50" s="6"/>
      <c r="G50" s="6"/>
      <c r="H50" s="6"/>
      <c r="I50" s="22" t="str">
        <f>IF(ISBLANK(H50), "", VLOOKUP(LOWER(H50), javascriptKeycodes!A:B, 2, FALSE))</f>
        <v/>
      </c>
      <c r="J50" s="22" t="str">
        <f>IF(ISBLANK(H50), "", VLOOKUP(LOWER(H50), javascriptKeycodes!A:C, 3, FALSE))</f>
        <v/>
      </c>
      <c r="K50" s="22" t="str">
        <f>IF(E50,"CTRL_","")&amp;IF(F50,"ALT_","")&amp;IF(G50,"SHIFT_","")&amp;H50</f>
        <v/>
      </c>
      <c r="L50" t="s">
        <v>1759</v>
      </c>
      <c r="M50" t="s">
        <v>1744</v>
      </c>
      <c r="N50" t="s">
        <v>1748</v>
      </c>
      <c r="O50" t="s">
        <v>1751</v>
      </c>
      <c r="P50" t="s">
        <v>1756</v>
      </c>
    </row>
    <row r="51" spans="1:16" x14ac:dyDescent="0.3">
      <c r="A51">
        <v>49</v>
      </c>
      <c r="B51" t="b">
        <v>0</v>
      </c>
      <c r="C51" t="b">
        <v>0</v>
      </c>
      <c r="D51" t="s">
        <v>1741</v>
      </c>
      <c r="F51" s="6"/>
      <c r="G51" s="6"/>
      <c r="H51" s="6"/>
      <c r="I51" s="22" t="str">
        <f>IF(ISBLANK(H51), "", VLOOKUP(LOWER(H51), javascriptKeycodes!A:B, 2, FALSE))</f>
        <v/>
      </c>
      <c r="J51" s="22" t="str">
        <f>IF(ISBLANK(H51), "", VLOOKUP(LOWER(H51), javascriptKeycodes!A:C, 3, FALSE))</f>
        <v/>
      </c>
      <c r="K51" s="22" t="str">
        <f>IF(E51,"CTRL_","")&amp;IF(F51,"ALT_","")&amp;IF(G51,"SHIFT_","")&amp;H51</f>
        <v/>
      </c>
      <c r="L51" t="s">
        <v>1760</v>
      </c>
      <c r="M51" t="s">
        <v>1745</v>
      </c>
      <c r="N51" t="s">
        <v>1749</v>
      </c>
      <c r="O51" t="s">
        <v>1752</v>
      </c>
      <c r="P51" t="s">
        <v>1757</v>
      </c>
    </row>
    <row r="52" spans="1:16" x14ac:dyDescent="0.3">
      <c r="F52" s="6"/>
      <c r="G52" s="6"/>
      <c r="H52" s="6"/>
      <c r="I52" s="6"/>
      <c r="J52" s="7"/>
      <c r="K52" s="10"/>
    </row>
    <row r="53" spans="1:16" x14ac:dyDescent="0.3">
      <c r="F53" s="6"/>
      <c r="G53" s="6"/>
      <c r="H53" s="6"/>
      <c r="I53" s="6"/>
      <c r="J53" s="7"/>
      <c r="K53" s="10"/>
    </row>
  </sheetData>
  <mergeCells count="3">
    <mergeCell ref="M1:N1"/>
    <mergeCell ref="O1:P1"/>
    <mergeCell ref="E1:K1"/>
  </mergeCells>
  <conditionalFormatting sqref="G54:G1048576">
    <cfRule type="duplicateValues" dxfId="8" priority="4"/>
  </conditionalFormatting>
  <conditionalFormatting sqref="K1:K1048576">
    <cfRule type="duplicateValues" dxfId="7" priority="2"/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GenerateMenuJson">
                <anchor moveWithCells="1" sizeWithCells="1">
                  <from>
                    <xdr:col>20</xdr:col>
                    <xdr:colOff>0</xdr:colOff>
                    <xdr:row>1</xdr:row>
                    <xdr:rowOff>0</xdr:rowOff>
                  </from>
                  <to>
                    <xdr:col>24</xdr:col>
                    <xdr:colOff>236220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D1744-DBC7-4B87-ADBF-E121A0745F7E}">
  <sheetPr codeName="Sheet12"/>
  <dimension ref="A1:M100"/>
  <sheetViews>
    <sheetView workbookViewId="0">
      <selection activeCell="G6" sqref="G6"/>
    </sheetView>
  </sheetViews>
  <sheetFormatPr defaultRowHeight="14.4" x14ac:dyDescent="0.3"/>
  <cols>
    <col min="1" max="6" width="8.88671875" style="11"/>
    <col min="7" max="7" width="17.77734375" style="11" customWidth="1"/>
    <col min="8" max="8" width="27.21875" style="13" customWidth="1"/>
    <col min="9" max="9" width="8.88671875" style="13"/>
    <col min="10" max="16384" width="8.88671875" style="11"/>
  </cols>
  <sheetData>
    <row r="1" spans="1:13" x14ac:dyDescent="0.3">
      <c r="A1" s="11" t="s">
        <v>239</v>
      </c>
      <c r="B1" s="12" t="s">
        <v>342</v>
      </c>
      <c r="C1" s="12" t="s">
        <v>240</v>
      </c>
      <c r="D1" s="12" t="s">
        <v>343</v>
      </c>
      <c r="E1" s="12" t="s">
        <v>344</v>
      </c>
      <c r="F1" s="12" t="s">
        <v>665</v>
      </c>
      <c r="G1" s="12" t="s">
        <v>345</v>
      </c>
      <c r="I1" s="13" t="str">
        <f>IF(ISBLANK(menu!K1),"",menu!K1)</f>
        <v/>
      </c>
      <c r="L1" s="14" t="str">
        <f>"const extraKBShortcut =["&amp;_xlfn.CONCAT(M:M)&amp;"];"</f>
        <v>const extraKBShortcut =[{"ctrl":true,"alt":false,"shift":false,"keycode":"96","func":"mainSystem.navigate('zoomActual')"},{"ctrl":true,"alt":false,"shift":true,"keycode":"96","func":"mainSystem.navigate('fit')"},{"ctrl":true,"alt":false,"shift":false,"keycode":"189","func":"mainSystem.navigate('zoomOut')"},{"ctrl":true,"alt":false,"shift":false,"keycode":"187","func":"mainSystem.navigate('zoomIn')"},{"ctrl":false,"alt":false,"shift":false,"keycode":"38","func":"mainSystem.navigate('up')"},{"ctrl":false,"alt":false,"shift":false,"keycode":"40","func":"mainSystem.navigate('down')"},{"ctrl":false,"alt":false,"shift":false,"keycode":"39","func":"mainSystem.navigate('right')"},{"ctrl":false,"alt":false,"shift":false,"keycode":"37","func":"mainSystem.navigate('left')"}];</v>
      </c>
    </row>
    <row r="2" spans="1:13" x14ac:dyDescent="0.3">
      <c r="A2" s="11" t="b">
        <v>1</v>
      </c>
      <c r="B2" s="12"/>
      <c r="C2" s="12"/>
      <c r="D2" s="12" t="s">
        <v>393</v>
      </c>
      <c r="E2" s="12">
        <f>IF(ISBLANK(D2), "", VLOOKUP(LOWER(D2), javascriptKeycodes!A:C, 2, FALSE))</f>
        <v>96</v>
      </c>
      <c r="F2" s="12" t="str">
        <f>IF(ISBLANK(D2), "", VLOOKUP(LOWER(D2), javascriptKeycodes!A:C, 3, FALSE))</f>
        <v>key_num_0</v>
      </c>
      <c r="G2" s="11" t="s">
        <v>876</v>
      </c>
      <c r="H2" s="13" t="str">
        <f>IF(A2,"CTRL_","")&amp;IF(B2,"ALT_","")&amp;IF(C2,"SHIFT_","")&amp;D2</f>
        <v>CTRL_numpad 0</v>
      </c>
      <c r="I2" s="13" t="str">
        <f>IF(ISBLANK(menu!K2),"",menu!K2)</f>
        <v>duplicate_check</v>
      </c>
      <c r="M2" s="11" t="str">
        <f>IF(ISBLANK(D2),"","{""ctrl"":"&amp;IF(A2,"true","false")&amp;",""alt"":"&amp;IF(B2,"true","false")&amp;",""shift"":"&amp;IF(C2,"true","false")&amp;",""keycode"":"""&amp;E2&amp;""",""func"":"""&amp;G2&amp;"""}"&amp;IF(ISBLANK(D3),"",","))</f>
        <v>{"ctrl":true,"alt":false,"shift":false,"keycode":"96","func":"mainSystem.navigate('zoomActual')"},</v>
      </c>
    </row>
    <row r="3" spans="1:13" x14ac:dyDescent="0.3">
      <c r="A3" s="11" t="b">
        <v>1</v>
      </c>
      <c r="C3" s="11" t="b">
        <v>1</v>
      </c>
      <c r="D3" s="12" t="s">
        <v>393</v>
      </c>
      <c r="E3" s="12">
        <f>IF(ISBLANK(D3), "", VLOOKUP(LOWER(D3), javascriptKeycodes!A:C, 2, FALSE))</f>
        <v>96</v>
      </c>
      <c r="F3" s="12" t="str">
        <f>IF(ISBLANK(D3), "", VLOOKUP(LOWER(D3), javascriptKeycodes!A:C, 3, FALSE))</f>
        <v>key_num_0</v>
      </c>
      <c r="G3" s="11" t="s">
        <v>877</v>
      </c>
      <c r="H3" s="13" t="str">
        <f t="shared" ref="H3:H66" si="0">IF(A3,"CTRL_","")&amp;IF(B3,"ALT_","")&amp;IF(C3,"SHIFT_","")&amp;D3</f>
        <v>CTRL_SHIFT_numpad 0</v>
      </c>
      <c r="I3" s="13" t="str">
        <f>IF(ISBLANK(menu!K3),"",menu!K3)</f>
        <v>ALT_F</v>
      </c>
      <c r="M3" s="11" t="str">
        <f t="shared" ref="M3:M66" si="1">IF(ISBLANK(D3),"","{""ctrl"":"&amp;IF(A3,"true","false")&amp;",""alt"":"&amp;IF(B3,"true","false")&amp;",""shift"":"&amp;IF(C3,"true","false")&amp;",""keycode"":"""&amp;E3&amp;""",""func"":"""&amp;G3&amp;"""}"&amp;IF(ISBLANK(D4),"",","))</f>
        <v>{"ctrl":true,"alt":false,"shift":true,"keycode":"96","func":"mainSystem.navigate('fit')"},</v>
      </c>
    </row>
    <row r="4" spans="1:13" x14ac:dyDescent="0.3">
      <c r="A4" s="11" t="b">
        <v>1</v>
      </c>
      <c r="D4" s="11" t="s">
        <v>425</v>
      </c>
      <c r="E4" s="12">
        <f>IF(ISBLANK(D4), "", VLOOKUP(LOWER(D4), javascriptKeycodes!A:C, 2, FALSE))</f>
        <v>189</v>
      </c>
      <c r="F4" s="12" t="str">
        <f>IF(ISBLANK(D4), "", VLOOKUP(LOWER(D4), javascriptKeycodes!A:C, 3, FALSE))</f>
        <v>key_dash</v>
      </c>
      <c r="G4" s="11" t="s">
        <v>874</v>
      </c>
      <c r="H4" s="13" t="str">
        <f t="shared" si="0"/>
        <v>CTRL_dash</v>
      </c>
      <c r="I4" s="13" t="str">
        <f>IF(ISBLANK(menu!K5),"",menu!K5)</f>
        <v>CTRL_SHIFT_L</v>
      </c>
      <c r="M4" s="11" t="str">
        <f t="shared" si="1"/>
        <v>{"ctrl":true,"alt":false,"shift":false,"keycode":"189","func":"mainSystem.navigate('zoomOut')"},</v>
      </c>
    </row>
    <row r="5" spans="1:13" x14ac:dyDescent="0.3">
      <c r="A5" s="11" t="b">
        <v>1</v>
      </c>
      <c r="D5" s="11" t="s">
        <v>423</v>
      </c>
      <c r="E5" s="12">
        <f>IF(ISBLANK(D5), "", VLOOKUP(LOWER(D5), javascriptKeycodes!A:C, 2, FALSE))</f>
        <v>187</v>
      </c>
      <c r="F5" s="12" t="str">
        <f>IF(ISBLANK(D5), "", VLOOKUP(LOWER(D5), javascriptKeycodes!A:C, 3, FALSE))</f>
        <v>key_equal_sign</v>
      </c>
      <c r="G5" s="11" t="s">
        <v>875</v>
      </c>
      <c r="H5" s="13" t="str">
        <f t="shared" si="0"/>
        <v>CTRL_equal sign</v>
      </c>
      <c r="I5" s="13" t="e">
        <f>IF(ISBLANK(menu!#REF!),"",menu!#REF!)</f>
        <v>#REF!</v>
      </c>
      <c r="M5" s="11" t="str">
        <f t="shared" si="1"/>
        <v>{"ctrl":true,"alt":false,"shift":false,"keycode":"187","func":"mainSystem.navigate('zoomIn')"},</v>
      </c>
    </row>
    <row r="6" spans="1:13" x14ac:dyDescent="0.3">
      <c r="D6" s="11" t="s">
        <v>361</v>
      </c>
      <c r="E6" s="12">
        <f>IF(ISBLANK(D6), "", VLOOKUP(LOWER(D6), javascriptKeycodes!A:C, 2, FALSE))</f>
        <v>38</v>
      </c>
      <c r="F6" s="12" t="str">
        <f>IF(ISBLANK(D6), "", VLOOKUP(LOWER(D6), javascriptKeycodes!A:C, 3, FALSE))</f>
        <v>key_up_arrow</v>
      </c>
      <c r="G6" s="11" t="s">
        <v>947</v>
      </c>
      <c r="H6" s="13" t="str">
        <f t="shared" si="0"/>
        <v>up arrow</v>
      </c>
      <c r="I6" s="13" t="e">
        <f>IF(ISBLANK(menu!#REF!),"",menu!#REF!)</f>
        <v>#REF!</v>
      </c>
      <c r="M6" s="11" t="str">
        <f t="shared" si="1"/>
        <v>{"ctrl":false,"alt":false,"shift":false,"keycode":"38","func":"mainSystem.navigate('up')"},</v>
      </c>
    </row>
    <row r="7" spans="1:13" x14ac:dyDescent="0.3">
      <c r="D7" s="11" t="s">
        <v>363</v>
      </c>
      <c r="E7" s="12">
        <f>IF(ISBLANK(D7), "", VLOOKUP(LOWER(D7), javascriptKeycodes!A:C, 2, FALSE))</f>
        <v>40</v>
      </c>
      <c r="F7" s="12" t="str">
        <f>IF(ISBLANK(D7), "", VLOOKUP(LOWER(D7), javascriptKeycodes!A:C, 3, FALSE))</f>
        <v>key_down_arrow</v>
      </c>
      <c r="G7" s="11" t="s">
        <v>948</v>
      </c>
      <c r="H7" s="13" t="str">
        <f t="shared" si="0"/>
        <v>down arrow</v>
      </c>
      <c r="I7" s="13" t="str">
        <f>IF(ISBLANK(menu!K7),"",menu!K7)</f>
        <v>CTRL_J</v>
      </c>
      <c r="M7" s="11" t="str">
        <f t="shared" si="1"/>
        <v>{"ctrl":false,"alt":false,"shift":false,"keycode":"40","func":"mainSystem.navigate('down')"},</v>
      </c>
    </row>
    <row r="8" spans="1:13" x14ac:dyDescent="0.3">
      <c r="D8" s="11" t="s">
        <v>362</v>
      </c>
      <c r="E8" s="12">
        <f>IF(ISBLANK(D8), "", VLOOKUP(LOWER(D8), javascriptKeycodes!A:C, 2, FALSE))</f>
        <v>39</v>
      </c>
      <c r="F8" s="12" t="str">
        <f>IF(ISBLANK(D8), "", VLOOKUP(LOWER(D8), javascriptKeycodes!A:C, 3, FALSE))</f>
        <v>key_right_arrow</v>
      </c>
      <c r="G8" s="11" t="s">
        <v>949</v>
      </c>
      <c r="H8" s="13" t="str">
        <f t="shared" si="0"/>
        <v>right arrow</v>
      </c>
      <c r="I8" s="13" t="str">
        <f>IF(ISBLANK(menu!K8),"",menu!K8)</f>
        <v>CTRL_SHIFT_J</v>
      </c>
      <c r="M8" s="11" t="str">
        <f t="shared" si="1"/>
        <v>{"ctrl":false,"alt":false,"shift":false,"keycode":"39","func":"mainSystem.navigate('right')"},</v>
      </c>
    </row>
    <row r="9" spans="1:13" x14ac:dyDescent="0.3">
      <c r="D9" s="11" t="s">
        <v>360</v>
      </c>
      <c r="E9" s="12">
        <f>IF(ISBLANK(D9), "", VLOOKUP(LOWER(D9), javascriptKeycodes!A:C, 2, FALSE))</f>
        <v>37</v>
      </c>
      <c r="F9" s="12" t="str">
        <f>IF(ISBLANK(D9), "", VLOOKUP(LOWER(D9), javascriptKeycodes!A:C, 3, FALSE))</f>
        <v>key_left_arrow</v>
      </c>
      <c r="G9" s="11" t="s">
        <v>950</v>
      </c>
      <c r="H9" s="13" t="str">
        <f t="shared" si="0"/>
        <v>left arrow</v>
      </c>
      <c r="I9" s="13" t="str">
        <f>IF(ISBLANK(menu!K9),"",menu!K9)</f>
        <v>CTRL_P</v>
      </c>
      <c r="M9" s="11" t="str">
        <f t="shared" si="1"/>
        <v>{"ctrl":false,"alt":false,"shift":false,"keycode":"37","func":"mainSystem.navigate('left')"}</v>
      </c>
    </row>
    <row r="10" spans="1:13" x14ac:dyDescent="0.3">
      <c r="E10" s="12" t="str">
        <f>IF(ISBLANK(D10), "", VLOOKUP(LOWER(D10), javascriptKeycodes!A:C, 2, FALSE))</f>
        <v/>
      </c>
      <c r="F10" s="12" t="str">
        <f>IF(ISBLANK(D10), "", VLOOKUP(LOWER(D10), javascriptKeycodes!A:C, 3, FALSE))</f>
        <v/>
      </c>
      <c r="H10" s="13" t="str">
        <f t="shared" si="0"/>
        <v/>
      </c>
      <c r="I10" s="13" t="str">
        <f>IF(ISBLANK(menu!K10),"",menu!K10)</f>
        <v>ALT_S</v>
      </c>
      <c r="M10" s="11" t="str">
        <f t="shared" si="1"/>
        <v/>
      </c>
    </row>
    <row r="11" spans="1:13" x14ac:dyDescent="0.3">
      <c r="E11" s="12" t="str">
        <f>IF(ISBLANK(D11), "", VLOOKUP(LOWER(D11), javascriptKeycodes!A:C, 2, FALSE))</f>
        <v/>
      </c>
      <c r="F11" s="12" t="str">
        <f>IF(ISBLANK(D11), "", VLOOKUP(LOWER(D11), javascriptKeycodes!A:C, 3, FALSE))</f>
        <v/>
      </c>
      <c r="H11" s="13" t="str">
        <f t="shared" si="0"/>
        <v/>
      </c>
      <c r="I11" s="13" t="str">
        <f>IF(ISBLANK(menu!K11),"",menu!K11)</f>
        <v>CTRL_U</v>
      </c>
      <c r="M11" s="11" t="str">
        <f t="shared" si="1"/>
        <v/>
      </c>
    </row>
    <row r="12" spans="1:13" x14ac:dyDescent="0.3">
      <c r="E12" s="12" t="str">
        <f>IF(ISBLANK(D12), "", VLOOKUP(LOWER(D12), javascriptKeycodes!A:C, 2, FALSE))</f>
        <v/>
      </c>
      <c r="F12" s="12" t="str">
        <f>IF(ISBLANK(D12), "", VLOOKUP(LOWER(D12), javascriptKeycodes!A:C, 3, FALSE))</f>
        <v/>
      </c>
      <c r="H12" s="13" t="str">
        <f t="shared" si="0"/>
        <v/>
      </c>
      <c r="I12" s="13" t="str">
        <f>IF(ISBLANK(menu!K12),"",menu!K12)</f>
        <v>CTRL_E</v>
      </c>
      <c r="M12" s="11" t="str">
        <f t="shared" si="1"/>
        <v/>
      </c>
    </row>
    <row r="13" spans="1:13" x14ac:dyDescent="0.3">
      <c r="E13" s="12" t="str">
        <f>IF(ISBLANK(D13), "", VLOOKUP(LOWER(D13), javascriptKeycodes!A:C, 2, FALSE))</f>
        <v/>
      </c>
      <c r="F13" s="12" t="str">
        <f>IF(ISBLANK(D13), "", VLOOKUP(LOWER(D13), javascriptKeycodes!A:C, 3, FALSE))</f>
        <v/>
      </c>
      <c r="H13" s="13" t="str">
        <f t="shared" si="0"/>
        <v/>
      </c>
      <c r="I13" s="13" t="str">
        <f>IF(ISBLANK(menu!K13),"",menu!K13)</f>
        <v>CTRL_SHIFT_S</v>
      </c>
      <c r="M13" s="11" t="str">
        <f t="shared" si="1"/>
        <v/>
      </c>
    </row>
    <row r="14" spans="1:13" x14ac:dyDescent="0.3">
      <c r="E14" s="12" t="str">
        <f>IF(ISBLANK(D14), "", VLOOKUP(LOWER(D14), javascriptKeycodes!A:C, 2, FALSE))</f>
        <v/>
      </c>
      <c r="F14" s="12" t="str">
        <f>IF(ISBLANK(D14), "", VLOOKUP(LOWER(D14), javascriptKeycodes!A:C, 3, FALSE))</f>
        <v/>
      </c>
      <c r="H14" s="13" t="str">
        <f t="shared" si="0"/>
        <v/>
      </c>
      <c r="I14" s="13" t="str">
        <f>IF(ISBLANK(menu!K14),"",menu!K14)</f>
        <v>CTRL_SHIFT_V</v>
      </c>
      <c r="M14" s="11" t="str">
        <f t="shared" si="1"/>
        <v/>
      </c>
    </row>
    <row r="15" spans="1:13" x14ac:dyDescent="0.3">
      <c r="E15" s="12" t="str">
        <f>IF(ISBLANK(D15), "", VLOOKUP(LOWER(D15), javascriptKeycodes!A:C, 2, FALSE))</f>
        <v/>
      </c>
      <c r="F15" s="12" t="str">
        <f>IF(ISBLANK(D15), "", VLOOKUP(LOWER(D15), javascriptKeycodes!A:C, 3, FALSE))</f>
        <v/>
      </c>
      <c r="H15" s="13" t="str">
        <f t="shared" si="0"/>
        <v/>
      </c>
      <c r="I15" s="13" t="str">
        <f>IF(ISBLANK(menu!K15),"",menu!K15)</f>
        <v>CTRL_K</v>
      </c>
      <c r="M15" s="11" t="str">
        <f t="shared" si="1"/>
        <v/>
      </c>
    </row>
    <row r="16" spans="1:13" x14ac:dyDescent="0.3">
      <c r="E16" s="12" t="str">
        <f>IF(ISBLANK(D16), "", VLOOKUP(LOWER(D16), javascriptKeycodes!A:C, 2, FALSE))</f>
        <v/>
      </c>
      <c r="F16" s="12" t="str">
        <f>IF(ISBLANK(D16), "", VLOOKUP(LOWER(D16), javascriptKeycodes!A:C, 3, FALSE))</f>
        <v/>
      </c>
      <c r="H16" s="13" t="str">
        <f t="shared" si="0"/>
        <v/>
      </c>
      <c r="I16" s="13" t="str">
        <f>IF(ISBLANK(menu!K16),"",menu!K16)</f>
        <v>CTRL_SHIFT_K</v>
      </c>
      <c r="M16" s="11" t="str">
        <f t="shared" si="1"/>
        <v/>
      </c>
    </row>
    <row r="17" spans="5:13" x14ac:dyDescent="0.3">
      <c r="E17" s="12" t="str">
        <f>IF(ISBLANK(D17), "", VLOOKUP(LOWER(D17), javascriptKeycodes!A:C, 2, FALSE))</f>
        <v/>
      </c>
      <c r="F17" s="12" t="str">
        <f>IF(ISBLANK(D17), "", VLOOKUP(LOWER(D17), javascriptKeycodes!A:C, 3, FALSE))</f>
        <v/>
      </c>
      <c r="H17" s="13" t="str">
        <f t="shared" si="0"/>
        <v/>
      </c>
      <c r="I17" s="13" t="str">
        <f>IF(ISBLANK(menu!K17),"",menu!K17)</f>
        <v>ALT_E</v>
      </c>
      <c r="M17" s="11" t="str">
        <f t="shared" si="1"/>
        <v/>
      </c>
    </row>
    <row r="18" spans="5:13" x14ac:dyDescent="0.3">
      <c r="E18" s="12" t="str">
        <f>IF(ISBLANK(D18), "", VLOOKUP(LOWER(D18), javascriptKeycodes!A:C, 2, FALSE))</f>
        <v/>
      </c>
      <c r="F18" s="12" t="str">
        <f>IF(ISBLANK(D18), "", VLOOKUP(LOWER(D18), javascriptKeycodes!A:C, 3, FALSE))</f>
        <v/>
      </c>
      <c r="H18" s="13" t="str">
        <f t="shared" si="0"/>
        <v/>
      </c>
      <c r="I18" s="13" t="str">
        <f>IF(ISBLANK(menu!K19),"",menu!K19)</f>
        <v>CTRL_A</v>
      </c>
      <c r="M18" s="11" t="str">
        <f t="shared" si="1"/>
        <v/>
      </c>
    </row>
    <row r="19" spans="5:13" x14ac:dyDescent="0.3">
      <c r="E19" s="12" t="str">
        <f>IF(ISBLANK(D19), "", VLOOKUP(LOWER(D19), javascriptKeycodes!A:C, 2, FALSE))</f>
        <v/>
      </c>
      <c r="F19" s="12" t="str">
        <f>IF(ISBLANK(D19), "", VLOOKUP(LOWER(D19), javascriptKeycodes!A:C, 3, FALSE))</f>
        <v/>
      </c>
      <c r="H19" s="13" t="str">
        <f t="shared" si="0"/>
        <v/>
      </c>
      <c r="I19" s="13" t="str">
        <f>IF(ISBLANK(menu!K20),"",menu!K20)</f>
        <v>CTRL_SHIFT_A</v>
      </c>
      <c r="M19" s="11" t="str">
        <f t="shared" si="1"/>
        <v/>
      </c>
    </row>
    <row r="20" spans="5:13" x14ac:dyDescent="0.3">
      <c r="E20" s="12" t="str">
        <f>IF(ISBLANK(D20), "", VLOOKUP(LOWER(D20), javascriptKeycodes!A:C, 2, FALSE))</f>
        <v/>
      </c>
      <c r="F20" s="12" t="str">
        <f>IF(ISBLANK(D20), "", VLOOKUP(LOWER(D20), javascriptKeycodes!A:C, 3, FALSE))</f>
        <v/>
      </c>
      <c r="H20" s="13" t="str">
        <f t="shared" si="0"/>
        <v/>
      </c>
      <c r="I20" s="13" t="str">
        <f>IF(ISBLANK(menu!K21),"",menu!K21)</f>
        <v>CTRL_X</v>
      </c>
      <c r="M20" s="11" t="str">
        <f t="shared" si="1"/>
        <v/>
      </c>
    </row>
    <row r="21" spans="5:13" x14ac:dyDescent="0.3">
      <c r="E21" s="12" t="str">
        <f>IF(ISBLANK(D21), "", VLOOKUP(LOWER(D21), javascriptKeycodes!A:C, 2, FALSE))</f>
        <v/>
      </c>
      <c r="F21" s="12" t="str">
        <f>IF(ISBLANK(D21), "", VLOOKUP(LOWER(D21), javascriptKeycodes!A:C, 3, FALSE))</f>
        <v/>
      </c>
      <c r="H21" s="13" t="str">
        <f t="shared" si="0"/>
        <v/>
      </c>
      <c r="I21" s="13" t="str">
        <f>IF(ISBLANK(menu!K22),"",menu!K22)</f>
        <v>CTRL_C</v>
      </c>
      <c r="M21" s="11" t="str">
        <f t="shared" si="1"/>
        <v/>
      </c>
    </row>
    <row r="22" spans="5:13" x14ac:dyDescent="0.3">
      <c r="E22" s="12" t="str">
        <f>IF(ISBLANK(D22), "", VLOOKUP(LOWER(D22), javascriptKeycodes!A:C, 2, FALSE))</f>
        <v/>
      </c>
      <c r="F22" s="12" t="str">
        <f>IF(ISBLANK(D22), "", VLOOKUP(LOWER(D22), javascriptKeycodes!A:C, 3, FALSE))</f>
        <v/>
      </c>
      <c r="H22" s="13" t="str">
        <f t="shared" si="0"/>
        <v/>
      </c>
      <c r="I22" s="13" t="str">
        <f>IF(ISBLANK(menu!K23),"",menu!K23)</f>
        <v>CTRL_V</v>
      </c>
      <c r="M22" s="11" t="str">
        <f t="shared" si="1"/>
        <v/>
      </c>
    </row>
    <row r="23" spans="5:13" x14ac:dyDescent="0.3">
      <c r="E23" s="12" t="str">
        <f>IF(ISBLANK(D23), "", VLOOKUP(LOWER(D23), javascriptKeycodes!A:C, 2, FALSE))</f>
        <v/>
      </c>
      <c r="F23" s="12" t="str">
        <f>IF(ISBLANK(D23), "", VLOOKUP(LOWER(D23), javascriptKeycodes!A:C, 3, FALSE))</f>
        <v/>
      </c>
      <c r="H23" s="13" t="str">
        <f t="shared" si="0"/>
        <v/>
      </c>
      <c r="I23" s="13" t="str">
        <f>IF(ISBLANK(menu!K24),"",menu!K24)</f>
        <v>CTRL_SHIFT_C</v>
      </c>
      <c r="M23" s="11" t="str">
        <f t="shared" si="1"/>
        <v/>
      </c>
    </row>
    <row r="24" spans="5:13" x14ac:dyDescent="0.3">
      <c r="E24" s="12" t="str">
        <f>IF(ISBLANK(D24), "", VLOOKUP(LOWER(D24), javascriptKeycodes!A:C, 2, FALSE))</f>
        <v/>
      </c>
      <c r="F24" s="12" t="str">
        <f>IF(ISBLANK(D24), "", VLOOKUP(LOWER(D24), javascriptKeycodes!A:C, 3, FALSE))</f>
        <v/>
      </c>
      <c r="H24" s="13" t="str">
        <f t="shared" si="0"/>
        <v/>
      </c>
      <c r="I24" s="13" t="str">
        <f>IF(ISBLANK(menu!K25),"",menu!K25)</f>
        <v>delete</v>
      </c>
      <c r="M24" s="11" t="str">
        <f t="shared" si="1"/>
        <v/>
      </c>
    </row>
    <row r="25" spans="5:13" x14ac:dyDescent="0.3">
      <c r="E25" s="12" t="str">
        <f>IF(ISBLANK(D25), "", VLOOKUP(LOWER(D25), javascriptKeycodes!A:C, 2, FALSE))</f>
        <v/>
      </c>
      <c r="F25" s="12" t="str">
        <f>IF(ISBLANK(D25), "", VLOOKUP(LOWER(D25), javascriptKeycodes!A:C, 3, FALSE))</f>
        <v/>
      </c>
      <c r="H25" s="13" t="str">
        <f t="shared" si="0"/>
        <v/>
      </c>
      <c r="I25" s="13" t="str">
        <f>IF(ISBLANK(menu!K27),"",menu!K27)</f>
        <v>CTRL_Z</v>
      </c>
      <c r="M25" s="11" t="str">
        <f t="shared" si="1"/>
        <v/>
      </c>
    </row>
    <row r="26" spans="5:13" x14ac:dyDescent="0.3">
      <c r="E26" s="12" t="str">
        <f>IF(ISBLANK(D26), "", VLOOKUP(LOWER(D26), javascriptKeycodes!A:C, 2, FALSE))</f>
        <v/>
      </c>
      <c r="F26" s="12" t="str">
        <f>IF(ISBLANK(D26), "", VLOOKUP(LOWER(D26), javascriptKeycodes!A:C, 3, FALSE))</f>
        <v/>
      </c>
      <c r="H26" s="13" t="str">
        <f t="shared" si="0"/>
        <v/>
      </c>
      <c r="I26" s="13" t="str">
        <f>IF(ISBLANK(menu!K28),"",menu!K28)</f>
        <v>CTRL_SHIFT_Z</v>
      </c>
      <c r="M26" s="11" t="str">
        <f t="shared" si="1"/>
        <v/>
      </c>
    </row>
    <row r="27" spans="5:13" x14ac:dyDescent="0.3">
      <c r="E27" s="12" t="str">
        <f>IF(ISBLANK(D27), "", VLOOKUP(LOWER(D27), javascriptKeycodes!A:C, 2, FALSE))</f>
        <v/>
      </c>
      <c r="F27" s="12" t="str">
        <f>IF(ISBLANK(D27), "", VLOOKUP(LOWER(D27), javascriptKeycodes!A:C, 3, FALSE))</f>
        <v/>
      </c>
      <c r="H27" s="13" t="str">
        <f t="shared" si="0"/>
        <v/>
      </c>
      <c r="I27" s="13" t="str">
        <f>IF(ISBLANK(menu!K35),"",menu!K35)</f>
        <v>ALT_V</v>
      </c>
      <c r="M27" s="11" t="str">
        <f t="shared" si="1"/>
        <v/>
      </c>
    </row>
    <row r="28" spans="5:13" x14ac:dyDescent="0.3">
      <c r="E28" s="12" t="str">
        <f>IF(ISBLANK(D28), "", VLOOKUP(LOWER(D28), javascriptKeycodes!A:C, 2, FALSE))</f>
        <v/>
      </c>
      <c r="F28" s="12" t="str">
        <f>IF(ISBLANK(D28), "", VLOOKUP(LOWER(D28), javascriptKeycodes!A:C, 3, FALSE))</f>
        <v/>
      </c>
      <c r="H28" s="13" t="str">
        <f t="shared" si="0"/>
        <v/>
      </c>
      <c r="I28" s="13" t="str">
        <f>IF(ISBLANK(menu!K36),"",menu!K36)</f>
        <v>CTRL_ALT_SHIFT_F</v>
      </c>
      <c r="M28" s="11" t="str">
        <f t="shared" si="1"/>
        <v/>
      </c>
    </row>
    <row r="29" spans="5:13" x14ac:dyDescent="0.3">
      <c r="E29" s="12" t="str">
        <f>IF(ISBLANK(D29), "", VLOOKUP(LOWER(D29), javascriptKeycodes!A:C, 2, FALSE))</f>
        <v/>
      </c>
      <c r="F29" s="12" t="str">
        <f>IF(ISBLANK(D29), "", VLOOKUP(LOWER(D29), javascriptKeycodes!A:C, 3, FALSE))</f>
        <v/>
      </c>
      <c r="H29" s="13" t="str">
        <f t="shared" si="0"/>
        <v/>
      </c>
      <c r="I29" s="13" t="str">
        <f>IF(ISBLANK(menu!K30),"",menu!K30)</f>
        <v>CTRL_add</v>
      </c>
      <c r="M29" s="11" t="str">
        <f t="shared" si="1"/>
        <v/>
      </c>
    </row>
    <row r="30" spans="5:13" x14ac:dyDescent="0.3">
      <c r="E30" s="12" t="str">
        <f>IF(ISBLANK(D30), "", VLOOKUP(LOWER(D30), javascriptKeycodes!A:C, 2, FALSE))</f>
        <v/>
      </c>
      <c r="F30" s="12" t="str">
        <f>IF(ISBLANK(D30), "", VLOOKUP(LOWER(D30), javascriptKeycodes!A:C, 3, FALSE))</f>
        <v/>
      </c>
      <c r="H30" s="13" t="str">
        <f t="shared" si="0"/>
        <v/>
      </c>
      <c r="I30" s="13" t="str">
        <f>IF(ISBLANK(menu!K31),"",menu!K31)</f>
        <v>CTRL_subtract</v>
      </c>
      <c r="M30" s="11" t="str">
        <f t="shared" si="1"/>
        <v/>
      </c>
    </row>
    <row r="31" spans="5:13" x14ac:dyDescent="0.3">
      <c r="E31" s="12" t="str">
        <f>IF(ISBLANK(D31), "", VLOOKUP(LOWER(D31), javascriptKeycodes!A:C, 2, FALSE))</f>
        <v/>
      </c>
      <c r="F31" s="12" t="str">
        <f>IF(ISBLANK(D31), "", VLOOKUP(LOWER(D31), javascriptKeycodes!A:C, 3, FALSE))</f>
        <v/>
      </c>
      <c r="H31" s="13" t="str">
        <f t="shared" si="0"/>
        <v/>
      </c>
      <c r="I31" s="13" t="str">
        <f>IF(ISBLANK(menu!K32),"",menu!K32)</f>
        <v>CTRL_K_0</v>
      </c>
      <c r="M31" s="11" t="str">
        <f t="shared" si="1"/>
        <v/>
      </c>
    </row>
    <row r="32" spans="5:13" x14ac:dyDescent="0.3">
      <c r="E32" s="12" t="str">
        <f>IF(ISBLANK(D32), "", VLOOKUP(LOWER(D32), javascriptKeycodes!A:C, 2, FALSE))</f>
        <v/>
      </c>
      <c r="F32" s="12" t="str">
        <f>IF(ISBLANK(D32), "", VLOOKUP(LOWER(D32), javascriptKeycodes!A:C, 3, FALSE))</f>
        <v/>
      </c>
      <c r="H32" s="13" t="str">
        <f t="shared" si="0"/>
        <v/>
      </c>
      <c r="I32" s="13" t="str">
        <f>IF(ISBLANK(menu!K33),"",menu!K33)</f>
        <v>CTRL_SHIFT_K_0</v>
      </c>
      <c r="M32" s="11" t="str">
        <f t="shared" si="1"/>
        <v/>
      </c>
    </row>
    <row r="33" spans="8:13" x14ac:dyDescent="0.3">
      <c r="H33" s="13" t="str">
        <f t="shared" si="0"/>
        <v/>
      </c>
      <c r="I33" s="13" t="str">
        <f>IF(ISBLANK(menu!K37),"",menu!K37)</f>
        <v>CTRL_M</v>
      </c>
      <c r="M33" s="11" t="str">
        <f t="shared" si="1"/>
        <v/>
      </c>
    </row>
    <row r="34" spans="8:13" x14ac:dyDescent="0.3">
      <c r="H34" s="13" t="str">
        <f t="shared" si="0"/>
        <v/>
      </c>
      <c r="I34" s="13" t="str">
        <f>IF(ISBLANK(menu!K38),"",menu!K38)</f>
        <v>CTRL_SHIFT_M</v>
      </c>
      <c r="M34" s="11" t="str">
        <f t="shared" si="1"/>
        <v/>
      </c>
    </row>
    <row r="35" spans="8:13" x14ac:dyDescent="0.3">
      <c r="H35" s="13" t="str">
        <f t="shared" si="0"/>
        <v/>
      </c>
      <c r="I35" s="13" t="str">
        <f>IF(ISBLANK(menu!K39),"",menu!K39)</f>
        <v>CTRL_R</v>
      </c>
      <c r="M35" s="11" t="str">
        <f t="shared" si="1"/>
        <v/>
      </c>
    </row>
    <row r="36" spans="8:13" x14ac:dyDescent="0.3">
      <c r="H36" s="13" t="str">
        <f t="shared" si="0"/>
        <v/>
      </c>
      <c r="I36" s="13" t="str">
        <f>IF(ISBLANK(menu!K40),"",menu!K40)</f>
        <v>CTRL_SHIFT_R</v>
      </c>
      <c r="M36" s="11" t="str">
        <f t="shared" si="1"/>
        <v/>
      </c>
    </row>
    <row r="37" spans="8:13" x14ac:dyDescent="0.3">
      <c r="H37" s="13" t="str">
        <f t="shared" si="0"/>
        <v/>
      </c>
      <c r="I37" s="13" t="e">
        <f>IF(ISBLANK(menu!#REF!),"",menu!#REF!)</f>
        <v>#REF!</v>
      </c>
      <c r="M37" s="11" t="str">
        <f t="shared" si="1"/>
        <v/>
      </c>
    </row>
    <row r="38" spans="8:13" x14ac:dyDescent="0.3">
      <c r="H38" s="13" t="str">
        <f t="shared" si="0"/>
        <v/>
      </c>
      <c r="I38" s="13" t="str">
        <f>IF(ISBLANK(menu!K43),"",menu!K43)</f>
        <v/>
      </c>
      <c r="M38" s="11" t="str">
        <f t="shared" si="1"/>
        <v/>
      </c>
    </row>
    <row r="39" spans="8:13" x14ac:dyDescent="0.3">
      <c r="H39" s="13" t="str">
        <f t="shared" si="0"/>
        <v/>
      </c>
      <c r="I39" s="13" t="str">
        <f>IF(ISBLANK(menu!K34),"",menu!K34)</f>
        <v>CTRL_ALT_SHIFT_A</v>
      </c>
      <c r="M39" s="11" t="str">
        <f t="shared" si="1"/>
        <v/>
      </c>
    </row>
    <row r="40" spans="8:13" x14ac:dyDescent="0.3">
      <c r="H40" s="13" t="str">
        <f t="shared" si="0"/>
        <v/>
      </c>
      <c r="I40" s="13" t="str">
        <f>IF(ISBLANK(menu!K48),"",menu!K48)</f>
        <v/>
      </c>
      <c r="M40" s="11" t="str">
        <f t="shared" si="1"/>
        <v/>
      </c>
    </row>
    <row r="41" spans="8:13" x14ac:dyDescent="0.3">
      <c r="H41" s="13" t="str">
        <f t="shared" si="0"/>
        <v/>
      </c>
      <c r="I41" s="13" t="str">
        <f>IF(ISBLANK(menu!K49),"",menu!K49)</f>
        <v/>
      </c>
      <c r="M41" s="11" t="str">
        <f t="shared" si="1"/>
        <v/>
      </c>
    </row>
    <row r="42" spans="8:13" x14ac:dyDescent="0.3">
      <c r="H42" s="13" t="str">
        <f t="shared" si="0"/>
        <v/>
      </c>
      <c r="I42" s="13" t="str">
        <f>IF(ISBLANK(menu!K50),"",menu!K50)</f>
        <v/>
      </c>
      <c r="M42" s="11" t="str">
        <f t="shared" si="1"/>
        <v/>
      </c>
    </row>
    <row r="43" spans="8:13" x14ac:dyDescent="0.3">
      <c r="H43" s="13" t="str">
        <f t="shared" si="0"/>
        <v/>
      </c>
      <c r="I43" s="13" t="str">
        <f>IF(ISBLANK(menu!K51),"",menu!K51)</f>
        <v/>
      </c>
      <c r="M43" s="11" t="str">
        <f t="shared" si="1"/>
        <v/>
      </c>
    </row>
    <row r="44" spans="8:13" x14ac:dyDescent="0.3">
      <c r="H44" s="13" t="str">
        <f t="shared" si="0"/>
        <v/>
      </c>
      <c r="I44" s="13" t="str">
        <f>IF(ISBLANK(menu!K44),"",menu!K44)</f>
        <v>ALT_H</v>
      </c>
      <c r="M44" s="11" t="str">
        <f t="shared" si="1"/>
        <v/>
      </c>
    </row>
    <row r="45" spans="8:13" x14ac:dyDescent="0.3">
      <c r="H45" s="13" t="str">
        <f t="shared" si="0"/>
        <v/>
      </c>
      <c r="I45" s="13" t="str">
        <f>IF(ISBLANK(menu!K45),"",menu!K45)</f>
        <v>CTRL_H</v>
      </c>
      <c r="M45" s="11" t="str">
        <f t="shared" si="1"/>
        <v/>
      </c>
    </row>
    <row r="46" spans="8:13" x14ac:dyDescent="0.3">
      <c r="H46" s="13" t="str">
        <f t="shared" si="0"/>
        <v/>
      </c>
      <c r="I46" s="13" t="str">
        <f>IF(ISBLANK(menu!K46),"",menu!K46)</f>
        <v>CTRL_SHIFT_H</v>
      </c>
      <c r="M46" s="11" t="str">
        <f t="shared" si="1"/>
        <v/>
      </c>
    </row>
    <row r="47" spans="8:13" x14ac:dyDescent="0.3">
      <c r="H47" s="13" t="str">
        <f t="shared" si="0"/>
        <v/>
      </c>
      <c r="I47" s="13" t="str">
        <f>IF(ISBLANK(menu!K47),"",menu!K47)</f>
        <v/>
      </c>
      <c r="M47" s="11" t="str">
        <f t="shared" si="1"/>
        <v/>
      </c>
    </row>
    <row r="48" spans="8:13" x14ac:dyDescent="0.3">
      <c r="H48" s="13" t="str">
        <f t="shared" si="0"/>
        <v/>
      </c>
      <c r="I48" s="13" t="str">
        <f>IF(ISBLANK(menu!K52),"",menu!K52)</f>
        <v/>
      </c>
      <c r="M48" s="11" t="str">
        <f t="shared" si="1"/>
        <v/>
      </c>
    </row>
    <row r="49" spans="8:13" x14ac:dyDescent="0.3">
      <c r="H49" s="13" t="str">
        <f t="shared" si="0"/>
        <v/>
      </c>
      <c r="I49" s="13" t="str">
        <f>IF(ISBLANK(menu!K53),"",menu!K53)</f>
        <v/>
      </c>
      <c r="M49" s="11" t="str">
        <f t="shared" si="1"/>
        <v/>
      </c>
    </row>
    <row r="50" spans="8:13" x14ac:dyDescent="0.3">
      <c r="H50" s="13" t="str">
        <f t="shared" si="0"/>
        <v/>
      </c>
      <c r="I50" s="13" t="str">
        <f>IF(ISBLANK(menu!K54),"",menu!K54)</f>
        <v/>
      </c>
      <c r="M50" s="11" t="str">
        <f t="shared" si="1"/>
        <v/>
      </c>
    </row>
    <row r="51" spans="8:13" x14ac:dyDescent="0.3">
      <c r="H51" s="13" t="str">
        <f t="shared" si="0"/>
        <v/>
      </c>
      <c r="I51" s="13" t="str">
        <f>IF(ISBLANK(menu!K55),"",menu!K55)</f>
        <v/>
      </c>
      <c r="M51" s="11" t="str">
        <f t="shared" si="1"/>
        <v/>
      </c>
    </row>
    <row r="52" spans="8:13" x14ac:dyDescent="0.3">
      <c r="H52" s="13" t="str">
        <f t="shared" si="0"/>
        <v/>
      </c>
      <c r="I52" s="13" t="str">
        <f>IF(ISBLANK(menu!K56),"",menu!K56)</f>
        <v/>
      </c>
      <c r="M52" s="11" t="str">
        <f t="shared" si="1"/>
        <v/>
      </c>
    </row>
    <row r="53" spans="8:13" x14ac:dyDescent="0.3">
      <c r="H53" s="13" t="str">
        <f t="shared" si="0"/>
        <v/>
      </c>
      <c r="I53" s="13" t="str">
        <f>IF(ISBLANK(menu!K57),"",menu!K57)</f>
        <v/>
      </c>
      <c r="M53" s="11" t="str">
        <f t="shared" si="1"/>
        <v/>
      </c>
    </row>
    <row r="54" spans="8:13" x14ac:dyDescent="0.3">
      <c r="H54" s="13" t="str">
        <f t="shared" si="0"/>
        <v/>
      </c>
      <c r="I54" s="13" t="str">
        <f>IF(ISBLANK(menu!K58),"",menu!K58)</f>
        <v/>
      </c>
      <c r="M54" s="11" t="str">
        <f t="shared" si="1"/>
        <v/>
      </c>
    </row>
    <row r="55" spans="8:13" x14ac:dyDescent="0.3">
      <c r="H55" s="13" t="str">
        <f t="shared" si="0"/>
        <v/>
      </c>
      <c r="I55" s="13" t="str">
        <f>IF(ISBLANK(menu!K59),"",menu!K59)</f>
        <v/>
      </c>
      <c r="M55" s="11" t="str">
        <f t="shared" si="1"/>
        <v/>
      </c>
    </row>
    <row r="56" spans="8:13" x14ac:dyDescent="0.3">
      <c r="H56" s="13" t="str">
        <f t="shared" si="0"/>
        <v/>
      </c>
      <c r="I56" s="13" t="str">
        <f>IF(ISBLANK(menu!K60),"",menu!K60)</f>
        <v/>
      </c>
      <c r="M56" s="11" t="str">
        <f t="shared" si="1"/>
        <v/>
      </c>
    </row>
    <row r="57" spans="8:13" x14ac:dyDescent="0.3">
      <c r="H57" s="13" t="str">
        <f t="shared" si="0"/>
        <v/>
      </c>
      <c r="I57" s="13" t="str">
        <f>IF(ISBLANK(menu!K61),"",menu!K61)</f>
        <v/>
      </c>
      <c r="M57" s="11" t="str">
        <f t="shared" si="1"/>
        <v/>
      </c>
    </row>
    <row r="58" spans="8:13" x14ac:dyDescent="0.3">
      <c r="H58" s="13" t="str">
        <f t="shared" si="0"/>
        <v/>
      </c>
      <c r="I58" s="13" t="str">
        <f>IF(ISBLANK(menu!K62),"",menu!K62)</f>
        <v/>
      </c>
      <c r="M58" s="11" t="str">
        <f t="shared" si="1"/>
        <v/>
      </c>
    </row>
    <row r="59" spans="8:13" x14ac:dyDescent="0.3">
      <c r="H59" s="13" t="str">
        <f t="shared" si="0"/>
        <v/>
      </c>
      <c r="I59" s="13" t="str">
        <f>IF(ISBLANK(menu!K63),"",menu!K63)</f>
        <v/>
      </c>
      <c r="M59" s="11" t="str">
        <f t="shared" si="1"/>
        <v/>
      </c>
    </row>
    <row r="60" spans="8:13" x14ac:dyDescent="0.3">
      <c r="H60" s="13" t="str">
        <f t="shared" si="0"/>
        <v/>
      </c>
      <c r="I60" s="13" t="str">
        <f>IF(ISBLANK(menu!K64),"",menu!K64)</f>
        <v/>
      </c>
      <c r="M60" s="11" t="str">
        <f t="shared" si="1"/>
        <v/>
      </c>
    </row>
    <row r="61" spans="8:13" x14ac:dyDescent="0.3">
      <c r="H61" s="13" t="str">
        <f t="shared" si="0"/>
        <v/>
      </c>
      <c r="I61" s="13" t="str">
        <f>IF(ISBLANK(menu!K65),"",menu!K65)</f>
        <v/>
      </c>
      <c r="M61" s="11" t="str">
        <f t="shared" si="1"/>
        <v/>
      </c>
    </row>
    <row r="62" spans="8:13" x14ac:dyDescent="0.3">
      <c r="H62" s="13" t="str">
        <f t="shared" si="0"/>
        <v/>
      </c>
      <c r="I62" s="13" t="str">
        <f>IF(ISBLANK(menu!K66),"",menu!K66)</f>
        <v/>
      </c>
      <c r="M62" s="11" t="str">
        <f t="shared" si="1"/>
        <v/>
      </c>
    </row>
    <row r="63" spans="8:13" x14ac:dyDescent="0.3">
      <c r="H63" s="13" t="str">
        <f t="shared" si="0"/>
        <v/>
      </c>
      <c r="I63" s="13" t="str">
        <f>IF(ISBLANK(menu!K67),"",menu!K67)</f>
        <v/>
      </c>
      <c r="M63" s="11" t="str">
        <f t="shared" si="1"/>
        <v/>
      </c>
    </row>
    <row r="64" spans="8:13" x14ac:dyDescent="0.3">
      <c r="H64" s="13" t="str">
        <f t="shared" si="0"/>
        <v/>
      </c>
      <c r="I64" s="13" t="str">
        <f>IF(ISBLANK(menu!K68),"",menu!K68)</f>
        <v/>
      </c>
      <c r="M64" s="11" t="str">
        <f t="shared" si="1"/>
        <v/>
      </c>
    </row>
    <row r="65" spans="8:13" x14ac:dyDescent="0.3">
      <c r="H65" s="13" t="str">
        <f t="shared" si="0"/>
        <v/>
      </c>
      <c r="I65" s="13" t="str">
        <f>IF(ISBLANK(menu!K69),"",menu!K69)</f>
        <v/>
      </c>
      <c r="M65" s="11" t="str">
        <f t="shared" si="1"/>
        <v/>
      </c>
    </row>
    <row r="66" spans="8:13" x14ac:dyDescent="0.3">
      <c r="H66" s="13" t="str">
        <f t="shared" si="0"/>
        <v/>
      </c>
      <c r="I66" s="13" t="str">
        <f>IF(ISBLANK(menu!K70),"",menu!K70)</f>
        <v/>
      </c>
      <c r="M66" s="11" t="str">
        <f t="shared" si="1"/>
        <v/>
      </c>
    </row>
    <row r="67" spans="8:13" x14ac:dyDescent="0.3">
      <c r="H67" s="13" t="str">
        <f t="shared" ref="H67:H100" si="2">IF(A67,"CTRL_","")&amp;IF(B67,"ALT_","")&amp;IF(C67,"SHIFT_","")&amp;D67</f>
        <v/>
      </c>
      <c r="I67" s="13" t="str">
        <f>IF(ISBLANK(menu!K71),"",menu!K71)</f>
        <v/>
      </c>
      <c r="M67" s="11" t="str">
        <f t="shared" ref="M67:M100" si="3">IF(ISBLANK(D67),"","{""ctrl"":"&amp;IF(A67,"true","false")&amp;",""alt"":"&amp;IF(B67,"true","false")&amp;",""shift"":"&amp;IF(C67,"true","false")&amp;",""keycode"":"""&amp;E67&amp;""",""func"":"""&amp;G67&amp;"""}"&amp;IF(ISBLANK(D68),"",","))</f>
        <v/>
      </c>
    </row>
    <row r="68" spans="8:13" x14ac:dyDescent="0.3">
      <c r="H68" s="13" t="str">
        <f t="shared" si="2"/>
        <v/>
      </c>
      <c r="I68" s="13" t="str">
        <f>IF(ISBLANK(menu!K72),"",menu!K72)</f>
        <v/>
      </c>
      <c r="M68" s="11" t="str">
        <f t="shared" si="3"/>
        <v/>
      </c>
    </row>
    <row r="69" spans="8:13" x14ac:dyDescent="0.3">
      <c r="H69" s="13" t="str">
        <f t="shared" si="2"/>
        <v/>
      </c>
      <c r="I69" s="13" t="str">
        <f>IF(ISBLANK(menu!K73),"",menu!K73)</f>
        <v/>
      </c>
      <c r="M69" s="11" t="str">
        <f t="shared" si="3"/>
        <v/>
      </c>
    </row>
    <row r="70" spans="8:13" x14ac:dyDescent="0.3">
      <c r="H70" s="13" t="str">
        <f t="shared" si="2"/>
        <v/>
      </c>
      <c r="I70" s="13" t="str">
        <f>IF(ISBLANK(menu!K74),"",menu!K74)</f>
        <v/>
      </c>
      <c r="M70" s="11" t="str">
        <f t="shared" si="3"/>
        <v/>
      </c>
    </row>
    <row r="71" spans="8:13" x14ac:dyDescent="0.3">
      <c r="H71" s="13" t="str">
        <f t="shared" si="2"/>
        <v/>
      </c>
      <c r="I71" s="13" t="str">
        <f>IF(ISBLANK(menu!K75),"",menu!K75)</f>
        <v/>
      </c>
      <c r="M71" s="11" t="str">
        <f t="shared" si="3"/>
        <v/>
      </c>
    </row>
    <row r="72" spans="8:13" x14ac:dyDescent="0.3">
      <c r="H72" s="13" t="str">
        <f t="shared" si="2"/>
        <v/>
      </c>
      <c r="I72" s="13" t="str">
        <f>IF(ISBLANK(menu!K76),"",menu!K76)</f>
        <v/>
      </c>
      <c r="M72" s="11" t="str">
        <f t="shared" si="3"/>
        <v/>
      </c>
    </row>
    <row r="73" spans="8:13" x14ac:dyDescent="0.3">
      <c r="H73" s="13" t="str">
        <f t="shared" si="2"/>
        <v/>
      </c>
      <c r="I73" s="13" t="str">
        <f>IF(ISBLANK(menu!K77),"",menu!K77)</f>
        <v/>
      </c>
      <c r="M73" s="11" t="str">
        <f t="shared" si="3"/>
        <v/>
      </c>
    </row>
    <row r="74" spans="8:13" x14ac:dyDescent="0.3">
      <c r="H74" s="13" t="str">
        <f t="shared" si="2"/>
        <v/>
      </c>
      <c r="I74" s="13" t="str">
        <f>IF(ISBLANK(menu!K78),"",menu!K78)</f>
        <v/>
      </c>
      <c r="M74" s="11" t="str">
        <f t="shared" si="3"/>
        <v/>
      </c>
    </row>
    <row r="75" spans="8:13" x14ac:dyDescent="0.3">
      <c r="H75" s="13" t="str">
        <f t="shared" si="2"/>
        <v/>
      </c>
      <c r="I75" s="13" t="str">
        <f>IF(ISBLANK(menu!K79),"",menu!K79)</f>
        <v/>
      </c>
      <c r="M75" s="11" t="str">
        <f t="shared" si="3"/>
        <v/>
      </c>
    </row>
    <row r="76" spans="8:13" x14ac:dyDescent="0.3">
      <c r="H76" s="13" t="str">
        <f t="shared" si="2"/>
        <v/>
      </c>
      <c r="I76" s="13" t="str">
        <f>IF(ISBLANK(menu!K80),"",menu!K80)</f>
        <v/>
      </c>
      <c r="M76" s="11" t="str">
        <f t="shared" si="3"/>
        <v/>
      </c>
    </row>
    <row r="77" spans="8:13" x14ac:dyDescent="0.3">
      <c r="H77" s="13" t="str">
        <f t="shared" si="2"/>
        <v/>
      </c>
      <c r="I77" s="13" t="str">
        <f>IF(ISBLANK(menu!K81),"",menu!K81)</f>
        <v/>
      </c>
      <c r="M77" s="11" t="str">
        <f t="shared" si="3"/>
        <v/>
      </c>
    </row>
    <row r="78" spans="8:13" x14ac:dyDescent="0.3">
      <c r="H78" s="13" t="str">
        <f t="shared" si="2"/>
        <v/>
      </c>
      <c r="I78" s="13" t="str">
        <f>IF(ISBLANK(menu!K82),"",menu!K82)</f>
        <v/>
      </c>
      <c r="M78" s="11" t="str">
        <f t="shared" si="3"/>
        <v/>
      </c>
    </row>
    <row r="79" spans="8:13" x14ac:dyDescent="0.3">
      <c r="H79" s="13" t="str">
        <f t="shared" si="2"/>
        <v/>
      </c>
      <c r="I79" s="13" t="str">
        <f>IF(ISBLANK(menu!K83),"",menu!K83)</f>
        <v/>
      </c>
      <c r="M79" s="11" t="str">
        <f t="shared" si="3"/>
        <v/>
      </c>
    </row>
    <row r="80" spans="8:13" x14ac:dyDescent="0.3">
      <c r="H80" s="13" t="str">
        <f t="shared" si="2"/>
        <v/>
      </c>
      <c r="I80" s="13" t="str">
        <f>IF(ISBLANK(menu!K84),"",menu!K84)</f>
        <v/>
      </c>
      <c r="M80" s="11" t="str">
        <f t="shared" si="3"/>
        <v/>
      </c>
    </row>
    <row r="81" spans="8:13" x14ac:dyDescent="0.3">
      <c r="H81" s="13" t="str">
        <f t="shared" si="2"/>
        <v/>
      </c>
      <c r="I81" s="13" t="str">
        <f>IF(ISBLANK(menu!K85),"",menu!K85)</f>
        <v/>
      </c>
      <c r="M81" s="11" t="str">
        <f t="shared" si="3"/>
        <v/>
      </c>
    </row>
    <row r="82" spans="8:13" x14ac:dyDescent="0.3">
      <c r="H82" s="13" t="str">
        <f t="shared" si="2"/>
        <v/>
      </c>
      <c r="I82" s="13" t="str">
        <f>IF(ISBLANK(menu!K86),"",menu!K86)</f>
        <v/>
      </c>
      <c r="M82" s="11" t="str">
        <f t="shared" si="3"/>
        <v/>
      </c>
    </row>
    <row r="83" spans="8:13" x14ac:dyDescent="0.3">
      <c r="H83" s="13" t="str">
        <f t="shared" si="2"/>
        <v/>
      </c>
      <c r="I83" s="13" t="str">
        <f>IF(ISBLANK(menu!K87),"",menu!K87)</f>
        <v/>
      </c>
      <c r="M83" s="11" t="str">
        <f t="shared" si="3"/>
        <v/>
      </c>
    </row>
    <row r="84" spans="8:13" x14ac:dyDescent="0.3">
      <c r="H84" s="13" t="str">
        <f t="shared" si="2"/>
        <v/>
      </c>
      <c r="I84" s="13" t="str">
        <f>IF(ISBLANK(menu!K88),"",menu!K88)</f>
        <v/>
      </c>
      <c r="M84" s="11" t="str">
        <f t="shared" si="3"/>
        <v/>
      </c>
    </row>
    <row r="85" spans="8:13" x14ac:dyDescent="0.3">
      <c r="H85" s="13" t="str">
        <f t="shared" si="2"/>
        <v/>
      </c>
      <c r="I85" s="13" t="str">
        <f>IF(ISBLANK(menu!K89),"",menu!K89)</f>
        <v/>
      </c>
      <c r="M85" s="11" t="str">
        <f t="shared" si="3"/>
        <v/>
      </c>
    </row>
    <row r="86" spans="8:13" x14ac:dyDescent="0.3">
      <c r="H86" s="13" t="str">
        <f t="shared" si="2"/>
        <v/>
      </c>
      <c r="I86" s="13" t="str">
        <f>IF(ISBLANK(menu!K90),"",menu!K90)</f>
        <v/>
      </c>
      <c r="M86" s="11" t="str">
        <f t="shared" si="3"/>
        <v/>
      </c>
    </row>
    <row r="87" spans="8:13" x14ac:dyDescent="0.3">
      <c r="H87" s="13" t="str">
        <f t="shared" si="2"/>
        <v/>
      </c>
      <c r="I87" s="13" t="str">
        <f>IF(ISBLANK(menu!K91),"",menu!K91)</f>
        <v/>
      </c>
      <c r="M87" s="11" t="str">
        <f t="shared" si="3"/>
        <v/>
      </c>
    </row>
    <row r="88" spans="8:13" x14ac:dyDescent="0.3">
      <c r="H88" s="13" t="str">
        <f t="shared" si="2"/>
        <v/>
      </c>
      <c r="I88" s="13" t="str">
        <f>IF(ISBLANK(menu!K92),"",menu!K92)</f>
        <v/>
      </c>
      <c r="M88" s="11" t="str">
        <f t="shared" si="3"/>
        <v/>
      </c>
    </row>
    <row r="89" spans="8:13" x14ac:dyDescent="0.3">
      <c r="H89" s="13" t="str">
        <f t="shared" si="2"/>
        <v/>
      </c>
      <c r="I89" s="13" t="str">
        <f>IF(ISBLANK(menu!K93),"",menu!K93)</f>
        <v/>
      </c>
      <c r="M89" s="11" t="str">
        <f t="shared" si="3"/>
        <v/>
      </c>
    </row>
    <row r="90" spans="8:13" x14ac:dyDescent="0.3">
      <c r="H90" s="13" t="str">
        <f t="shared" si="2"/>
        <v/>
      </c>
      <c r="I90" s="13" t="str">
        <f>IF(ISBLANK(menu!K94),"",menu!K94)</f>
        <v/>
      </c>
      <c r="M90" s="11" t="str">
        <f t="shared" si="3"/>
        <v/>
      </c>
    </row>
    <row r="91" spans="8:13" x14ac:dyDescent="0.3">
      <c r="H91" s="13" t="str">
        <f t="shared" si="2"/>
        <v/>
      </c>
      <c r="I91" s="13" t="str">
        <f>IF(ISBLANK(menu!K95),"",menu!K95)</f>
        <v/>
      </c>
      <c r="M91" s="11" t="str">
        <f t="shared" si="3"/>
        <v/>
      </c>
    </row>
    <row r="92" spans="8:13" x14ac:dyDescent="0.3">
      <c r="H92" s="13" t="str">
        <f t="shared" si="2"/>
        <v/>
      </c>
      <c r="I92" s="13" t="str">
        <f>IF(ISBLANK(menu!K96),"",menu!K96)</f>
        <v/>
      </c>
      <c r="M92" s="11" t="str">
        <f t="shared" si="3"/>
        <v/>
      </c>
    </row>
    <row r="93" spans="8:13" x14ac:dyDescent="0.3">
      <c r="H93" s="13" t="str">
        <f t="shared" si="2"/>
        <v/>
      </c>
      <c r="I93" s="13" t="str">
        <f>IF(ISBLANK(menu!K97),"",menu!K97)</f>
        <v/>
      </c>
      <c r="M93" s="11" t="str">
        <f t="shared" si="3"/>
        <v/>
      </c>
    </row>
    <row r="94" spans="8:13" x14ac:dyDescent="0.3">
      <c r="H94" s="13" t="str">
        <f t="shared" si="2"/>
        <v/>
      </c>
      <c r="I94" s="13" t="str">
        <f>IF(ISBLANK(menu!K98),"",menu!K98)</f>
        <v/>
      </c>
      <c r="M94" s="11" t="str">
        <f t="shared" si="3"/>
        <v/>
      </c>
    </row>
    <row r="95" spans="8:13" x14ac:dyDescent="0.3">
      <c r="H95" s="13" t="str">
        <f t="shared" si="2"/>
        <v/>
      </c>
      <c r="I95" s="13" t="str">
        <f>IF(ISBLANK(menu!K99),"",menu!K99)</f>
        <v/>
      </c>
      <c r="M95" s="11" t="str">
        <f t="shared" si="3"/>
        <v/>
      </c>
    </row>
    <row r="96" spans="8:13" x14ac:dyDescent="0.3">
      <c r="H96" s="13" t="str">
        <f t="shared" si="2"/>
        <v/>
      </c>
      <c r="I96" s="13" t="str">
        <f>IF(ISBLANK(menu!K100),"",menu!K100)</f>
        <v/>
      </c>
      <c r="M96" s="11" t="str">
        <f t="shared" si="3"/>
        <v/>
      </c>
    </row>
    <row r="97" spans="8:13" x14ac:dyDescent="0.3">
      <c r="H97" s="13" t="str">
        <f t="shared" si="2"/>
        <v/>
      </c>
      <c r="I97" s="13" t="str">
        <f>IF(ISBLANK(menu!K101),"",menu!K101)</f>
        <v/>
      </c>
      <c r="M97" s="11" t="str">
        <f t="shared" si="3"/>
        <v/>
      </c>
    </row>
    <row r="98" spans="8:13" x14ac:dyDescent="0.3">
      <c r="H98" s="13" t="str">
        <f t="shared" si="2"/>
        <v/>
      </c>
      <c r="I98" s="13" t="str">
        <f>IF(ISBLANK(menu!K102),"",menu!K102)</f>
        <v/>
      </c>
      <c r="M98" s="11" t="str">
        <f t="shared" si="3"/>
        <v/>
      </c>
    </row>
    <row r="99" spans="8:13" x14ac:dyDescent="0.3">
      <c r="H99" s="13" t="str">
        <f t="shared" si="2"/>
        <v/>
      </c>
      <c r="I99" s="13" t="str">
        <f>IF(ISBLANK(menu!K103),"",menu!K103)</f>
        <v/>
      </c>
      <c r="M99" s="11" t="str">
        <f t="shared" si="3"/>
        <v/>
      </c>
    </row>
    <row r="100" spans="8:13" x14ac:dyDescent="0.3">
      <c r="H100" s="13" t="str">
        <f t="shared" si="2"/>
        <v/>
      </c>
      <c r="I100" s="13" t="str">
        <f>IF(ISBLANK(menu!K104),"",menu!K104)</f>
        <v/>
      </c>
      <c r="M100" s="11" t="str">
        <f t="shared" si="3"/>
        <v/>
      </c>
    </row>
  </sheetData>
  <conditionalFormatting sqref="H1:I1048576">
    <cfRule type="duplicateValues" dxfId="6" priority="1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E6658-0E00-4FDB-8E76-C0A09F361C9E}">
  <sheetPr codeName="Sheet11"/>
  <dimension ref="A1:C99"/>
  <sheetViews>
    <sheetView topLeftCell="A77" workbookViewId="0">
      <selection activeCell="A90" sqref="A90"/>
    </sheetView>
  </sheetViews>
  <sheetFormatPr defaultRowHeight="14.4" x14ac:dyDescent="0.3"/>
  <cols>
    <col min="1" max="1" width="14.88671875" bestFit="1" customWidth="1"/>
  </cols>
  <sheetData>
    <row r="1" spans="1:3" x14ac:dyDescent="0.3">
      <c r="A1" t="s">
        <v>343</v>
      </c>
      <c r="B1" t="s">
        <v>369</v>
      </c>
      <c r="C1" t="s">
        <v>507</v>
      </c>
    </row>
    <row r="2" spans="1:3" x14ac:dyDescent="0.3">
      <c r="A2" t="s">
        <v>347</v>
      </c>
      <c r="B2">
        <v>8</v>
      </c>
      <c r="C2" t="s">
        <v>508</v>
      </c>
    </row>
    <row r="3" spans="1:3" x14ac:dyDescent="0.3">
      <c r="A3" t="s">
        <v>348</v>
      </c>
      <c r="B3">
        <v>9</v>
      </c>
      <c r="C3" t="s">
        <v>509</v>
      </c>
    </row>
    <row r="4" spans="1:3" x14ac:dyDescent="0.3">
      <c r="A4" t="s">
        <v>349</v>
      </c>
      <c r="B4">
        <v>13</v>
      </c>
      <c r="C4" t="s">
        <v>510</v>
      </c>
    </row>
    <row r="5" spans="1:3" x14ac:dyDescent="0.3">
      <c r="A5" t="s">
        <v>350</v>
      </c>
      <c r="B5">
        <v>16</v>
      </c>
      <c r="C5" t="s">
        <v>511</v>
      </c>
    </row>
    <row r="6" spans="1:3" x14ac:dyDescent="0.3">
      <c r="A6" t="s">
        <v>351</v>
      </c>
      <c r="B6">
        <v>17</v>
      </c>
      <c r="C6" t="s">
        <v>512</v>
      </c>
    </row>
    <row r="7" spans="1:3" x14ac:dyDescent="0.3">
      <c r="A7" t="s">
        <v>352</v>
      </c>
      <c r="B7">
        <v>18</v>
      </c>
      <c r="C7" t="s">
        <v>513</v>
      </c>
    </row>
    <row r="8" spans="1:3" x14ac:dyDescent="0.3">
      <c r="A8" t="s">
        <v>353</v>
      </c>
      <c r="B8">
        <v>19</v>
      </c>
      <c r="C8" t="s">
        <v>514</v>
      </c>
    </row>
    <row r="9" spans="1:3" x14ac:dyDescent="0.3">
      <c r="A9" t="s">
        <v>354</v>
      </c>
      <c r="B9">
        <v>20</v>
      </c>
      <c r="C9" t="s">
        <v>515</v>
      </c>
    </row>
    <row r="10" spans="1:3" x14ac:dyDescent="0.3">
      <c r="A10" t="s">
        <v>355</v>
      </c>
      <c r="B10">
        <v>27</v>
      </c>
      <c r="C10" t="s">
        <v>516</v>
      </c>
    </row>
    <row r="11" spans="1:3" x14ac:dyDescent="0.3">
      <c r="A11" t="s">
        <v>356</v>
      </c>
      <c r="B11">
        <v>33</v>
      </c>
      <c r="C11" t="s">
        <v>517</v>
      </c>
    </row>
    <row r="12" spans="1:3" x14ac:dyDescent="0.3">
      <c r="A12" t="s">
        <v>357</v>
      </c>
      <c r="B12">
        <v>34</v>
      </c>
      <c r="C12" t="s">
        <v>518</v>
      </c>
    </row>
    <row r="13" spans="1:3" x14ac:dyDescent="0.3">
      <c r="A13" t="s">
        <v>358</v>
      </c>
      <c r="B13">
        <v>35</v>
      </c>
      <c r="C13" t="s">
        <v>519</v>
      </c>
    </row>
    <row r="14" spans="1:3" x14ac:dyDescent="0.3">
      <c r="A14" t="s">
        <v>359</v>
      </c>
      <c r="B14">
        <v>36</v>
      </c>
      <c r="C14" t="s">
        <v>520</v>
      </c>
    </row>
    <row r="15" spans="1:3" x14ac:dyDescent="0.3">
      <c r="A15" t="s">
        <v>360</v>
      </c>
      <c r="B15">
        <v>37</v>
      </c>
      <c r="C15" t="s">
        <v>521</v>
      </c>
    </row>
    <row r="16" spans="1:3" x14ac:dyDescent="0.3">
      <c r="A16" t="s">
        <v>361</v>
      </c>
      <c r="B16">
        <v>38</v>
      </c>
      <c r="C16" t="s">
        <v>522</v>
      </c>
    </row>
    <row r="17" spans="1:3" x14ac:dyDescent="0.3">
      <c r="A17" t="s">
        <v>362</v>
      </c>
      <c r="B17">
        <v>39</v>
      </c>
      <c r="C17" t="s">
        <v>523</v>
      </c>
    </row>
    <row r="18" spans="1:3" x14ac:dyDescent="0.3">
      <c r="A18" t="s">
        <v>363</v>
      </c>
      <c r="B18">
        <v>40</v>
      </c>
      <c r="C18" t="s">
        <v>524</v>
      </c>
    </row>
    <row r="19" spans="1:3" x14ac:dyDescent="0.3">
      <c r="A19" t="s">
        <v>364</v>
      </c>
      <c r="B19">
        <v>45</v>
      </c>
      <c r="C19" t="s">
        <v>525</v>
      </c>
    </row>
    <row r="20" spans="1:3" x14ac:dyDescent="0.3">
      <c r="A20" t="s">
        <v>7</v>
      </c>
      <c r="B20">
        <v>46</v>
      </c>
      <c r="C20" t="s">
        <v>526</v>
      </c>
    </row>
    <row r="21" spans="1:3" x14ac:dyDescent="0.3">
      <c r="A21" t="s">
        <v>666</v>
      </c>
      <c r="B21">
        <v>48</v>
      </c>
      <c r="C21" t="s">
        <v>527</v>
      </c>
    </row>
    <row r="22" spans="1:3" x14ac:dyDescent="0.3">
      <c r="A22" t="s">
        <v>667</v>
      </c>
      <c r="B22">
        <v>49</v>
      </c>
      <c r="C22" t="s">
        <v>528</v>
      </c>
    </row>
    <row r="23" spans="1:3" x14ac:dyDescent="0.3">
      <c r="A23" t="s">
        <v>668</v>
      </c>
      <c r="B23">
        <v>50</v>
      </c>
      <c r="C23" t="s">
        <v>529</v>
      </c>
    </row>
    <row r="24" spans="1:3" x14ac:dyDescent="0.3">
      <c r="A24" t="s">
        <v>669</v>
      </c>
      <c r="B24">
        <v>51</v>
      </c>
      <c r="C24" t="s">
        <v>530</v>
      </c>
    </row>
    <row r="25" spans="1:3" x14ac:dyDescent="0.3">
      <c r="A25" t="s">
        <v>670</v>
      </c>
      <c r="B25">
        <v>52</v>
      </c>
      <c r="C25" t="s">
        <v>531</v>
      </c>
    </row>
    <row r="26" spans="1:3" x14ac:dyDescent="0.3">
      <c r="A26" t="s">
        <v>671</v>
      </c>
      <c r="B26">
        <v>53</v>
      </c>
      <c r="C26" t="s">
        <v>532</v>
      </c>
    </row>
    <row r="27" spans="1:3" x14ac:dyDescent="0.3">
      <c r="A27" t="s">
        <v>672</v>
      </c>
      <c r="B27">
        <v>54</v>
      </c>
      <c r="C27" t="s">
        <v>533</v>
      </c>
    </row>
    <row r="28" spans="1:3" x14ac:dyDescent="0.3">
      <c r="A28" t="s">
        <v>673</v>
      </c>
      <c r="B28">
        <v>55</v>
      </c>
      <c r="C28" t="s">
        <v>534</v>
      </c>
    </row>
    <row r="29" spans="1:3" x14ac:dyDescent="0.3">
      <c r="A29" t="s">
        <v>674</v>
      </c>
      <c r="B29">
        <v>56</v>
      </c>
      <c r="C29" t="s">
        <v>535</v>
      </c>
    </row>
    <row r="30" spans="1:3" x14ac:dyDescent="0.3">
      <c r="A30" t="s">
        <v>675</v>
      </c>
      <c r="B30">
        <v>57</v>
      </c>
      <c r="C30" t="s">
        <v>536</v>
      </c>
    </row>
    <row r="31" spans="1:3" x14ac:dyDescent="0.3">
      <c r="A31" t="s">
        <v>365</v>
      </c>
      <c r="B31">
        <v>65</v>
      </c>
      <c r="C31" t="s">
        <v>537</v>
      </c>
    </row>
    <row r="32" spans="1:3" x14ac:dyDescent="0.3">
      <c r="A32" t="s">
        <v>366</v>
      </c>
      <c r="B32">
        <v>66</v>
      </c>
      <c r="C32" t="s">
        <v>538</v>
      </c>
    </row>
    <row r="33" spans="1:3" x14ac:dyDescent="0.3">
      <c r="A33" t="s">
        <v>367</v>
      </c>
      <c r="B33">
        <v>67</v>
      </c>
      <c r="C33" t="s">
        <v>539</v>
      </c>
    </row>
    <row r="34" spans="1:3" x14ac:dyDescent="0.3">
      <c r="A34" t="s">
        <v>368</v>
      </c>
      <c r="B34">
        <v>68</v>
      </c>
      <c r="C34" t="s">
        <v>540</v>
      </c>
    </row>
    <row r="35" spans="1:3" x14ac:dyDescent="0.3">
      <c r="A35" t="s">
        <v>370</v>
      </c>
      <c r="B35">
        <v>69</v>
      </c>
      <c r="C35" t="s">
        <v>541</v>
      </c>
    </row>
    <row r="36" spans="1:3" x14ac:dyDescent="0.3">
      <c r="A36" t="s">
        <v>371</v>
      </c>
      <c r="B36">
        <v>70</v>
      </c>
      <c r="C36" t="s">
        <v>542</v>
      </c>
    </row>
    <row r="37" spans="1:3" x14ac:dyDescent="0.3">
      <c r="A37" t="s">
        <v>372</v>
      </c>
      <c r="B37">
        <v>71</v>
      </c>
      <c r="C37" t="s">
        <v>543</v>
      </c>
    </row>
    <row r="38" spans="1:3" x14ac:dyDescent="0.3">
      <c r="A38" t="s">
        <v>373</v>
      </c>
      <c r="B38">
        <v>72</v>
      </c>
      <c r="C38" t="s">
        <v>544</v>
      </c>
    </row>
    <row r="39" spans="1:3" x14ac:dyDescent="0.3">
      <c r="A39" t="s">
        <v>374</v>
      </c>
      <c r="B39">
        <v>73</v>
      </c>
      <c r="C39" t="s">
        <v>545</v>
      </c>
    </row>
    <row r="40" spans="1:3" x14ac:dyDescent="0.3">
      <c r="A40" t="s">
        <v>375</v>
      </c>
      <c r="B40">
        <v>74</v>
      </c>
      <c r="C40" t="s">
        <v>546</v>
      </c>
    </row>
    <row r="41" spans="1:3" x14ac:dyDescent="0.3">
      <c r="A41" t="s">
        <v>376</v>
      </c>
      <c r="B41">
        <v>75</v>
      </c>
      <c r="C41" t="s">
        <v>547</v>
      </c>
    </row>
    <row r="42" spans="1:3" x14ac:dyDescent="0.3">
      <c r="A42" t="s">
        <v>377</v>
      </c>
      <c r="B42">
        <v>76</v>
      </c>
      <c r="C42" t="s">
        <v>548</v>
      </c>
    </row>
    <row r="43" spans="1:3" x14ac:dyDescent="0.3">
      <c r="A43" t="s">
        <v>378</v>
      </c>
      <c r="B43">
        <v>77</v>
      </c>
      <c r="C43" t="s">
        <v>549</v>
      </c>
    </row>
    <row r="44" spans="1:3" x14ac:dyDescent="0.3">
      <c r="A44" t="s">
        <v>379</v>
      </c>
      <c r="B44">
        <v>78</v>
      </c>
      <c r="C44" t="s">
        <v>550</v>
      </c>
    </row>
    <row r="45" spans="1:3" x14ac:dyDescent="0.3">
      <c r="A45" t="s">
        <v>380</v>
      </c>
      <c r="B45">
        <v>79</v>
      </c>
      <c r="C45" t="s">
        <v>551</v>
      </c>
    </row>
    <row r="46" spans="1:3" x14ac:dyDescent="0.3">
      <c r="A46" t="s">
        <v>381</v>
      </c>
      <c r="B46">
        <v>80</v>
      </c>
      <c r="C46" t="s">
        <v>552</v>
      </c>
    </row>
    <row r="47" spans="1:3" x14ac:dyDescent="0.3">
      <c r="A47" t="s">
        <v>382</v>
      </c>
      <c r="B47">
        <v>81</v>
      </c>
      <c r="C47" t="s">
        <v>553</v>
      </c>
    </row>
    <row r="48" spans="1:3" x14ac:dyDescent="0.3">
      <c r="A48" t="s">
        <v>383</v>
      </c>
      <c r="B48">
        <v>82</v>
      </c>
      <c r="C48" t="s">
        <v>554</v>
      </c>
    </row>
    <row r="49" spans="1:3" x14ac:dyDescent="0.3">
      <c r="A49" t="s">
        <v>384</v>
      </c>
      <c r="B49">
        <v>83</v>
      </c>
      <c r="C49" t="s">
        <v>555</v>
      </c>
    </row>
    <row r="50" spans="1:3" x14ac:dyDescent="0.3">
      <c r="A50" t="s">
        <v>385</v>
      </c>
      <c r="B50">
        <v>84</v>
      </c>
      <c r="C50" t="s">
        <v>556</v>
      </c>
    </row>
    <row r="51" spans="1:3" x14ac:dyDescent="0.3">
      <c r="A51" t="s">
        <v>386</v>
      </c>
      <c r="B51">
        <v>85</v>
      </c>
      <c r="C51" t="s">
        <v>557</v>
      </c>
    </row>
    <row r="52" spans="1:3" x14ac:dyDescent="0.3">
      <c r="A52" t="s">
        <v>387</v>
      </c>
      <c r="B52">
        <v>86</v>
      </c>
      <c r="C52" t="s">
        <v>558</v>
      </c>
    </row>
    <row r="53" spans="1:3" x14ac:dyDescent="0.3">
      <c r="A53" t="s">
        <v>388</v>
      </c>
      <c r="B53">
        <v>87</v>
      </c>
      <c r="C53" t="s">
        <v>559</v>
      </c>
    </row>
    <row r="54" spans="1:3" x14ac:dyDescent="0.3">
      <c r="A54" t="s">
        <v>37</v>
      </c>
      <c r="B54">
        <v>88</v>
      </c>
      <c r="C54" t="s">
        <v>560</v>
      </c>
    </row>
    <row r="55" spans="1:3" x14ac:dyDescent="0.3">
      <c r="A55" t="s">
        <v>38</v>
      </c>
      <c r="B55">
        <v>89</v>
      </c>
      <c r="C55" t="s">
        <v>561</v>
      </c>
    </row>
    <row r="56" spans="1:3" x14ac:dyDescent="0.3">
      <c r="A56" t="s">
        <v>389</v>
      </c>
      <c r="B56">
        <v>90</v>
      </c>
      <c r="C56" t="s">
        <v>562</v>
      </c>
    </row>
    <row r="57" spans="1:3" x14ac:dyDescent="0.3">
      <c r="A57" t="s">
        <v>390</v>
      </c>
      <c r="B57">
        <v>91</v>
      </c>
      <c r="C57" t="s">
        <v>563</v>
      </c>
    </row>
    <row r="58" spans="1:3" x14ac:dyDescent="0.3">
      <c r="A58" t="s">
        <v>391</v>
      </c>
      <c r="B58">
        <v>92</v>
      </c>
      <c r="C58" t="s">
        <v>564</v>
      </c>
    </row>
    <row r="59" spans="1:3" x14ac:dyDescent="0.3">
      <c r="A59" t="s">
        <v>392</v>
      </c>
      <c r="B59">
        <v>93</v>
      </c>
      <c r="C59" t="s">
        <v>565</v>
      </c>
    </row>
    <row r="60" spans="1:3" x14ac:dyDescent="0.3">
      <c r="A60" t="s">
        <v>393</v>
      </c>
      <c r="B60">
        <v>96</v>
      </c>
      <c r="C60" t="s">
        <v>566</v>
      </c>
    </row>
    <row r="61" spans="1:3" x14ac:dyDescent="0.3">
      <c r="A61" t="s">
        <v>394</v>
      </c>
      <c r="B61">
        <v>97</v>
      </c>
      <c r="C61" t="s">
        <v>567</v>
      </c>
    </row>
    <row r="62" spans="1:3" x14ac:dyDescent="0.3">
      <c r="A62" t="s">
        <v>395</v>
      </c>
      <c r="B62">
        <v>98</v>
      </c>
      <c r="C62" t="s">
        <v>568</v>
      </c>
    </row>
    <row r="63" spans="1:3" x14ac:dyDescent="0.3">
      <c r="A63" t="s">
        <v>396</v>
      </c>
      <c r="B63">
        <v>99</v>
      </c>
      <c r="C63" t="s">
        <v>569</v>
      </c>
    </row>
    <row r="64" spans="1:3" x14ac:dyDescent="0.3">
      <c r="A64" t="s">
        <v>397</v>
      </c>
      <c r="B64">
        <v>100</v>
      </c>
      <c r="C64" t="s">
        <v>570</v>
      </c>
    </row>
    <row r="65" spans="1:3" x14ac:dyDescent="0.3">
      <c r="A65" t="s">
        <v>398</v>
      </c>
      <c r="B65">
        <v>101</v>
      </c>
      <c r="C65" t="s">
        <v>571</v>
      </c>
    </row>
    <row r="66" spans="1:3" x14ac:dyDescent="0.3">
      <c r="A66" t="s">
        <v>399</v>
      </c>
      <c r="B66">
        <v>102</v>
      </c>
      <c r="C66" t="s">
        <v>572</v>
      </c>
    </row>
    <row r="67" spans="1:3" x14ac:dyDescent="0.3">
      <c r="A67" t="s">
        <v>400</v>
      </c>
      <c r="B67">
        <v>103</v>
      </c>
      <c r="C67" t="s">
        <v>573</v>
      </c>
    </row>
    <row r="68" spans="1:3" x14ac:dyDescent="0.3">
      <c r="A68" t="s">
        <v>401</v>
      </c>
      <c r="B68">
        <v>104</v>
      </c>
      <c r="C68" t="s">
        <v>574</v>
      </c>
    </row>
    <row r="69" spans="1:3" x14ac:dyDescent="0.3">
      <c r="A69" t="s">
        <v>402</v>
      </c>
      <c r="B69">
        <v>105</v>
      </c>
      <c r="C69" t="s">
        <v>575</v>
      </c>
    </row>
    <row r="70" spans="1:3" x14ac:dyDescent="0.3">
      <c r="A70" t="s">
        <v>403</v>
      </c>
      <c r="B70">
        <v>106</v>
      </c>
      <c r="C70" t="s">
        <v>576</v>
      </c>
    </row>
    <row r="71" spans="1:3" x14ac:dyDescent="0.3">
      <c r="A71" t="s">
        <v>404</v>
      </c>
      <c r="B71">
        <v>107</v>
      </c>
      <c r="C71" t="s">
        <v>577</v>
      </c>
    </row>
    <row r="72" spans="1:3" x14ac:dyDescent="0.3">
      <c r="A72" t="s">
        <v>405</v>
      </c>
      <c r="B72">
        <v>109</v>
      </c>
      <c r="C72" t="s">
        <v>578</v>
      </c>
    </row>
    <row r="73" spans="1:3" x14ac:dyDescent="0.3">
      <c r="A73" t="s">
        <v>406</v>
      </c>
      <c r="B73">
        <v>110</v>
      </c>
      <c r="C73" t="s">
        <v>579</v>
      </c>
    </row>
    <row r="74" spans="1:3" x14ac:dyDescent="0.3">
      <c r="A74" t="s">
        <v>407</v>
      </c>
      <c r="B74">
        <v>111</v>
      </c>
      <c r="C74" t="s">
        <v>580</v>
      </c>
    </row>
    <row r="75" spans="1:3" x14ac:dyDescent="0.3">
      <c r="A75" t="s">
        <v>408</v>
      </c>
      <c r="B75">
        <v>112</v>
      </c>
      <c r="C75" t="s">
        <v>581</v>
      </c>
    </row>
    <row r="76" spans="1:3" x14ac:dyDescent="0.3">
      <c r="A76" t="s">
        <v>409</v>
      </c>
      <c r="B76">
        <v>113</v>
      </c>
      <c r="C76" t="s">
        <v>582</v>
      </c>
    </row>
    <row r="77" spans="1:3" x14ac:dyDescent="0.3">
      <c r="A77" t="s">
        <v>410</v>
      </c>
      <c r="B77">
        <v>114</v>
      </c>
      <c r="C77" t="s">
        <v>583</v>
      </c>
    </row>
    <row r="78" spans="1:3" x14ac:dyDescent="0.3">
      <c r="A78" t="s">
        <v>411</v>
      </c>
      <c r="B78">
        <v>115</v>
      </c>
      <c r="C78" t="s">
        <v>584</v>
      </c>
    </row>
    <row r="79" spans="1:3" x14ac:dyDescent="0.3">
      <c r="A79" t="s">
        <v>412</v>
      </c>
      <c r="B79">
        <v>116</v>
      </c>
      <c r="C79" t="s">
        <v>585</v>
      </c>
    </row>
    <row r="80" spans="1:3" x14ac:dyDescent="0.3">
      <c r="A80" t="s">
        <v>413</v>
      </c>
      <c r="B80">
        <v>117</v>
      </c>
      <c r="C80" t="s">
        <v>586</v>
      </c>
    </row>
    <row r="81" spans="1:3" x14ac:dyDescent="0.3">
      <c r="A81" t="s">
        <v>414</v>
      </c>
      <c r="B81">
        <v>118</v>
      </c>
      <c r="C81" t="s">
        <v>587</v>
      </c>
    </row>
    <row r="82" spans="1:3" x14ac:dyDescent="0.3">
      <c r="A82" t="s">
        <v>415</v>
      </c>
      <c r="B82">
        <v>119</v>
      </c>
      <c r="C82" t="s">
        <v>588</v>
      </c>
    </row>
    <row r="83" spans="1:3" x14ac:dyDescent="0.3">
      <c r="A83" t="s">
        <v>416</v>
      </c>
      <c r="B83">
        <v>120</v>
      </c>
      <c r="C83" t="s">
        <v>589</v>
      </c>
    </row>
    <row r="84" spans="1:3" x14ac:dyDescent="0.3">
      <c r="A84" t="s">
        <v>417</v>
      </c>
      <c r="B84">
        <v>121</v>
      </c>
      <c r="C84" t="s">
        <v>590</v>
      </c>
    </row>
    <row r="85" spans="1:3" x14ac:dyDescent="0.3">
      <c r="A85" t="s">
        <v>418</v>
      </c>
      <c r="B85">
        <v>122</v>
      </c>
      <c r="C85" t="s">
        <v>591</v>
      </c>
    </row>
    <row r="86" spans="1:3" x14ac:dyDescent="0.3">
      <c r="A86" t="s">
        <v>419</v>
      </c>
      <c r="B86">
        <v>123</v>
      </c>
      <c r="C86" t="s">
        <v>592</v>
      </c>
    </row>
    <row r="87" spans="1:3" x14ac:dyDescent="0.3">
      <c r="A87" t="s">
        <v>420</v>
      </c>
      <c r="B87">
        <v>144</v>
      </c>
      <c r="C87" t="s">
        <v>593</v>
      </c>
    </row>
    <row r="88" spans="1:3" x14ac:dyDescent="0.3">
      <c r="A88" t="s">
        <v>421</v>
      </c>
      <c r="B88">
        <v>145</v>
      </c>
      <c r="C88" t="s">
        <v>594</v>
      </c>
    </row>
    <row r="89" spans="1:3" x14ac:dyDescent="0.3">
      <c r="A89" t="s">
        <v>422</v>
      </c>
      <c r="B89">
        <v>186</v>
      </c>
      <c r="C89" t="s">
        <v>595</v>
      </c>
    </row>
    <row r="90" spans="1:3" x14ac:dyDescent="0.3">
      <c r="A90" t="s">
        <v>423</v>
      </c>
      <c r="B90">
        <v>187</v>
      </c>
      <c r="C90" t="s">
        <v>596</v>
      </c>
    </row>
    <row r="91" spans="1:3" x14ac:dyDescent="0.3">
      <c r="A91" t="s">
        <v>424</v>
      </c>
      <c r="B91">
        <v>188</v>
      </c>
      <c r="C91" t="s">
        <v>643</v>
      </c>
    </row>
    <row r="92" spans="1:3" x14ac:dyDescent="0.3">
      <c r="A92" t="s">
        <v>425</v>
      </c>
      <c r="B92">
        <v>189</v>
      </c>
      <c r="C92" t="s">
        <v>647</v>
      </c>
    </row>
    <row r="93" spans="1:3" x14ac:dyDescent="0.3">
      <c r="A93" t="s">
        <v>426</v>
      </c>
      <c r="B93">
        <v>190</v>
      </c>
      <c r="C93" t="s">
        <v>648</v>
      </c>
    </row>
    <row r="94" spans="1:3" x14ac:dyDescent="0.3">
      <c r="A94" t="s">
        <v>427</v>
      </c>
      <c r="B94">
        <v>191</v>
      </c>
      <c r="C94" t="s">
        <v>597</v>
      </c>
    </row>
    <row r="95" spans="1:3" x14ac:dyDescent="0.3">
      <c r="A95" t="s">
        <v>428</v>
      </c>
      <c r="B95">
        <v>192</v>
      </c>
      <c r="C95" t="s">
        <v>598</v>
      </c>
    </row>
    <row r="96" spans="1:3" x14ac:dyDescent="0.3">
      <c r="A96" t="s">
        <v>429</v>
      </c>
      <c r="B96">
        <v>219</v>
      </c>
      <c r="C96" t="s">
        <v>599</v>
      </c>
    </row>
    <row r="97" spans="1:3" x14ac:dyDescent="0.3">
      <c r="A97" t="s">
        <v>430</v>
      </c>
      <c r="B97">
        <v>220</v>
      </c>
      <c r="C97" t="s">
        <v>600</v>
      </c>
    </row>
    <row r="98" spans="1:3" x14ac:dyDescent="0.3">
      <c r="A98" t="s">
        <v>431</v>
      </c>
      <c r="B98">
        <v>221</v>
      </c>
      <c r="C98" t="s">
        <v>601</v>
      </c>
    </row>
    <row r="99" spans="1:3" x14ac:dyDescent="0.3">
      <c r="A99" t="s">
        <v>432</v>
      </c>
      <c r="B99">
        <v>222</v>
      </c>
      <c r="C99" t="s">
        <v>602</v>
      </c>
    </row>
  </sheetData>
  <phoneticPr fontId="1" type="noConversion"/>
  <conditionalFormatting sqref="C2:C99">
    <cfRule type="duplicateValues" dxfId="5" priority="1"/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15C12-05DF-43CD-B107-92955C7A5AA0}">
  <sheetPr codeName="Sheet13"/>
  <dimension ref="A1:M12"/>
  <sheetViews>
    <sheetView workbookViewId="0">
      <selection activeCell="M1" sqref="M1"/>
    </sheetView>
  </sheetViews>
  <sheetFormatPr defaultRowHeight="14.4" x14ac:dyDescent="0.3"/>
  <cols>
    <col min="1" max="16384" width="8.88671875" style="11"/>
  </cols>
  <sheetData>
    <row r="1" spans="1:13" x14ac:dyDescent="0.3">
      <c r="C1" s="27" t="s">
        <v>329</v>
      </c>
      <c r="D1" s="27"/>
      <c r="E1" s="27" t="s">
        <v>330</v>
      </c>
      <c r="F1" s="27"/>
      <c r="M1" s="17" t="s">
        <v>1682</v>
      </c>
    </row>
    <row r="2" spans="1:13" x14ac:dyDescent="0.3">
      <c r="A2" s="11" t="s">
        <v>288</v>
      </c>
      <c r="B2" s="11" t="s">
        <v>22</v>
      </c>
      <c r="C2" s="11" t="s">
        <v>97</v>
      </c>
      <c r="D2" s="11" t="s">
        <v>289</v>
      </c>
      <c r="E2" s="11" t="s">
        <v>97</v>
      </c>
      <c r="F2" s="11" t="s">
        <v>289</v>
      </c>
    </row>
    <row r="3" spans="1:13" x14ac:dyDescent="0.3">
      <c r="A3" s="11" t="s">
        <v>40</v>
      </c>
      <c r="B3" s="11" t="s">
        <v>1228</v>
      </c>
      <c r="C3" s="11" t="s">
        <v>46</v>
      </c>
      <c r="D3" s="11" t="s">
        <v>67</v>
      </c>
      <c r="E3" s="11" t="s">
        <v>700</v>
      </c>
      <c r="F3" s="11" t="s">
        <v>701</v>
      </c>
    </row>
    <row r="4" spans="1:13" x14ac:dyDescent="0.3">
      <c r="A4" s="11" t="s">
        <v>54</v>
      </c>
      <c r="B4" s="11" t="s">
        <v>1229</v>
      </c>
      <c r="C4" s="11" t="s">
        <v>53</v>
      </c>
      <c r="D4" s="11" t="s">
        <v>66</v>
      </c>
      <c r="E4" s="11" t="s">
        <v>702</v>
      </c>
      <c r="F4" s="11" t="s">
        <v>703</v>
      </c>
    </row>
    <row r="5" spans="1:13" x14ac:dyDescent="0.3">
      <c r="A5" s="11" t="s">
        <v>41</v>
      </c>
      <c r="B5" s="11" t="s">
        <v>1230</v>
      </c>
      <c r="C5" s="11" t="s">
        <v>47</v>
      </c>
      <c r="D5" s="11" t="s">
        <v>1226</v>
      </c>
      <c r="E5" s="11" t="s">
        <v>704</v>
      </c>
      <c r="F5" s="11" t="s">
        <v>1227</v>
      </c>
    </row>
    <row r="6" spans="1:13" x14ac:dyDescent="0.3">
      <c r="A6" s="11" t="s">
        <v>1428</v>
      </c>
      <c r="B6" s="11" t="s">
        <v>1430</v>
      </c>
      <c r="C6" s="11" t="s">
        <v>1429</v>
      </c>
      <c r="D6" s="11" t="s">
        <v>1432</v>
      </c>
      <c r="E6" s="11" t="s">
        <v>1431</v>
      </c>
      <c r="F6" s="11" t="s">
        <v>1433</v>
      </c>
    </row>
    <row r="7" spans="1:13" x14ac:dyDescent="0.3">
      <c r="A7" s="11" t="s">
        <v>1221</v>
      </c>
      <c r="B7" s="11" t="s">
        <v>1231</v>
      </c>
      <c r="C7" s="11" t="s">
        <v>1222</v>
      </c>
      <c r="D7" s="11" t="s">
        <v>1223</v>
      </c>
      <c r="E7" s="11" t="s">
        <v>1224</v>
      </c>
      <c r="F7" s="11" t="s">
        <v>1225</v>
      </c>
    </row>
    <row r="8" spans="1:13" x14ac:dyDescent="0.3">
      <c r="A8" s="11" t="s">
        <v>1248</v>
      </c>
      <c r="B8" s="11" t="s">
        <v>1234</v>
      </c>
      <c r="C8" s="11" t="s">
        <v>48</v>
      </c>
      <c r="D8" s="11" t="s">
        <v>69</v>
      </c>
      <c r="E8" s="11" t="s">
        <v>705</v>
      </c>
      <c r="F8" s="11" t="s">
        <v>706</v>
      </c>
    </row>
    <row r="9" spans="1:13" x14ac:dyDescent="0.3">
      <c r="A9" s="11" t="s">
        <v>43</v>
      </c>
      <c r="B9" s="11" t="s">
        <v>1232</v>
      </c>
      <c r="C9" s="11" t="s">
        <v>49</v>
      </c>
      <c r="D9" s="11" t="s">
        <v>70</v>
      </c>
      <c r="E9" s="11" t="s">
        <v>707</v>
      </c>
      <c r="F9" s="11" t="s">
        <v>708</v>
      </c>
    </row>
    <row r="10" spans="1:13" x14ac:dyDescent="0.3">
      <c r="A10" s="11" t="s">
        <v>44</v>
      </c>
      <c r="B10" s="11" t="s">
        <v>1233</v>
      </c>
      <c r="C10" s="11" t="s">
        <v>50</v>
      </c>
      <c r="D10" s="11" t="s">
        <v>71</v>
      </c>
      <c r="E10" s="11" t="s">
        <v>709</v>
      </c>
      <c r="F10" s="11" t="s">
        <v>710</v>
      </c>
    </row>
    <row r="12" spans="1:13" x14ac:dyDescent="0.3">
      <c r="A12" s="11" t="s">
        <v>45</v>
      </c>
      <c r="B12" s="11" t="s">
        <v>1235</v>
      </c>
      <c r="C12" s="11" t="s">
        <v>51</v>
      </c>
      <c r="D12" s="11" t="s">
        <v>72</v>
      </c>
      <c r="E12" s="11" t="s">
        <v>711</v>
      </c>
      <c r="F12" s="11" t="s">
        <v>712</v>
      </c>
    </row>
  </sheetData>
  <mergeCells count="2">
    <mergeCell ref="C1:D1"/>
    <mergeCell ref="E1:F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generateCategory">
                <anchor moveWithCells="1" sizeWithCells="1">
                  <from>
                    <xdr:col>13</xdr:col>
                    <xdr:colOff>373380</xdr:colOff>
                    <xdr:row>2</xdr:row>
                    <xdr:rowOff>7620</xdr:rowOff>
                  </from>
                  <to>
                    <xdr:col>17</xdr:col>
                    <xdr:colOff>457200</xdr:colOff>
                    <xdr:row>7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08265-8420-4D12-95E4-C759ECCB7DAA}">
  <sheetPr codeName="Sheet14"/>
  <dimension ref="A1:R97"/>
  <sheetViews>
    <sheetView topLeftCell="D1" workbookViewId="0">
      <selection activeCell="R8" sqref="R1:R1048576"/>
    </sheetView>
  </sheetViews>
  <sheetFormatPr defaultRowHeight="14.4" x14ac:dyDescent="0.3"/>
  <cols>
    <col min="1" max="1" width="22.109375" style="23" bestFit="1" customWidth="1"/>
    <col min="2" max="2" width="35.5546875" customWidth="1"/>
    <col min="18" max="18" width="8.88671875" style="18"/>
  </cols>
  <sheetData>
    <row r="1" spans="1:18" x14ac:dyDescent="0.3">
      <c r="I1" s="27" t="s">
        <v>329</v>
      </c>
      <c r="J1" s="27"/>
      <c r="K1" s="27" t="s">
        <v>330</v>
      </c>
      <c r="L1" s="27"/>
    </row>
    <row r="2" spans="1:18" x14ac:dyDescent="0.3">
      <c r="A2" t="s">
        <v>288</v>
      </c>
      <c r="B2" t="s">
        <v>22</v>
      </c>
      <c r="C2" t="s">
        <v>291</v>
      </c>
      <c r="D2" t="s">
        <v>290</v>
      </c>
      <c r="E2" t="s">
        <v>292</v>
      </c>
      <c r="F2" t="s">
        <v>293</v>
      </c>
      <c r="G2" t="s">
        <v>726</v>
      </c>
      <c r="H2" t="s">
        <v>294</v>
      </c>
      <c r="I2" s="11" t="s">
        <v>97</v>
      </c>
      <c r="J2" s="11" t="s">
        <v>289</v>
      </c>
      <c r="K2" s="11" t="s">
        <v>97</v>
      </c>
      <c r="L2" s="11" t="s">
        <v>289</v>
      </c>
      <c r="R2" s="18" t="s">
        <v>1619</v>
      </c>
    </row>
    <row r="3" spans="1:18" x14ac:dyDescent="0.3">
      <c r="A3" s="23" t="s">
        <v>823</v>
      </c>
      <c r="B3" t="s">
        <v>1796</v>
      </c>
      <c r="C3" t="s">
        <v>299</v>
      </c>
      <c r="D3" t="s">
        <v>724</v>
      </c>
      <c r="E3">
        <v>48</v>
      </c>
      <c r="F3">
        <v>48</v>
      </c>
      <c r="G3" t="s">
        <v>824</v>
      </c>
      <c r="H3" t="s">
        <v>40</v>
      </c>
      <c r="I3" t="s">
        <v>302</v>
      </c>
      <c r="J3" t="s">
        <v>825</v>
      </c>
      <c r="K3" t="s">
        <v>826</v>
      </c>
      <c r="L3" t="s">
        <v>827</v>
      </c>
      <c r="R3" s="18" t="s">
        <v>1863</v>
      </c>
    </row>
    <row r="4" spans="1:18" x14ac:dyDescent="0.3">
      <c r="A4" s="23" t="s">
        <v>1208</v>
      </c>
      <c r="B4" t="s">
        <v>1196</v>
      </c>
      <c r="E4">
        <v>48</v>
      </c>
      <c r="F4">
        <v>48</v>
      </c>
      <c r="H4" t="s">
        <v>40</v>
      </c>
      <c r="I4" t="s">
        <v>1200</v>
      </c>
      <c r="J4" t="s">
        <v>1204</v>
      </c>
      <c r="K4" t="s">
        <v>1423</v>
      </c>
      <c r="L4" t="s">
        <v>1206</v>
      </c>
      <c r="R4" s="18" t="s">
        <v>1637</v>
      </c>
    </row>
    <row r="5" spans="1:18" x14ac:dyDescent="0.3">
      <c r="A5" s="23" t="s">
        <v>1211</v>
      </c>
      <c r="B5" t="s">
        <v>1198</v>
      </c>
      <c r="E5">
        <v>48</v>
      </c>
      <c r="F5">
        <v>48</v>
      </c>
      <c r="H5" t="s">
        <v>40</v>
      </c>
      <c r="I5" t="s">
        <v>1203</v>
      </c>
      <c r="J5" t="s">
        <v>1216</v>
      </c>
      <c r="K5" t="s">
        <v>1422</v>
      </c>
      <c r="L5" t="s">
        <v>1217</v>
      </c>
      <c r="R5" s="18" t="s">
        <v>1638</v>
      </c>
    </row>
    <row r="6" spans="1:18" x14ac:dyDescent="0.3">
      <c r="A6" s="23" t="s">
        <v>1209</v>
      </c>
      <c r="B6" t="s">
        <v>1199</v>
      </c>
      <c r="E6">
        <v>48</v>
      </c>
      <c r="F6">
        <v>48</v>
      </c>
      <c r="H6" t="s">
        <v>40</v>
      </c>
      <c r="I6" t="s">
        <v>1201</v>
      </c>
      <c r="J6" t="s">
        <v>1205</v>
      </c>
      <c r="K6" t="s">
        <v>1424</v>
      </c>
      <c r="L6" t="s">
        <v>1207</v>
      </c>
      <c r="R6" s="18" t="s">
        <v>1639</v>
      </c>
    </row>
    <row r="7" spans="1:18" x14ac:dyDescent="0.3">
      <c r="A7" s="23" t="s">
        <v>1213</v>
      </c>
      <c r="B7" t="s">
        <v>1212</v>
      </c>
      <c r="E7">
        <v>48</v>
      </c>
      <c r="F7">
        <v>48</v>
      </c>
      <c r="H7" t="s">
        <v>40</v>
      </c>
      <c r="I7" t="s">
        <v>1214</v>
      </c>
      <c r="J7" t="s">
        <v>1219</v>
      </c>
      <c r="K7" t="s">
        <v>1214</v>
      </c>
      <c r="L7" t="s">
        <v>1220</v>
      </c>
      <c r="R7" s="18" t="s">
        <v>1640</v>
      </c>
    </row>
    <row r="8" spans="1:18" x14ac:dyDescent="0.3">
      <c r="A8" s="23" t="s">
        <v>1210</v>
      </c>
      <c r="B8" t="s">
        <v>1197</v>
      </c>
      <c r="E8">
        <v>48</v>
      </c>
      <c r="F8">
        <v>48</v>
      </c>
      <c r="H8" t="s">
        <v>40</v>
      </c>
      <c r="I8" t="s">
        <v>1202</v>
      </c>
      <c r="J8" t="s">
        <v>1215</v>
      </c>
      <c r="K8" t="s">
        <v>1421</v>
      </c>
      <c r="L8" t="s">
        <v>1218</v>
      </c>
      <c r="R8" s="18" t="s">
        <v>1641</v>
      </c>
    </row>
    <row r="9" spans="1:18" x14ac:dyDescent="0.3">
      <c r="A9" s="23" t="s">
        <v>1032</v>
      </c>
      <c r="B9" t="s">
        <v>1195</v>
      </c>
      <c r="C9" t="s">
        <v>299</v>
      </c>
      <c r="D9" t="s">
        <v>724</v>
      </c>
      <c r="E9">
        <v>48</v>
      </c>
      <c r="F9">
        <v>48</v>
      </c>
      <c r="G9" t="s">
        <v>1037</v>
      </c>
      <c r="H9" t="s">
        <v>40</v>
      </c>
      <c r="I9" t="s">
        <v>1033</v>
      </c>
      <c r="J9" t="s">
        <v>1034</v>
      </c>
      <c r="K9" t="s">
        <v>1035</v>
      </c>
      <c r="L9" t="s">
        <v>1036</v>
      </c>
      <c r="R9" s="18" t="s">
        <v>1634</v>
      </c>
    </row>
    <row r="10" spans="1:18" x14ac:dyDescent="0.3">
      <c r="A10" s="23" t="s">
        <v>1675</v>
      </c>
      <c r="B10" t="s">
        <v>1674</v>
      </c>
      <c r="E10">
        <v>48</v>
      </c>
      <c r="F10">
        <v>48</v>
      </c>
      <c r="H10" t="s">
        <v>40</v>
      </c>
      <c r="I10" t="s">
        <v>1676</v>
      </c>
      <c r="J10" t="s">
        <v>1678</v>
      </c>
      <c r="K10" t="s">
        <v>1677</v>
      </c>
      <c r="L10" t="s">
        <v>1679</v>
      </c>
      <c r="R10" s="18" t="s">
        <v>1680</v>
      </c>
    </row>
    <row r="11" spans="1:18" x14ac:dyDescent="0.3">
      <c r="A11" s="23" t="s">
        <v>966</v>
      </c>
      <c r="B11" t="s">
        <v>970</v>
      </c>
      <c r="C11" t="s">
        <v>299</v>
      </c>
      <c r="D11" t="s">
        <v>724</v>
      </c>
      <c r="E11">
        <v>48</v>
      </c>
      <c r="F11">
        <v>48</v>
      </c>
      <c r="G11" t="s">
        <v>35</v>
      </c>
      <c r="H11" t="s">
        <v>54</v>
      </c>
      <c r="I11" t="s">
        <v>309</v>
      </c>
      <c r="J11" t="s">
        <v>968</v>
      </c>
      <c r="K11" t="s">
        <v>967</v>
      </c>
      <c r="L11" t="s">
        <v>969</v>
      </c>
      <c r="R11" s="18" t="s">
        <v>1633</v>
      </c>
    </row>
    <row r="12" spans="1:18" x14ac:dyDescent="0.3">
      <c r="A12" s="23" t="s">
        <v>922</v>
      </c>
      <c r="B12" t="s">
        <v>1668</v>
      </c>
      <c r="C12" t="s">
        <v>299</v>
      </c>
      <c r="D12" t="s">
        <v>724</v>
      </c>
      <c r="E12">
        <v>96</v>
      </c>
      <c r="F12">
        <v>48</v>
      </c>
      <c r="G12" t="s">
        <v>923</v>
      </c>
      <c r="H12" t="s">
        <v>54</v>
      </c>
      <c r="I12" t="s">
        <v>924</v>
      </c>
      <c r="J12" t="s">
        <v>1664</v>
      </c>
      <c r="K12" t="s">
        <v>925</v>
      </c>
      <c r="L12" t="s">
        <v>1665</v>
      </c>
      <c r="R12" s="18" t="s">
        <v>1669</v>
      </c>
    </row>
    <row r="13" spans="1:18" x14ac:dyDescent="0.3">
      <c r="A13" s="23" t="s">
        <v>1661</v>
      </c>
      <c r="B13" t="s">
        <v>1670</v>
      </c>
      <c r="E13">
        <v>96</v>
      </c>
      <c r="F13">
        <v>48</v>
      </c>
      <c r="H13" t="s">
        <v>54</v>
      </c>
      <c r="I13" t="s">
        <v>1662</v>
      </c>
      <c r="J13" t="s">
        <v>1666</v>
      </c>
      <c r="K13" t="s">
        <v>1663</v>
      </c>
      <c r="L13" t="s">
        <v>1667</v>
      </c>
      <c r="R13" s="18" t="s">
        <v>1671</v>
      </c>
    </row>
    <row r="14" spans="1:18" x14ac:dyDescent="0.3">
      <c r="A14" s="23" t="s">
        <v>1681</v>
      </c>
      <c r="B14" t="s">
        <v>1797</v>
      </c>
      <c r="E14">
        <v>96</v>
      </c>
      <c r="F14">
        <v>96</v>
      </c>
      <c r="H14" t="s">
        <v>54</v>
      </c>
      <c r="I14" t="s">
        <v>1683</v>
      </c>
      <c r="J14" t="s">
        <v>1684</v>
      </c>
      <c r="K14" t="s">
        <v>1685</v>
      </c>
      <c r="L14" t="s">
        <v>1686</v>
      </c>
      <c r="R14" s="18" t="s">
        <v>1864</v>
      </c>
    </row>
    <row r="15" spans="1:18" x14ac:dyDescent="0.3">
      <c r="A15" s="23" t="s">
        <v>1129</v>
      </c>
      <c r="B15" t="s">
        <v>1798</v>
      </c>
      <c r="C15" t="s">
        <v>299</v>
      </c>
      <c r="D15" t="s">
        <v>724</v>
      </c>
      <c r="E15">
        <v>48</v>
      </c>
      <c r="F15">
        <v>48</v>
      </c>
      <c r="G15" t="s">
        <v>1130</v>
      </c>
      <c r="H15" t="s">
        <v>41</v>
      </c>
      <c r="I15" t="s">
        <v>1131</v>
      </c>
      <c r="J15" t="s">
        <v>1133</v>
      </c>
      <c r="K15" t="s">
        <v>1132</v>
      </c>
      <c r="L15" t="s">
        <v>1134</v>
      </c>
      <c r="R15" s="18" t="s">
        <v>1865</v>
      </c>
    </row>
    <row r="16" spans="1:18" x14ac:dyDescent="0.3">
      <c r="A16" s="23" t="s">
        <v>725</v>
      </c>
      <c r="B16" t="s">
        <v>730</v>
      </c>
      <c r="C16" t="s">
        <v>299</v>
      </c>
      <c r="D16" t="s">
        <v>724</v>
      </c>
      <c r="E16">
        <v>48</v>
      </c>
      <c r="F16">
        <v>48</v>
      </c>
      <c r="G16" t="s">
        <v>727</v>
      </c>
      <c r="H16" t="s">
        <v>41</v>
      </c>
      <c r="I16" t="s">
        <v>296</v>
      </c>
      <c r="J16" t="s">
        <v>731</v>
      </c>
      <c r="K16" t="s">
        <v>728</v>
      </c>
      <c r="L16" t="s">
        <v>729</v>
      </c>
      <c r="R16" s="18" t="s">
        <v>1733</v>
      </c>
    </row>
    <row r="17" spans="1:18" x14ac:dyDescent="0.3">
      <c r="A17" s="23" t="s">
        <v>1386</v>
      </c>
      <c r="B17" t="s">
        <v>1274</v>
      </c>
      <c r="E17">
        <v>48</v>
      </c>
      <c r="F17">
        <v>48</v>
      </c>
      <c r="H17" t="s">
        <v>41</v>
      </c>
      <c r="I17" t="s">
        <v>1275</v>
      </c>
      <c r="J17" t="s">
        <v>1283</v>
      </c>
      <c r="K17" t="s">
        <v>1330</v>
      </c>
      <c r="L17" t="s">
        <v>1353</v>
      </c>
      <c r="R17" s="18" t="s">
        <v>1651</v>
      </c>
    </row>
    <row r="18" spans="1:18" x14ac:dyDescent="0.3">
      <c r="A18" s="23" t="s">
        <v>1387</v>
      </c>
      <c r="B18" t="s">
        <v>1799</v>
      </c>
      <c r="E18">
        <v>48</v>
      </c>
      <c r="F18">
        <v>48</v>
      </c>
      <c r="H18" t="s">
        <v>41</v>
      </c>
      <c r="I18" t="s">
        <v>1276</v>
      </c>
      <c r="J18" t="s">
        <v>1284</v>
      </c>
      <c r="K18" t="s">
        <v>1331</v>
      </c>
      <c r="L18" t="s">
        <v>1354</v>
      </c>
      <c r="R18" s="18" t="s">
        <v>1866</v>
      </c>
    </row>
    <row r="19" spans="1:18" x14ac:dyDescent="0.3">
      <c r="A19" s="23" t="s">
        <v>1384</v>
      </c>
      <c r="B19" t="s">
        <v>1294</v>
      </c>
      <c r="E19">
        <v>48</v>
      </c>
      <c r="F19">
        <v>48</v>
      </c>
      <c r="H19" t="s">
        <v>41</v>
      </c>
      <c r="I19" t="s">
        <v>1272</v>
      </c>
      <c r="J19" t="s">
        <v>1296</v>
      </c>
      <c r="K19" t="s">
        <v>1328</v>
      </c>
      <c r="L19" t="s">
        <v>1351</v>
      </c>
      <c r="R19" s="18" t="s">
        <v>1650</v>
      </c>
    </row>
    <row r="20" spans="1:18" x14ac:dyDescent="0.3">
      <c r="A20" s="23" t="s">
        <v>1394</v>
      </c>
      <c r="B20" t="s">
        <v>1297</v>
      </c>
      <c r="E20">
        <v>48</v>
      </c>
      <c r="F20">
        <v>48</v>
      </c>
      <c r="H20" t="s">
        <v>41</v>
      </c>
      <c r="I20" t="s">
        <v>1298</v>
      </c>
      <c r="J20" t="s">
        <v>1295</v>
      </c>
      <c r="K20" t="s">
        <v>1337</v>
      </c>
      <c r="L20" t="s">
        <v>1361</v>
      </c>
      <c r="R20" s="18" t="s">
        <v>1652</v>
      </c>
    </row>
    <row r="21" spans="1:18" x14ac:dyDescent="0.3">
      <c r="A21" s="23" t="s">
        <v>1393</v>
      </c>
      <c r="B21" t="s">
        <v>1800</v>
      </c>
      <c r="E21">
        <v>48</v>
      </c>
      <c r="F21">
        <v>48</v>
      </c>
      <c r="H21" t="s">
        <v>41</v>
      </c>
      <c r="I21" t="s">
        <v>1293</v>
      </c>
      <c r="J21" t="s">
        <v>1292</v>
      </c>
      <c r="K21" t="s">
        <v>1732</v>
      </c>
      <c r="L21" t="s">
        <v>1360</v>
      </c>
      <c r="R21" s="18" t="s">
        <v>1867</v>
      </c>
    </row>
    <row r="22" spans="1:18" x14ac:dyDescent="0.3">
      <c r="A22" s="23" t="s">
        <v>1407</v>
      </c>
      <c r="B22" t="s">
        <v>1801</v>
      </c>
      <c r="E22">
        <v>48</v>
      </c>
      <c r="F22">
        <v>48</v>
      </c>
      <c r="H22" t="s">
        <v>41</v>
      </c>
      <c r="I22" t="s">
        <v>1307</v>
      </c>
      <c r="J22" t="s">
        <v>1322</v>
      </c>
      <c r="K22" t="s">
        <v>1345</v>
      </c>
      <c r="L22" t="s">
        <v>1374</v>
      </c>
      <c r="R22" s="18" t="s">
        <v>1868</v>
      </c>
    </row>
    <row r="23" spans="1:18" x14ac:dyDescent="0.3">
      <c r="A23" s="23" t="s">
        <v>1409</v>
      </c>
      <c r="B23" t="s">
        <v>1802</v>
      </c>
      <c r="E23">
        <v>48</v>
      </c>
      <c r="F23">
        <v>48</v>
      </c>
      <c r="H23" t="s">
        <v>41</v>
      </c>
      <c r="I23" t="s">
        <v>1305</v>
      </c>
      <c r="J23" t="s">
        <v>1324</v>
      </c>
      <c r="K23" t="s">
        <v>1347</v>
      </c>
      <c r="L23" t="s">
        <v>1376</v>
      </c>
      <c r="R23" s="18" t="s">
        <v>1869</v>
      </c>
    </row>
    <row r="24" spans="1:18" x14ac:dyDescent="0.3">
      <c r="A24" s="23" t="s">
        <v>1382</v>
      </c>
      <c r="B24" t="s">
        <v>1803</v>
      </c>
      <c r="E24">
        <v>48</v>
      </c>
      <c r="F24">
        <v>48</v>
      </c>
      <c r="H24" t="s">
        <v>41</v>
      </c>
      <c r="I24" t="s">
        <v>1270</v>
      </c>
      <c r="J24" t="s">
        <v>1280</v>
      </c>
      <c r="K24" t="s">
        <v>1326</v>
      </c>
      <c r="L24" t="s">
        <v>1349</v>
      </c>
      <c r="R24" s="18" t="s">
        <v>1870</v>
      </c>
    </row>
    <row r="25" spans="1:18" x14ac:dyDescent="0.3">
      <c r="A25" s="23" t="s">
        <v>1410</v>
      </c>
      <c r="B25" t="s">
        <v>1804</v>
      </c>
      <c r="E25">
        <v>48</v>
      </c>
      <c r="F25">
        <v>48</v>
      </c>
      <c r="H25" t="s">
        <v>41</v>
      </c>
      <c r="I25" t="s">
        <v>1203</v>
      </c>
      <c r="J25" t="s">
        <v>1325</v>
      </c>
      <c r="K25" t="s">
        <v>1348</v>
      </c>
      <c r="L25" t="s">
        <v>1377</v>
      </c>
      <c r="R25" s="18" t="s">
        <v>1871</v>
      </c>
    </row>
    <row r="26" spans="1:18" x14ac:dyDescent="0.3">
      <c r="A26" s="23" t="s">
        <v>1408</v>
      </c>
      <c r="B26" t="s">
        <v>1805</v>
      </c>
      <c r="E26">
        <v>48</v>
      </c>
      <c r="F26">
        <v>48</v>
      </c>
      <c r="H26" t="s">
        <v>41</v>
      </c>
      <c r="I26" t="s">
        <v>1306</v>
      </c>
      <c r="J26" t="s">
        <v>1323</v>
      </c>
      <c r="K26" t="s">
        <v>1346</v>
      </c>
      <c r="L26" t="s">
        <v>1375</v>
      </c>
      <c r="R26" s="18" t="s">
        <v>1872</v>
      </c>
    </row>
    <row r="27" spans="1:18" x14ac:dyDescent="0.3">
      <c r="A27" s="23" t="s">
        <v>1385</v>
      </c>
      <c r="B27" t="s">
        <v>1806</v>
      </c>
      <c r="E27">
        <v>48</v>
      </c>
      <c r="F27">
        <v>48</v>
      </c>
      <c r="H27" t="s">
        <v>41</v>
      </c>
      <c r="I27" t="s">
        <v>1273</v>
      </c>
      <c r="J27" t="s">
        <v>1282</v>
      </c>
      <c r="K27" t="s">
        <v>1329</v>
      </c>
      <c r="L27" t="s">
        <v>1352</v>
      </c>
      <c r="R27" s="18" t="s">
        <v>1873</v>
      </c>
    </row>
    <row r="28" spans="1:18" x14ac:dyDescent="0.3">
      <c r="A28" s="23" t="s">
        <v>1383</v>
      </c>
      <c r="B28" t="s">
        <v>1807</v>
      </c>
      <c r="E28">
        <v>48</v>
      </c>
      <c r="F28">
        <v>48</v>
      </c>
      <c r="H28" t="s">
        <v>41</v>
      </c>
      <c r="I28" t="s">
        <v>1271</v>
      </c>
      <c r="J28" t="s">
        <v>1281</v>
      </c>
      <c r="K28" t="s">
        <v>1327</v>
      </c>
      <c r="L28" t="s">
        <v>1350</v>
      </c>
      <c r="R28" s="18" t="s">
        <v>1874</v>
      </c>
    </row>
    <row r="29" spans="1:18" x14ac:dyDescent="0.3">
      <c r="A29" s="23" t="s">
        <v>1388</v>
      </c>
      <c r="B29" t="s">
        <v>1808</v>
      </c>
      <c r="E29">
        <v>48</v>
      </c>
      <c r="F29">
        <v>48</v>
      </c>
      <c r="H29" t="s">
        <v>41</v>
      </c>
      <c r="I29" t="s">
        <v>1278</v>
      </c>
      <c r="J29" t="s">
        <v>1285</v>
      </c>
      <c r="K29" t="s">
        <v>1332</v>
      </c>
      <c r="L29" t="s">
        <v>1355</v>
      </c>
      <c r="R29" s="18" t="s">
        <v>1875</v>
      </c>
    </row>
    <row r="30" spans="1:18" x14ac:dyDescent="0.3">
      <c r="A30" s="23" t="s">
        <v>1397</v>
      </c>
      <c r="B30" t="s">
        <v>1809</v>
      </c>
      <c r="E30">
        <v>48</v>
      </c>
      <c r="F30">
        <v>48</v>
      </c>
      <c r="H30" t="s">
        <v>41</v>
      </c>
      <c r="I30" t="s">
        <v>1303</v>
      </c>
      <c r="J30" t="s">
        <v>1304</v>
      </c>
      <c r="K30" t="s">
        <v>1339</v>
      </c>
      <c r="L30" t="s">
        <v>1364</v>
      </c>
      <c r="R30" s="18" t="s">
        <v>1876</v>
      </c>
    </row>
    <row r="31" spans="1:18" x14ac:dyDescent="0.3">
      <c r="A31" s="23" t="s">
        <v>1396</v>
      </c>
      <c r="B31" t="s">
        <v>1810</v>
      </c>
      <c r="E31">
        <v>48</v>
      </c>
      <c r="F31">
        <v>48</v>
      </c>
      <c r="H31" t="s">
        <v>41</v>
      </c>
      <c r="I31" t="s">
        <v>1301</v>
      </c>
      <c r="J31" t="s">
        <v>1302</v>
      </c>
      <c r="K31" t="s">
        <v>1338</v>
      </c>
      <c r="L31" t="s">
        <v>1363</v>
      </c>
      <c r="R31" s="18" t="s">
        <v>1877</v>
      </c>
    </row>
    <row r="32" spans="1:18" x14ac:dyDescent="0.3">
      <c r="A32" s="23" t="s">
        <v>1389</v>
      </c>
      <c r="B32" t="s">
        <v>1811</v>
      </c>
      <c r="E32">
        <v>48</v>
      </c>
      <c r="F32">
        <v>48</v>
      </c>
      <c r="H32" t="s">
        <v>41</v>
      </c>
      <c r="I32" t="s">
        <v>1277</v>
      </c>
      <c r="J32" t="s">
        <v>1287</v>
      </c>
      <c r="K32" t="s">
        <v>1333</v>
      </c>
      <c r="L32" t="s">
        <v>1356</v>
      </c>
      <c r="R32" s="18" t="s">
        <v>1878</v>
      </c>
    </row>
    <row r="33" spans="1:18" x14ac:dyDescent="0.3">
      <c r="A33" s="23" t="s">
        <v>1390</v>
      </c>
      <c r="B33" t="s">
        <v>1812</v>
      </c>
      <c r="E33">
        <v>48</v>
      </c>
      <c r="F33">
        <v>48</v>
      </c>
      <c r="H33" t="s">
        <v>41</v>
      </c>
      <c r="I33" t="s">
        <v>1288</v>
      </c>
      <c r="J33" t="s">
        <v>1286</v>
      </c>
      <c r="K33" t="s">
        <v>1334</v>
      </c>
      <c r="L33" t="s">
        <v>1357</v>
      </c>
      <c r="R33" s="18" t="s">
        <v>1879</v>
      </c>
    </row>
    <row r="34" spans="1:18" x14ac:dyDescent="0.3">
      <c r="A34" s="23" t="s">
        <v>1391</v>
      </c>
      <c r="B34" t="s">
        <v>1813</v>
      </c>
      <c r="E34">
        <v>48</v>
      </c>
      <c r="F34">
        <v>48</v>
      </c>
      <c r="H34" t="s">
        <v>41</v>
      </c>
      <c r="I34" t="s">
        <v>1279</v>
      </c>
      <c r="J34" t="s">
        <v>1289</v>
      </c>
      <c r="K34" t="s">
        <v>1335</v>
      </c>
      <c r="L34" t="s">
        <v>1358</v>
      </c>
      <c r="R34" s="18" t="s">
        <v>1880</v>
      </c>
    </row>
    <row r="35" spans="1:18" x14ac:dyDescent="0.3">
      <c r="A35" s="23" t="s">
        <v>1392</v>
      </c>
      <c r="B35" t="s">
        <v>1814</v>
      </c>
      <c r="E35">
        <v>48</v>
      </c>
      <c r="F35">
        <v>48</v>
      </c>
      <c r="H35" t="s">
        <v>41</v>
      </c>
      <c r="I35" t="s">
        <v>1290</v>
      </c>
      <c r="J35" t="s">
        <v>1291</v>
      </c>
      <c r="K35" t="s">
        <v>1336</v>
      </c>
      <c r="L35" t="s">
        <v>1359</v>
      </c>
      <c r="R35" s="18" t="s">
        <v>1881</v>
      </c>
    </row>
    <row r="36" spans="1:18" x14ac:dyDescent="0.3">
      <c r="A36" s="23" t="s">
        <v>1402</v>
      </c>
      <c r="B36" t="s">
        <v>1815</v>
      </c>
      <c r="E36">
        <v>48</v>
      </c>
      <c r="F36">
        <v>48</v>
      </c>
      <c r="H36" t="s">
        <v>41</v>
      </c>
      <c r="I36" t="s">
        <v>1311</v>
      </c>
      <c r="J36" t="s">
        <v>1381</v>
      </c>
      <c r="K36" t="s">
        <v>1311</v>
      </c>
      <c r="L36" t="s">
        <v>1369</v>
      </c>
      <c r="R36" s="18" t="s">
        <v>1882</v>
      </c>
    </row>
    <row r="37" spans="1:18" x14ac:dyDescent="0.3">
      <c r="A37" s="23" t="s">
        <v>1403</v>
      </c>
      <c r="B37" t="s">
        <v>1816</v>
      </c>
      <c r="E37">
        <v>48</v>
      </c>
      <c r="F37">
        <v>48</v>
      </c>
      <c r="H37" t="s">
        <v>41</v>
      </c>
      <c r="I37" t="s">
        <v>1310</v>
      </c>
      <c r="J37" t="s">
        <v>1317</v>
      </c>
      <c r="K37" t="s">
        <v>1343</v>
      </c>
      <c r="L37" t="s">
        <v>1370</v>
      </c>
      <c r="R37" s="18" t="s">
        <v>1883</v>
      </c>
    </row>
    <row r="38" spans="1:18" x14ac:dyDescent="0.3">
      <c r="A38" s="23" t="s">
        <v>1400</v>
      </c>
      <c r="B38" t="s">
        <v>1817</v>
      </c>
      <c r="E38">
        <v>48</v>
      </c>
      <c r="F38">
        <v>48</v>
      </c>
      <c r="H38" t="s">
        <v>41</v>
      </c>
      <c r="I38" t="s">
        <v>1312</v>
      </c>
      <c r="J38" t="s">
        <v>1379</v>
      </c>
      <c r="K38" t="s">
        <v>1341</v>
      </c>
      <c r="L38" t="s">
        <v>1367</v>
      </c>
      <c r="R38" s="18" t="s">
        <v>1884</v>
      </c>
    </row>
    <row r="39" spans="1:18" x14ac:dyDescent="0.3">
      <c r="A39" s="23" t="s">
        <v>1401</v>
      </c>
      <c r="B39" t="s">
        <v>1818</v>
      </c>
      <c r="E39">
        <v>48</v>
      </c>
      <c r="F39">
        <v>48</v>
      </c>
      <c r="H39" t="s">
        <v>41</v>
      </c>
      <c r="I39" t="s">
        <v>1315</v>
      </c>
      <c r="J39" t="s">
        <v>1380</v>
      </c>
      <c r="K39" t="s">
        <v>1342</v>
      </c>
      <c r="L39" t="s">
        <v>1368</v>
      </c>
      <c r="R39" s="18" t="s">
        <v>1885</v>
      </c>
    </row>
    <row r="40" spans="1:18" x14ac:dyDescent="0.3">
      <c r="A40" s="23" t="s">
        <v>1399</v>
      </c>
      <c r="B40" t="s">
        <v>1819</v>
      </c>
      <c r="E40">
        <v>48</v>
      </c>
      <c r="F40">
        <v>48</v>
      </c>
      <c r="H40" t="s">
        <v>41</v>
      </c>
      <c r="I40" t="s">
        <v>1313</v>
      </c>
      <c r="J40" t="s">
        <v>1378</v>
      </c>
      <c r="K40" t="s">
        <v>1340</v>
      </c>
      <c r="L40" t="s">
        <v>1366</v>
      </c>
      <c r="R40" s="18" t="s">
        <v>1886</v>
      </c>
    </row>
    <row r="41" spans="1:18" x14ac:dyDescent="0.3">
      <c r="A41" s="23" t="s">
        <v>1416</v>
      </c>
      <c r="B41" t="s">
        <v>1820</v>
      </c>
      <c r="E41">
        <v>96</v>
      </c>
      <c r="F41">
        <v>48</v>
      </c>
      <c r="H41" t="s">
        <v>41</v>
      </c>
      <c r="I41" t="s">
        <v>1418</v>
      </c>
      <c r="J41" t="s">
        <v>1417</v>
      </c>
      <c r="K41" t="s">
        <v>1419</v>
      </c>
      <c r="L41" t="s">
        <v>1420</v>
      </c>
      <c r="R41" s="18" t="s">
        <v>1887</v>
      </c>
    </row>
    <row r="42" spans="1:18" x14ac:dyDescent="0.3">
      <c r="A42" s="23" t="s">
        <v>1398</v>
      </c>
      <c r="B42" t="s">
        <v>1821</v>
      </c>
      <c r="E42">
        <v>48</v>
      </c>
      <c r="F42">
        <v>48</v>
      </c>
      <c r="H42" t="s">
        <v>41</v>
      </c>
      <c r="I42" t="s">
        <v>1314</v>
      </c>
      <c r="J42" t="s">
        <v>1316</v>
      </c>
      <c r="K42" t="s">
        <v>1314</v>
      </c>
      <c r="L42" t="s">
        <v>1365</v>
      </c>
      <c r="R42" s="18" t="s">
        <v>1888</v>
      </c>
    </row>
    <row r="43" spans="1:18" x14ac:dyDescent="0.3">
      <c r="A43" s="23" t="s">
        <v>1395</v>
      </c>
      <c r="B43" t="s">
        <v>1822</v>
      </c>
      <c r="E43">
        <v>48</v>
      </c>
      <c r="F43">
        <v>48</v>
      </c>
      <c r="H43" t="s">
        <v>41</v>
      </c>
      <c r="I43" t="s">
        <v>1299</v>
      </c>
      <c r="J43" t="s">
        <v>1300</v>
      </c>
      <c r="K43" t="s">
        <v>1299</v>
      </c>
      <c r="L43" t="s">
        <v>1362</v>
      </c>
      <c r="R43" s="18" t="s">
        <v>1889</v>
      </c>
    </row>
    <row r="44" spans="1:18" x14ac:dyDescent="0.3">
      <c r="A44" s="23" t="s">
        <v>1415</v>
      </c>
      <c r="B44" t="s">
        <v>1823</v>
      </c>
      <c r="E44">
        <v>48</v>
      </c>
      <c r="F44">
        <v>48</v>
      </c>
      <c r="H44" t="s">
        <v>41</v>
      </c>
      <c r="I44" t="s">
        <v>1413</v>
      </c>
      <c r="J44" t="s">
        <v>1411</v>
      </c>
      <c r="K44" t="s">
        <v>1412</v>
      </c>
      <c r="L44" t="s">
        <v>1414</v>
      </c>
      <c r="R44" s="18" t="s">
        <v>1890</v>
      </c>
    </row>
    <row r="45" spans="1:18" x14ac:dyDescent="0.3">
      <c r="A45" s="23" t="s">
        <v>1405</v>
      </c>
      <c r="B45" t="s">
        <v>1824</v>
      </c>
      <c r="E45">
        <v>48</v>
      </c>
      <c r="F45">
        <v>48</v>
      </c>
      <c r="H45" t="s">
        <v>41</v>
      </c>
      <c r="I45" t="s">
        <v>1308</v>
      </c>
      <c r="J45" t="s">
        <v>1320</v>
      </c>
      <c r="K45" t="s">
        <v>1308</v>
      </c>
      <c r="L45" t="s">
        <v>1372</v>
      </c>
      <c r="R45" s="18" t="s">
        <v>1891</v>
      </c>
    </row>
    <row r="46" spans="1:18" x14ac:dyDescent="0.3">
      <c r="A46" s="23" t="s">
        <v>1406</v>
      </c>
      <c r="B46" t="s">
        <v>1825</v>
      </c>
      <c r="E46">
        <v>48</v>
      </c>
      <c r="F46">
        <v>48</v>
      </c>
      <c r="H46" t="s">
        <v>41</v>
      </c>
      <c r="I46" t="s">
        <v>1309</v>
      </c>
      <c r="J46" t="s">
        <v>1321</v>
      </c>
      <c r="K46" t="s">
        <v>1309</v>
      </c>
      <c r="L46" t="s">
        <v>1373</v>
      </c>
      <c r="R46" s="18" t="s">
        <v>1892</v>
      </c>
    </row>
    <row r="47" spans="1:18" x14ac:dyDescent="0.3">
      <c r="A47" s="23" t="s">
        <v>1404</v>
      </c>
      <c r="B47" t="s">
        <v>1826</v>
      </c>
      <c r="E47">
        <v>48</v>
      </c>
      <c r="F47">
        <v>48</v>
      </c>
      <c r="H47" t="s">
        <v>41</v>
      </c>
      <c r="I47" t="s">
        <v>1319</v>
      </c>
      <c r="J47" t="s">
        <v>1318</v>
      </c>
      <c r="K47" t="s">
        <v>1344</v>
      </c>
      <c r="L47" t="s">
        <v>1371</v>
      </c>
      <c r="R47" s="18" t="s">
        <v>1893</v>
      </c>
    </row>
    <row r="48" spans="1:18" x14ac:dyDescent="0.3">
      <c r="A48" s="23" t="s">
        <v>1502</v>
      </c>
      <c r="B48" t="s">
        <v>1827</v>
      </c>
      <c r="E48">
        <v>48</v>
      </c>
      <c r="F48">
        <v>48</v>
      </c>
      <c r="H48" t="s">
        <v>1428</v>
      </c>
      <c r="I48" t="s">
        <v>1454</v>
      </c>
      <c r="J48" t="s">
        <v>1478</v>
      </c>
      <c r="K48" t="s">
        <v>1454</v>
      </c>
      <c r="L48" t="s">
        <v>1526</v>
      </c>
      <c r="R48" s="18" t="s">
        <v>1894</v>
      </c>
    </row>
    <row r="49" spans="1:18" x14ac:dyDescent="0.3">
      <c r="A49" s="23" t="s">
        <v>1494</v>
      </c>
      <c r="B49" t="s">
        <v>1828</v>
      </c>
      <c r="E49">
        <v>48</v>
      </c>
      <c r="F49">
        <v>48</v>
      </c>
      <c r="H49" t="s">
        <v>1428</v>
      </c>
      <c r="I49" t="s">
        <v>1446</v>
      </c>
      <c r="J49" t="s">
        <v>1470</v>
      </c>
      <c r="K49" t="s">
        <v>1446</v>
      </c>
      <c r="L49" t="s">
        <v>1518</v>
      </c>
      <c r="R49" s="18" t="s">
        <v>1895</v>
      </c>
    </row>
    <row r="50" spans="1:18" x14ac:dyDescent="0.3">
      <c r="A50" s="23" t="s">
        <v>1504</v>
      </c>
      <c r="B50" t="s">
        <v>1829</v>
      </c>
      <c r="E50">
        <v>48</v>
      </c>
      <c r="F50">
        <v>48</v>
      </c>
      <c r="H50" t="s">
        <v>1428</v>
      </c>
      <c r="I50" t="s">
        <v>1456</v>
      </c>
      <c r="J50" t="s">
        <v>1480</v>
      </c>
      <c r="K50" t="s">
        <v>1456</v>
      </c>
      <c r="L50" t="s">
        <v>1528</v>
      </c>
      <c r="R50" s="18" t="s">
        <v>1896</v>
      </c>
    </row>
    <row r="51" spans="1:18" x14ac:dyDescent="0.3">
      <c r="A51" s="23" t="s">
        <v>1498</v>
      </c>
      <c r="B51" t="s">
        <v>1830</v>
      </c>
      <c r="E51">
        <v>48</v>
      </c>
      <c r="F51">
        <v>48</v>
      </c>
      <c r="H51" t="s">
        <v>1428</v>
      </c>
      <c r="I51" t="s">
        <v>1451</v>
      </c>
      <c r="J51" t="s">
        <v>1474</v>
      </c>
      <c r="K51" t="s">
        <v>1451</v>
      </c>
      <c r="L51" t="s">
        <v>1522</v>
      </c>
      <c r="R51" s="18" t="s">
        <v>1897</v>
      </c>
    </row>
    <row r="52" spans="1:18" x14ac:dyDescent="0.3">
      <c r="A52" s="23" t="s">
        <v>1500</v>
      </c>
      <c r="B52" t="s">
        <v>1831</v>
      </c>
      <c r="E52">
        <v>48</v>
      </c>
      <c r="F52">
        <v>48</v>
      </c>
      <c r="H52" t="s">
        <v>1428</v>
      </c>
      <c r="I52" t="s">
        <v>1452</v>
      </c>
      <c r="J52" t="s">
        <v>1476</v>
      </c>
      <c r="K52" t="s">
        <v>1452</v>
      </c>
      <c r="L52" t="s">
        <v>1524</v>
      </c>
      <c r="R52" s="18" t="s">
        <v>1898</v>
      </c>
    </row>
    <row r="53" spans="1:18" x14ac:dyDescent="0.3">
      <c r="A53" s="23" t="s">
        <v>1496</v>
      </c>
      <c r="B53" t="s">
        <v>1832</v>
      </c>
      <c r="E53">
        <v>48</v>
      </c>
      <c r="F53">
        <v>48</v>
      </c>
      <c r="H53" t="s">
        <v>1428</v>
      </c>
      <c r="I53" t="s">
        <v>1448</v>
      </c>
      <c r="J53" t="s">
        <v>1472</v>
      </c>
      <c r="K53" t="s">
        <v>1448</v>
      </c>
      <c r="L53" t="s">
        <v>1520</v>
      </c>
      <c r="R53" s="18" t="s">
        <v>1899</v>
      </c>
    </row>
    <row r="54" spans="1:18" x14ac:dyDescent="0.3">
      <c r="A54" s="23" t="s">
        <v>1490</v>
      </c>
      <c r="B54" t="s">
        <v>1833</v>
      </c>
      <c r="E54">
        <v>48</v>
      </c>
      <c r="F54">
        <v>48</v>
      </c>
      <c r="H54" t="s">
        <v>1428</v>
      </c>
      <c r="I54" t="s">
        <v>1442</v>
      </c>
      <c r="J54" t="s">
        <v>1466</v>
      </c>
      <c r="K54" t="s">
        <v>1442</v>
      </c>
      <c r="L54" t="s">
        <v>1514</v>
      </c>
      <c r="R54" s="18" t="s">
        <v>1900</v>
      </c>
    </row>
    <row r="55" spans="1:18" x14ac:dyDescent="0.3">
      <c r="A55" s="23" t="s">
        <v>1482</v>
      </c>
      <c r="B55" t="s">
        <v>1834</v>
      </c>
      <c r="E55">
        <v>48</v>
      </c>
      <c r="F55">
        <v>48</v>
      </c>
      <c r="H55" t="s">
        <v>1428</v>
      </c>
      <c r="I55" t="s">
        <v>1434</v>
      </c>
      <c r="J55" t="s">
        <v>1459</v>
      </c>
      <c r="K55" t="s">
        <v>1434</v>
      </c>
      <c r="L55" t="s">
        <v>1506</v>
      </c>
      <c r="R55" s="18" t="s">
        <v>1901</v>
      </c>
    </row>
    <row r="56" spans="1:18" x14ac:dyDescent="0.3">
      <c r="A56" s="23" t="s">
        <v>1492</v>
      </c>
      <c r="B56" t="s">
        <v>1835</v>
      </c>
      <c r="E56">
        <v>48</v>
      </c>
      <c r="F56">
        <v>48</v>
      </c>
      <c r="H56" t="s">
        <v>1428</v>
      </c>
      <c r="I56" t="s">
        <v>1444</v>
      </c>
      <c r="J56" t="s">
        <v>1468</v>
      </c>
      <c r="K56" t="s">
        <v>1444</v>
      </c>
      <c r="L56" t="s">
        <v>1516</v>
      </c>
      <c r="R56" s="18" t="s">
        <v>1902</v>
      </c>
    </row>
    <row r="57" spans="1:18" x14ac:dyDescent="0.3">
      <c r="A57" s="23" t="s">
        <v>1486</v>
      </c>
      <c r="B57" t="s">
        <v>1836</v>
      </c>
      <c r="E57">
        <v>48</v>
      </c>
      <c r="F57">
        <v>48</v>
      </c>
      <c r="H57" t="s">
        <v>1428</v>
      </c>
      <c r="I57" t="s">
        <v>1438</v>
      </c>
      <c r="J57" t="s">
        <v>1458</v>
      </c>
      <c r="K57" t="s">
        <v>1438</v>
      </c>
      <c r="L57" t="s">
        <v>1510</v>
      </c>
      <c r="R57" s="18" t="s">
        <v>1903</v>
      </c>
    </row>
    <row r="58" spans="1:18" x14ac:dyDescent="0.3">
      <c r="A58" s="23" t="s">
        <v>1488</v>
      </c>
      <c r="B58" t="s">
        <v>1837</v>
      </c>
      <c r="E58">
        <v>48</v>
      </c>
      <c r="F58">
        <v>48</v>
      </c>
      <c r="H58" t="s">
        <v>1428</v>
      </c>
      <c r="I58" t="s">
        <v>1440</v>
      </c>
      <c r="J58" t="s">
        <v>1464</v>
      </c>
      <c r="K58" t="s">
        <v>1440</v>
      </c>
      <c r="L58" t="s">
        <v>1512</v>
      </c>
      <c r="R58" s="18" t="s">
        <v>1904</v>
      </c>
    </row>
    <row r="59" spans="1:18" x14ac:dyDescent="0.3">
      <c r="A59" s="23" t="s">
        <v>1484</v>
      </c>
      <c r="B59" t="s">
        <v>1838</v>
      </c>
      <c r="E59">
        <v>48</v>
      </c>
      <c r="F59">
        <v>48</v>
      </c>
      <c r="H59" t="s">
        <v>1428</v>
      </c>
      <c r="I59" t="s">
        <v>1436</v>
      </c>
      <c r="J59" t="s">
        <v>1461</v>
      </c>
      <c r="K59" t="s">
        <v>1436</v>
      </c>
      <c r="L59" t="s">
        <v>1508</v>
      </c>
      <c r="R59" s="18" t="s">
        <v>1905</v>
      </c>
    </row>
    <row r="60" spans="1:18" x14ac:dyDescent="0.3">
      <c r="A60" s="23" t="s">
        <v>1503</v>
      </c>
      <c r="B60" t="s">
        <v>1839</v>
      </c>
      <c r="E60">
        <v>48</v>
      </c>
      <c r="F60">
        <v>48</v>
      </c>
      <c r="H60" t="s">
        <v>1428</v>
      </c>
      <c r="I60" t="s">
        <v>1455</v>
      </c>
      <c r="J60" t="s">
        <v>1479</v>
      </c>
      <c r="K60" t="s">
        <v>1455</v>
      </c>
      <c r="L60" t="s">
        <v>1527</v>
      </c>
      <c r="R60" s="18" t="s">
        <v>1906</v>
      </c>
    </row>
    <row r="61" spans="1:18" x14ac:dyDescent="0.3">
      <c r="A61" s="23" t="s">
        <v>1495</v>
      </c>
      <c r="B61" t="s">
        <v>1840</v>
      </c>
      <c r="E61">
        <v>48</v>
      </c>
      <c r="F61">
        <v>48</v>
      </c>
      <c r="H61" t="s">
        <v>1428</v>
      </c>
      <c r="I61" t="s">
        <v>1447</v>
      </c>
      <c r="J61" t="s">
        <v>1471</v>
      </c>
      <c r="K61" t="s">
        <v>1447</v>
      </c>
      <c r="L61" t="s">
        <v>1519</v>
      </c>
      <c r="R61" s="18" t="s">
        <v>1907</v>
      </c>
    </row>
    <row r="62" spans="1:18" x14ac:dyDescent="0.3">
      <c r="A62" s="23" t="s">
        <v>1505</v>
      </c>
      <c r="B62" t="s">
        <v>1841</v>
      </c>
      <c r="E62">
        <v>48</v>
      </c>
      <c r="F62">
        <v>48</v>
      </c>
      <c r="H62" t="s">
        <v>1428</v>
      </c>
      <c r="I62" t="s">
        <v>1457</v>
      </c>
      <c r="J62" t="s">
        <v>1481</v>
      </c>
      <c r="K62" t="s">
        <v>1457</v>
      </c>
      <c r="L62" t="s">
        <v>1529</v>
      </c>
      <c r="R62" s="18" t="s">
        <v>1908</v>
      </c>
    </row>
    <row r="63" spans="1:18" x14ac:dyDescent="0.3">
      <c r="A63" s="23" t="s">
        <v>1499</v>
      </c>
      <c r="B63" t="s">
        <v>1842</v>
      </c>
      <c r="E63">
        <v>48</v>
      </c>
      <c r="F63">
        <v>48</v>
      </c>
      <c r="H63" t="s">
        <v>1428</v>
      </c>
      <c r="I63" t="s">
        <v>1450</v>
      </c>
      <c r="J63" t="s">
        <v>1475</v>
      </c>
      <c r="K63" t="s">
        <v>1450</v>
      </c>
      <c r="L63" t="s">
        <v>1523</v>
      </c>
      <c r="R63" s="18" t="s">
        <v>1909</v>
      </c>
    </row>
    <row r="64" spans="1:18" x14ac:dyDescent="0.3">
      <c r="A64" s="23" t="s">
        <v>1501</v>
      </c>
      <c r="B64" t="s">
        <v>1843</v>
      </c>
      <c r="E64">
        <v>48</v>
      </c>
      <c r="F64">
        <v>48</v>
      </c>
      <c r="H64" t="s">
        <v>1428</v>
      </c>
      <c r="I64" t="s">
        <v>1453</v>
      </c>
      <c r="J64" t="s">
        <v>1477</v>
      </c>
      <c r="K64" t="s">
        <v>1453</v>
      </c>
      <c r="L64" t="s">
        <v>1525</v>
      </c>
      <c r="R64" s="18" t="s">
        <v>1910</v>
      </c>
    </row>
    <row r="65" spans="1:18" x14ac:dyDescent="0.3">
      <c r="A65" s="23" t="s">
        <v>1497</v>
      </c>
      <c r="B65" t="s">
        <v>1844</v>
      </c>
      <c r="E65">
        <v>48</v>
      </c>
      <c r="F65">
        <v>48</v>
      </c>
      <c r="H65" t="s">
        <v>1428</v>
      </c>
      <c r="I65" t="s">
        <v>1449</v>
      </c>
      <c r="J65" t="s">
        <v>1473</v>
      </c>
      <c r="K65" t="s">
        <v>1449</v>
      </c>
      <c r="L65" t="s">
        <v>1521</v>
      </c>
      <c r="R65" s="18" t="s">
        <v>1911</v>
      </c>
    </row>
    <row r="66" spans="1:18" x14ac:dyDescent="0.3">
      <c r="A66" s="23" t="s">
        <v>1491</v>
      </c>
      <c r="B66" t="s">
        <v>1845</v>
      </c>
      <c r="E66">
        <v>48</v>
      </c>
      <c r="F66">
        <v>48</v>
      </c>
      <c r="H66" t="s">
        <v>1428</v>
      </c>
      <c r="I66" t="s">
        <v>1443</v>
      </c>
      <c r="J66" t="s">
        <v>1467</v>
      </c>
      <c r="K66" t="s">
        <v>1443</v>
      </c>
      <c r="L66" t="s">
        <v>1515</v>
      </c>
      <c r="R66" s="18" t="s">
        <v>1912</v>
      </c>
    </row>
    <row r="67" spans="1:18" x14ac:dyDescent="0.3">
      <c r="A67" s="23" t="s">
        <v>1483</v>
      </c>
      <c r="B67" t="s">
        <v>1846</v>
      </c>
      <c r="E67">
        <v>48</v>
      </c>
      <c r="F67">
        <v>48</v>
      </c>
      <c r="H67" t="s">
        <v>1428</v>
      </c>
      <c r="I67" t="s">
        <v>1435</v>
      </c>
      <c r="J67" t="s">
        <v>1460</v>
      </c>
      <c r="K67" t="s">
        <v>1435</v>
      </c>
      <c r="L67" t="s">
        <v>1507</v>
      </c>
      <c r="R67" s="18" t="s">
        <v>1913</v>
      </c>
    </row>
    <row r="68" spans="1:18" x14ac:dyDescent="0.3">
      <c r="A68" s="23" t="s">
        <v>1493</v>
      </c>
      <c r="B68" t="s">
        <v>1847</v>
      </c>
      <c r="E68">
        <v>48</v>
      </c>
      <c r="F68">
        <v>48</v>
      </c>
      <c r="H68" t="s">
        <v>1428</v>
      </c>
      <c r="I68" t="s">
        <v>1445</v>
      </c>
      <c r="J68" t="s">
        <v>1469</v>
      </c>
      <c r="K68" t="s">
        <v>1445</v>
      </c>
      <c r="L68" t="s">
        <v>1517</v>
      </c>
      <c r="R68" s="18" t="s">
        <v>1914</v>
      </c>
    </row>
    <row r="69" spans="1:18" x14ac:dyDescent="0.3">
      <c r="A69" s="23" t="s">
        <v>1487</v>
      </c>
      <c r="B69" t="s">
        <v>1848</v>
      </c>
      <c r="E69">
        <v>48</v>
      </c>
      <c r="F69">
        <v>48</v>
      </c>
      <c r="H69" t="s">
        <v>1428</v>
      </c>
      <c r="I69" t="s">
        <v>1439</v>
      </c>
      <c r="J69" t="s">
        <v>1463</v>
      </c>
      <c r="K69" t="s">
        <v>1439</v>
      </c>
      <c r="L69" t="s">
        <v>1511</v>
      </c>
      <c r="R69" s="18" t="s">
        <v>1915</v>
      </c>
    </row>
    <row r="70" spans="1:18" x14ac:dyDescent="0.3">
      <c r="A70" s="23" t="s">
        <v>1489</v>
      </c>
      <c r="B70" t="s">
        <v>1849</v>
      </c>
      <c r="E70">
        <v>48</v>
      </c>
      <c r="F70">
        <v>48</v>
      </c>
      <c r="H70" t="s">
        <v>1428</v>
      </c>
      <c r="I70" t="s">
        <v>1441</v>
      </c>
      <c r="J70" t="s">
        <v>1465</v>
      </c>
      <c r="K70" t="s">
        <v>1441</v>
      </c>
      <c r="L70" t="s">
        <v>1513</v>
      </c>
      <c r="R70" s="18" t="s">
        <v>1916</v>
      </c>
    </row>
    <row r="71" spans="1:18" x14ac:dyDescent="0.3">
      <c r="A71" s="23" t="s">
        <v>1485</v>
      </c>
      <c r="B71" t="s">
        <v>1850</v>
      </c>
      <c r="E71">
        <v>48</v>
      </c>
      <c r="F71">
        <v>48</v>
      </c>
      <c r="H71" t="s">
        <v>1428</v>
      </c>
      <c r="I71" t="s">
        <v>1437</v>
      </c>
      <c r="J71" t="s">
        <v>1462</v>
      </c>
      <c r="K71" t="s">
        <v>1437</v>
      </c>
      <c r="L71" t="s">
        <v>1509</v>
      </c>
      <c r="R71" s="18" t="s">
        <v>1917</v>
      </c>
    </row>
    <row r="72" spans="1:18" x14ac:dyDescent="0.3">
      <c r="A72" s="23" t="s">
        <v>1673</v>
      </c>
      <c r="B72" t="s">
        <v>1851</v>
      </c>
      <c r="E72">
        <v>48</v>
      </c>
      <c r="F72">
        <v>48</v>
      </c>
      <c r="H72" t="s">
        <v>1221</v>
      </c>
      <c r="I72" t="s">
        <v>1687</v>
      </c>
      <c r="J72" t="s">
        <v>1689</v>
      </c>
      <c r="K72" t="s">
        <v>1688</v>
      </c>
      <c r="L72" t="s">
        <v>1690</v>
      </c>
      <c r="R72" s="18" t="s">
        <v>1918</v>
      </c>
    </row>
    <row r="73" spans="1:18" x14ac:dyDescent="0.3">
      <c r="A73" s="23" t="s">
        <v>1710</v>
      </c>
      <c r="B73" t="s">
        <v>1852</v>
      </c>
      <c r="E73">
        <v>48</v>
      </c>
      <c r="F73">
        <v>48</v>
      </c>
      <c r="H73" t="s">
        <v>1221</v>
      </c>
      <c r="I73" t="s">
        <v>1711</v>
      </c>
      <c r="J73" t="s">
        <v>1717</v>
      </c>
      <c r="K73" t="s">
        <v>1712</v>
      </c>
      <c r="L73" t="s">
        <v>1713</v>
      </c>
      <c r="R73" s="18" t="s">
        <v>1919</v>
      </c>
    </row>
    <row r="74" spans="1:18" x14ac:dyDescent="0.3">
      <c r="A74" s="23" t="s">
        <v>1726</v>
      </c>
      <c r="B74" t="s">
        <v>1853</v>
      </c>
      <c r="E74">
        <v>48</v>
      </c>
      <c r="F74">
        <v>48</v>
      </c>
      <c r="H74" t="s">
        <v>1221</v>
      </c>
      <c r="I74" t="s">
        <v>1727</v>
      </c>
      <c r="J74" t="s">
        <v>1729</v>
      </c>
      <c r="K74" t="s">
        <v>1728</v>
      </c>
      <c r="L74" t="s">
        <v>1730</v>
      </c>
      <c r="R74" s="18" t="s">
        <v>1920</v>
      </c>
    </row>
    <row r="75" spans="1:18" x14ac:dyDescent="0.3">
      <c r="A75" s="23" t="s">
        <v>1697</v>
      </c>
      <c r="B75" t="s">
        <v>1854</v>
      </c>
      <c r="E75">
        <v>48</v>
      </c>
      <c r="F75">
        <v>48</v>
      </c>
      <c r="H75" t="s">
        <v>1221</v>
      </c>
      <c r="I75" t="s">
        <v>1691</v>
      </c>
      <c r="J75" t="s">
        <v>1693</v>
      </c>
      <c r="K75" t="s">
        <v>1692</v>
      </c>
      <c r="L75" t="s">
        <v>1694</v>
      </c>
      <c r="R75" s="18" t="s">
        <v>1921</v>
      </c>
    </row>
    <row r="76" spans="1:18" x14ac:dyDescent="0.3">
      <c r="A76" s="23" t="s">
        <v>1714</v>
      </c>
      <c r="B76" t="s">
        <v>1855</v>
      </c>
      <c r="E76">
        <v>48</v>
      </c>
      <c r="F76">
        <v>48</v>
      </c>
      <c r="H76" t="s">
        <v>1221</v>
      </c>
      <c r="I76" t="s">
        <v>1715</v>
      </c>
      <c r="J76" t="s">
        <v>1718</v>
      </c>
      <c r="K76" t="s">
        <v>1716</v>
      </c>
      <c r="L76" t="s">
        <v>1719</v>
      </c>
      <c r="R76" s="18" t="s">
        <v>1922</v>
      </c>
    </row>
    <row r="77" spans="1:18" x14ac:dyDescent="0.3">
      <c r="A77" s="23" t="s">
        <v>1722</v>
      </c>
      <c r="B77" t="s">
        <v>1721</v>
      </c>
      <c r="E77">
        <v>48</v>
      </c>
      <c r="F77">
        <v>48</v>
      </c>
      <c r="H77" t="s">
        <v>1221</v>
      </c>
      <c r="I77" t="s">
        <v>1720</v>
      </c>
      <c r="J77" t="s">
        <v>1724</v>
      </c>
      <c r="K77" t="s">
        <v>1723</v>
      </c>
      <c r="L77" t="s">
        <v>1725</v>
      </c>
      <c r="R77" s="18" t="s">
        <v>1731</v>
      </c>
    </row>
    <row r="78" spans="1:18" x14ac:dyDescent="0.3">
      <c r="A78" s="23" t="s">
        <v>1139</v>
      </c>
      <c r="B78" t="s">
        <v>1150</v>
      </c>
      <c r="D78" t="s">
        <v>724</v>
      </c>
      <c r="E78">
        <v>48</v>
      </c>
      <c r="F78">
        <v>48</v>
      </c>
      <c r="H78" t="s">
        <v>1221</v>
      </c>
      <c r="I78" t="s">
        <v>1141</v>
      </c>
      <c r="J78" t="s">
        <v>1145</v>
      </c>
      <c r="K78" t="s">
        <v>1143</v>
      </c>
      <c r="L78" t="s">
        <v>1147</v>
      </c>
      <c r="R78" s="18" t="s">
        <v>1635</v>
      </c>
    </row>
    <row r="79" spans="1:18" x14ac:dyDescent="0.3">
      <c r="A79" s="23" t="s">
        <v>1140</v>
      </c>
      <c r="B79" t="s">
        <v>1149</v>
      </c>
      <c r="D79" t="s">
        <v>724</v>
      </c>
      <c r="E79">
        <v>48</v>
      </c>
      <c r="F79">
        <v>48</v>
      </c>
      <c r="H79" t="s">
        <v>1221</v>
      </c>
      <c r="I79" t="s">
        <v>1142</v>
      </c>
      <c r="J79" t="s">
        <v>1146</v>
      </c>
      <c r="K79" t="s">
        <v>1144</v>
      </c>
      <c r="L79" t="s">
        <v>1148</v>
      </c>
      <c r="R79" s="18" t="s">
        <v>1636</v>
      </c>
    </row>
    <row r="80" spans="1:18" x14ac:dyDescent="0.3">
      <c r="A80" s="23" t="s">
        <v>1698</v>
      </c>
      <c r="B80" t="s">
        <v>1695</v>
      </c>
      <c r="E80">
        <v>48</v>
      </c>
      <c r="F80">
        <v>48</v>
      </c>
      <c r="H80" t="s">
        <v>1221</v>
      </c>
      <c r="I80" t="s">
        <v>1700</v>
      </c>
      <c r="J80" t="s">
        <v>1704</v>
      </c>
      <c r="K80" t="s">
        <v>1702</v>
      </c>
      <c r="L80" t="s">
        <v>1705</v>
      </c>
      <c r="R80" s="18" t="s">
        <v>1708</v>
      </c>
    </row>
    <row r="81" spans="1:18" x14ac:dyDescent="0.3">
      <c r="A81" s="23" t="s">
        <v>1699</v>
      </c>
      <c r="B81" t="s">
        <v>1696</v>
      </c>
      <c r="E81">
        <v>48</v>
      </c>
      <c r="F81">
        <v>48</v>
      </c>
      <c r="H81" t="s">
        <v>1221</v>
      </c>
      <c r="I81" t="s">
        <v>1701</v>
      </c>
      <c r="J81" t="s">
        <v>1706</v>
      </c>
      <c r="K81" t="s">
        <v>1703</v>
      </c>
      <c r="L81" t="s">
        <v>1707</v>
      </c>
      <c r="R81" s="18" t="s">
        <v>1709</v>
      </c>
    </row>
    <row r="82" spans="1:18" x14ac:dyDescent="0.3">
      <c r="A82" s="23" t="s">
        <v>1267</v>
      </c>
      <c r="B82" t="s">
        <v>1254</v>
      </c>
      <c r="E82">
        <v>48</v>
      </c>
      <c r="F82">
        <v>48</v>
      </c>
      <c r="H82" t="s">
        <v>1248</v>
      </c>
      <c r="I82" t="s">
        <v>1256</v>
      </c>
      <c r="J82" t="s">
        <v>1263</v>
      </c>
      <c r="K82" t="s">
        <v>1256</v>
      </c>
      <c r="L82" t="s">
        <v>1264</v>
      </c>
      <c r="R82" s="18" t="s">
        <v>1642</v>
      </c>
    </row>
    <row r="83" spans="1:18" x14ac:dyDescent="0.3">
      <c r="A83" s="23" t="s">
        <v>1238</v>
      </c>
      <c r="B83" t="s">
        <v>1249</v>
      </c>
      <c r="E83">
        <v>48</v>
      </c>
      <c r="F83">
        <v>48</v>
      </c>
      <c r="H83" t="s">
        <v>1248</v>
      </c>
      <c r="I83" t="s">
        <v>1242</v>
      </c>
      <c r="J83" t="s">
        <v>1242</v>
      </c>
      <c r="K83" t="s">
        <v>1246</v>
      </c>
      <c r="L83" t="s">
        <v>1246</v>
      </c>
      <c r="R83" s="18" t="s">
        <v>1643</v>
      </c>
    </row>
    <row r="84" spans="1:18" x14ac:dyDescent="0.3">
      <c r="A84" s="23" t="s">
        <v>1237</v>
      </c>
      <c r="B84" t="s">
        <v>1250</v>
      </c>
      <c r="E84">
        <v>48</v>
      </c>
      <c r="F84">
        <v>48</v>
      </c>
      <c r="H84" t="s">
        <v>1248</v>
      </c>
      <c r="I84" t="s">
        <v>1240</v>
      </c>
      <c r="J84" t="s">
        <v>1240</v>
      </c>
      <c r="K84" t="s">
        <v>1244</v>
      </c>
      <c r="L84" t="s">
        <v>1244</v>
      </c>
      <c r="R84" s="18" t="s">
        <v>1644</v>
      </c>
    </row>
    <row r="85" spans="1:18" x14ac:dyDescent="0.3">
      <c r="A85" s="23" t="s">
        <v>1265</v>
      </c>
      <c r="B85" t="s">
        <v>1251</v>
      </c>
      <c r="E85">
        <v>48</v>
      </c>
      <c r="F85">
        <v>48</v>
      </c>
      <c r="H85" t="s">
        <v>1248</v>
      </c>
      <c r="I85" t="s">
        <v>1258</v>
      </c>
      <c r="J85" t="s">
        <v>1258</v>
      </c>
      <c r="K85" t="s">
        <v>1260</v>
      </c>
      <c r="L85" t="s">
        <v>1260</v>
      </c>
      <c r="R85" s="18" t="s">
        <v>1645</v>
      </c>
    </row>
    <row r="86" spans="1:18" x14ac:dyDescent="0.3">
      <c r="A86" s="23" t="s">
        <v>1236</v>
      </c>
      <c r="B86" t="s">
        <v>1253</v>
      </c>
      <c r="E86">
        <v>48</v>
      </c>
      <c r="F86">
        <v>48</v>
      </c>
      <c r="H86" t="s">
        <v>1248</v>
      </c>
      <c r="I86" t="s">
        <v>1241</v>
      </c>
      <c r="J86" t="s">
        <v>1241</v>
      </c>
      <c r="K86" t="s">
        <v>1245</v>
      </c>
      <c r="L86" t="s">
        <v>1245</v>
      </c>
      <c r="R86" s="18" t="s">
        <v>1646</v>
      </c>
    </row>
    <row r="87" spans="1:18" x14ac:dyDescent="0.3">
      <c r="A87" s="23" t="s">
        <v>1266</v>
      </c>
      <c r="B87" t="s">
        <v>1252</v>
      </c>
      <c r="E87">
        <v>48</v>
      </c>
      <c r="F87">
        <v>48</v>
      </c>
      <c r="H87" t="s">
        <v>1248</v>
      </c>
      <c r="I87" t="s">
        <v>1259</v>
      </c>
      <c r="J87" t="s">
        <v>1259</v>
      </c>
      <c r="K87" t="s">
        <v>1261</v>
      </c>
      <c r="L87" t="s">
        <v>1261</v>
      </c>
      <c r="R87" s="18" t="s">
        <v>1647</v>
      </c>
    </row>
    <row r="88" spans="1:18" x14ac:dyDescent="0.3">
      <c r="A88" s="23" t="s">
        <v>1239</v>
      </c>
      <c r="B88" t="s">
        <v>1269</v>
      </c>
      <c r="E88">
        <v>48</v>
      </c>
      <c r="F88">
        <v>48</v>
      </c>
      <c r="H88" t="s">
        <v>1248</v>
      </c>
      <c r="I88" t="s">
        <v>1243</v>
      </c>
      <c r="J88" t="s">
        <v>1243</v>
      </c>
      <c r="K88" t="s">
        <v>1247</v>
      </c>
      <c r="L88" t="s">
        <v>1247</v>
      </c>
      <c r="R88" s="18" t="s">
        <v>1648</v>
      </c>
    </row>
    <row r="89" spans="1:18" x14ac:dyDescent="0.3">
      <c r="A89" s="23" t="s">
        <v>1268</v>
      </c>
      <c r="B89" t="s">
        <v>1255</v>
      </c>
      <c r="E89">
        <v>48</v>
      </c>
      <c r="F89">
        <v>48</v>
      </c>
      <c r="H89" t="s">
        <v>1248</v>
      </c>
      <c r="I89" t="s">
        <v>1257</v>
      </c>
      <c r="J89" t="s">
        <v>1257</v>
      </c>
      <c r="K89" t="s">
        <v>1262</v>
      </c>
      <c r="L89" t="s">
        <v>1262</v>
      </c>
      <c r="R89" s="18" t="s">
        <v>1649</v>
      </c>
    </row>
    <row r="90" spans="1:18" x14ac:dyDescent="0.3">
      <c r="A90" s="23" t="s">
        <v>1734</v>
      </c>
      <c r="B90" t="s">
        <v>1856</v>
      </c>
      <c r="E90">
        <v>48</v>
      </c>
      <c r="F90">
        <v>48</v>
      </c>
      <c r="H90" t="s">
        <v>43</v>
      </c>
      <c r="I90" t="s">
        <v>1735</v>
      </c>
      <c r="J90" t="s">
        <v>1737</v>
      </c>
      <c r="K90" t="s">
        <v>1736</v>
      </c>
      <c r="L90" t="s">
        <v>1738</v>
      </c>
      <c r="R90" s="18" t="s">
        <v>1923</v>
      </c>
    </row>
    <row r="91" spans="1:18" x14ac:dyDescent="0.3">
      <c r="A91" s="23" t="s">
        <v>1135</v>
      </c>
      <c r="B91" t="s">
        <v>1857</v>
      </c>
      <c r="C91" t="s">
        <v>299</v>
      </c>
      <c r="D91" t="s">
        <v>724</v>
      </c>
      <c r="E91">
        <v>48</v>
      </c>
      <c r="F91">
        <v>48</v>
      </c>
      <c r="H91" t="s">
        <v>43</v>
      </c>
      <c r="I91" t="s">
        <v>1136</v>
      </c>
      <c r="J91" t="s">
        <v>1137</v>
      </c>
      <c r="K91" t="s">
        <v>1136</v>
      </c>
      <c r="L91" t="s">
        <v>1138</v>
      </c>
      <c r="R91" s="18" t="s">
        <v>1924</v>
      </c>
    </row>
    <row r="92" spans="1:18" x14ac:dyDescent="0.3">
      <c r="A92" s="23" t="s">
        <v>1597</v>
      </c>
      <c r="B92" t="s">
        <v>1858</v>
      </c>
      <c r="E92">
        <v>48</v>
      </c>
      <c r="F92">
        <v>48</v>
      </c>
      <c r="H92" t="s">
        <v>43</v>
      </c>
      <c r="I92" t="s">
        <v>1593</v>
      </c>
      <c r="J92" t="s">
        <v>1595</v>
      </c>
      <c r="K92" t="s">
        <v>1594</v>
      </c>
      <c r="L92" t="s">
        <v>1596</v>
      </c>
      <c r="R92" s="18" t="s">
        <v>1925</v>
      </c>
    </row>
    <row r="93" spans="1:18" x14ac:dyDescent="0.3">
      <c r="A93" s="23" t="s">
        <v>1606</v>
      </c>
      <c r="B93" t="s">
        <v>1859</v>
      </c>
      <c r="E93">
        <v>192</v>
      </c>
      <c r="F93">
        <v>48</v>
      </c>
      <c r="H93" t="s">
        <v>43</v>
      </c>
      <c r="I93" t="s">
        <v>1598</v>
      </c>
      <c r="J93" t="s">
        <v>1603</v>
      </c>
      <c r="K93" t="s">
        <v>1601</v>
      </c>
      <c r="L93" t="s">
        <v>1604</v>
      </c>
      <c r="R93" s="18" t="s">
        <v>1926</v>
      </c>
    </row>
    <row r="94" spans="1:18" x14ac:dyDescent="0.3">
      <c r="A94" s="23" t="s">
        <v>1607</v>
      </c>
      <c r="B94" t="s">
        <v>1860</v>
      </c>
      <c r="E94">
        <v>288</v>
      </c>
      <c r="F94">
        <v>96</v>
      </c>
      <c r="H94" t="s">
        <v>43</v>
      </c>
      <c r="I94" t="s">
        <v>1600</v>
      </c>
      <c r="J94" t="s">
        <v>1599</v>
      </c>
      <c r="K94" t="s">
        <v>1602</v>
      </c>
      <c r="L94" t="s">
        <v>1605</v>
      </c>
      <c r="R94" s="18" t="s">
        <v>1927</v>
      </c>
    </row>
    <row r="95" spans="1:18" x14ac:dyDescent="0.3">
      <c r="A95" s="23" t="s">
        <v>1616</v>
      </c>
      <c r="B95" t="s">
        <v>1861</v>
      </c>
      <c r="E95">
        <v>48</v>
      </c>
      <c r="F95">
        <v>48</v>
      </c>
      <c r="H95" t="s">
        <v>44</v>
      </c>
      <c r="I95" t="s">
        <v>1608</v>
      </c>
      <c r="J95" t="s">
        <v>1612</v>
      </c>
      <c r="K95" t="s">
        <v>1610</v>
      </c>
      <c r="L95" t="s">
        <v>1614</v>
      </c>
      <c r="R95" s="18" t="s">
        <v>1928</v>
      </c>
    </row>
    <row r="96" spans="1:18" x14ac:dyDescent="0.3">
      <c r="A96" s="23" t="s">
        <v>1617</v>
      </c>
      <c r="B96" t="s">
        <v>1862</v>
      </c>
      <c r="E96">
        <v>48</v>
      </c>
      <c r="F96">
        <v>48</v>
      </c>
      <c r="H96" t="s">
        <v>44</v>
      </c>
      <c r="I96" t="s">
        <v>1609</v>
      </c>
      <c r="J96" t="s">
        <v>1613</v>
      </c>
      <c r="K96" t="s">
        <v>1611</v>
      </c>
      <c r="L96" t="s">
        <v>1615</v>
      </c>
      <c r="R96" s="18" t="s">
        <v>1929</v>
      </c>
    </row>
    <row r="97" spans="18:18" x14ac:dyDescent="0.3">
      <c r="R97" s="18" t="s">
        <v>1618</v>
      </c>
    </row>
  </sheetData>
  <mergeCells count="2">
    <mergeCell ref="I1:J1"/>
    <mergeCell ref="K1:L1"/>
  </mergeCells>
  <conditionalFormatting sqref="A1:A1048576">
    <cfRule type="duplicateValues" dxfId="4" priority="1"/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GenerateBlocksSummary">
                <anchor moveWithCells="1" sizeWithCells="1">
                  <from>
                    <xdr:col>18</xdr:col>
                    <xdr:colOff>7620</xdr:colOff>
                    <xdr:row>1</xdr:row>
                    <xdr:rowOff>175260</xdr:rowOff>
                  </from>
                  <to>
                    <xdr:col>20</xdr:col>
                    <xdr:colOff>167640</xdr:colOff>
                    <xdr:row>11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BFE5-88C8-46C9-BE85-B3E5AD4BD067}">
  <sheetPr codeName="Sheet15"/>
  <dimension ref="A1:J24"/>
  <sheetViews>
    <sheetView workbookViewId="0">
      <selection activeCell="I1" sqref="I1"/>
    </sheetView>
  </sheetViews>
  <sheetFormatPr defaultRowHeight="14.4" x14ac:dyDescent="0.3"/>
  <cols>
    <col min="8" max="8" width="29.109375" customWidth="1"/>
  </cols>
  <sheetData>
    <row r="1" spans="1:10" x14ac:dyDescent="0.3">
      <c r="A1" t="s">
        <v>1553</v>
      </c>
      <c r="B1" t="s">
        <v>365</v>
      </c>
      <c r="C1" t="s">
        <v>366</v>
      </c>
      <c r="D1" t="s">
        <v>367</v>
      </c>
      <c r="E1" t="s">
        <v>378</v>
      </c>
      <c r="F1" t="s">
        <v>329</v>
      </c>
      <c r="G1" t="s">
        <v>330</v>
      </c>
      <c r="I1" s="15" t="str">
        <f xml:space="preserve"> "const intTypes = {"&amp;_xlfn.CONCAT(J:J)&amp;"}"</f>
        <v>const intTypes = {"fe":{a:[[0]],b:[1],c:[0],m:0,desc:{"en-us":"Forward Euler","es-mx":"Adelante Euler"}},"be":{a:[[0]],b:[1],c:[1],m:1,desc:{"en-us":"Backward Euler","es-mx":"Euler hacia atrás"}},"em":{a:[[0,0],[0.5,0]],b:[0,1],c:[0,0.5],m:2,desc:{"en-us":"Explicit midpoint method","es-mx":"Método explícito de punto medio"}},"hm":{a:[[0,0],[1,0]],b:[0.5,0.5],c:[0,1],m:1,desc:{"en-us":"Heun's method","es-mx":"Método de Heun"}},"rm":{a:[[0,0],[2/3,0]],b:[0.25,0.75],c:[0,2/3],m:3,desc:{"en-us":"Ralston's method","es-mx":"Método de Ralston"}},"k3":{a:[[0,0,0],[1/2,0,0],[-1,2,0]],b:[1/6,2/3,1/6],c:[0,1/2,1],m:2,desc:{"en-us":"Kutta's third-order method","es-mx":"Método de tercer orden de Kutta"}},"h3":{a:[[0,0,0],[1/3,0,0],[0,2/3,0]],b:[0.25,0,0.75],c:[0,1/3,2/3],m:3,desc:{"en-us":"Heun's third-order method","es-mx":"Método de tercer orden de Heun"}},"r3":{a:[[0,0,0],[1/2,0,0],[0,3/4,0]],b:[2/9,1/3,4/9],c:[0,1/2,3/4],m:4,desc:{"en-us":"Ralston's third-order method","es-mx":"Método de tercer orden de Ralston"}},"s3":{a:[[0,0,0],[1,0,0],[1/4,1/4,0]],b:[1/6,1/6,2/3],c:[0,1,1/2],m:2,desc:{"en-us":"Third-order Strong Stability Preserving Runge-Kutta (SSPRK3)","es-mx":"Runge-Kutta de preservación de estabilidad fuerte de tercer orden (SSPRK3)"}},"k4":{a:[[0,0,0,0],[1/2,0,0,0],[0,1/2,0,0],[0,0,1,0]],b:[1/6,1/3,1/3,1/6],c:[0,1/2,1/2,1],m:2,desc:{"en-us":"Classic fourth-order method","es-mx":"Método clásico de cuarto orden"}},"fo":{a:[[0,0,0,0],[1/3,0,0,0],[-1/3,0,0,0],[1,-1,1,0]],b:[1/8,3/8,3/8,1/8],c:[0,1/3,2/3,1],m:3,desc:{"en-us":"3/8-rule fourth-order method","es-mx":"Método de cuarto orden de 3/8 reglas"}}}</v>
      </c>
    </row>
    <row r="2" spans="1:10" x14ac:dyDescent="0.3">
      <c r="A2" t="s">
        <v>1555</v>
      </c>
      <c r="B2" t="s">
        <v>1566</v>
      </c>
      <c r="C2" t="s">
        <v>1565</v>
      </c>
      <c r="D2" t="s">
        <v>1564</v>
      </c>
      <c r="E2">
        <v>0</v>
      </c>
      <c r="F2" t="s">
        <v>1532</v>
      </c>
      <c r="G2" t="s">
        <v>1552</v>
      </c>
      <c r="J2" t="str">
        <f>IF(ISBLANK(A2),"",""""&amp;A2&amp;""":{"&amp;$B$1&amp;":"&amp;B2&amp;","&amp;$C$1&amp;":"&amp;C2&amp;","&amp;$D$1&amp;":"&amp;D2&amp;","&amp;$E$1&amp;":"&amp;E2&amp;",desc:{"""&amp;$F$1&amp;""":"""&amp;F2&amp;""","""&amp;$G$1&amp;""":"""&amp;G2&amp;"""}}"&amp;IF(ISBLANK(A3),"",","))</f>
        <v>"fe":{a:[[0]],b:[1],c:[0],m:0,desc:{"en-us":"Forward Euler","es-mx":"Adelante Euler"}},</v>
      </c>
    </row>
    <row r="3" spans="1:10" x14ac:dyDescent="0.3">
      <c r="A3" t="s">
        <v>1623</v>
      </c>
      <c r="B3" t="s">
        <v>1566</v>
      </c>
      <c r="C3" t="s">
        <v>1565</v>
      </c>
      <c r="D3" t="s">
        <v>1565</v>
      </c>
      <c r="E3">
        <v>1</v>
      </c>
      <c r="F3" t="s">
        <v>1624</v>
      </c>
      <c r="G3" t="s">
        <v>1625</v>
      </c>
      <c r="J3" t="str">
        <f t="shared" ref="J3:J24" si="0">IF(ISBLANK(A3),"",""""&amp;A3&amp;""":{"&amp;$B$1&amp;":"&amp;B3&amp;","&amp;$C$1&amp;":"&amp;C3&amp;","&amp;$D$1&amp;":"&amp;D3&amp;","&amp;$E$1&amp;":"&amp;E3&amp;",desc:{"""&amp;$F$1&amp;""":"""&amp;F3&amp;""","""&amp;$G$1&amp;""":"""&amp;G3&amp;"""}}"&amp;IF(ISBLANK(A4),"",","))</f>
        <v>"be":{a:[[0]],b:[1],c:[1],m:1,desc:{"en-us":"Backward Euler","es-mx":"Euler hacia atrás"}},</v>
      </c>
    </row>
    <row r="4" spans="1:10" x14ac:dyDescent="0.3">
      <c r="A4" t="s">
        <v>1556</v>
      </c>
      <c r="B4" t="s">
        <v>1567</v>
      </c>
      <c r="C4" t="s">
        <v>1568</v>
      </c>
      <c r="D4" t="s">
        <v>1569</v>
      </c>
      <c r="E4">
        <v>2</v>
      </c>
      <c r="F4" t="s">
        <v>1533</v>
      </c>
      <c r="G4" t="s">
        <v>1542</v>
      </c>
      <c r="J4" t="str">
        <f t="shared" si="0"/>
        <v>"em":{a:[[0,0],[0.5,0]],b:[0,1],c:[0,0.5],m:2,desc:{"en-us":"Explicit midpoint method","es-mx":"Método explícito de punto medio"}},</v>
      </c>
    </row>
    <row r="5" spans="1:10" x14ac:dyDescent="0.3">
      <c r="A5" t="s">
        <v>1557</v>
      </c>
      <c r="B5" t="s">
        <v>1570</v>
      </c>
      <c r="C5" t="s">
        <v>1571</v>
      </c>
      <c r="D5" t="s">
        <v>1568</v>
      </c>
      <c r="E5">
        <v>1</v>
      </c>
      <c r="F5" t="s">
        <v>1534</v>
      </c>
      <c r="G5" t="s">
        <v>1543</v>
      </c>
      <c r="J5" t="str">
        <f t="shared" si="0"/>
        <v>"hm":{a:[[0,0],[1,0]],b:[0.5,0.5],c:[0,1],m:1,desc:{"en-us":"Heun's method","es-mx":"Método de Heun"}},</v>
      </c>
    </row>
    <row r="6" spans="1:10" x14ac:dyDescent="0.3">
      <c r="A6" t="s">
        <v>1558</v>
      </c>
      <c r="B6" t="s">
        <v>1574</v>
      </c>
      <c r="C6" t="s">
        <v>1573</v>
      </c>
      <c r="D6" t="s">
        <v>1572</v>
      </c>
      <c r="E6">
        <v>3</v>
      </c>
      <c r="F6" t="s">
        <v>1535</v>
      </c>
      <c r="G6" t="s">
        <v>1544</v>
      </c>
      <c r="J6" t="str">
        <f t="shared" si="0"/>
        <v>"rm":{a:[[0,0],[2/3,0]],b:[0.25,0.75],c:[0,2/3],m:3,desc:{"en-us":"Ralston's method","es-mx":"Método de Ralston"}},</v>
      </c>
    </row>
    <row r="7" spans="1:10" x14ac:dyDescent="0.3">
      <c r="A7" t="s">
        <v>1559</v>
      </c>
      <c r="B7" t="s">
        <v>1575</v>
      </c>
      <c r="C7" t="s">
        <v>1576</v>
      </c>
      <c r="D7" t="s">
        <v>1577</v>
      </c>
      <c r="E7">
        <v>2</v>
      </c>
      <c r="F7" t="s">
        <v>1536</v>
      </c>
      <c r="G7" t="s">
        <v>1545</v>
      </c>
      <c r="J7" t="str">
        <f t="shared" si="0"/>
        <v>"k3":{a:[[0,0,0],[1/2,0,0],[-1,2,0]],b:[1/6,2/3,1/6],c:[0,1/2,1],m:2,desc:{"en-us":"Kutta's third-order method","es-mx":"Método de tercer orden de Kutta"}},</v>
      </c>
    </row>
    <row r="8" spans="1:10" x14ac:dyDescent="0.3">
      <c r="A8" t="s">
        <v>1560</v>
      </c>
      <c r="B8" t="s">
        <v>1578</v>
      </c>
      <c r="C8" t="s">
        <v>1579</v>
      </c>
      <c r="D8" t="s">
        <v>1580</v>
      </c>
      <c r="E8">
        <v>3</v>
      </c>
      <c r="F8" t="s">
        <v>1537</v>
      </c>
      <c r="G8" t="s">
        <v>1546</v>
      </c>
      <c r="J8" t="str">
        <f t="shared" si="0"/>
        <v>"h3":{a:[[0,0,0],[1/3,0,0],[0,2/3,0]],b:[0.25,0,0.75],c:[0,1/3,2/3],m:3,desc:{"en-us":"Heun's third-order method","es-mx":"Método de tercer orden de Heun"}},</v>
      </c>
    </row>
    <row r="9" spans="1:10" x14ac:dyDescent="0.3">
      <c r="A9" t="s">
        <v>1561</v>
      </c>
      <c r="B9" t="s">
        <v>1581</v>
      </c>
      <c r="C9" t="s">
        <v>1582</v>
      </c>
      <c r="D9" t="s">
        <v>1583</v>
      </c>
      <c r="E9">
        <v>4</v>
      </c>
      <c r="F9" t="s">
        <v>1538</v>
      </c>
      <c r="G9" t="s">
        <v>1547</v>
      </c>
      <c r="J9" t="str">
        <f t="shared" si="0"/>
        <v>"r3":{a:[[0,0,0],[1/2,0,0],[0,3/4,0]],b:[2/9,1/3,4/9],c:[0,1/2,3/4],m:4,desc:{"en-us":"Ralston's third-order method","es-mx":"Método de tercer orden de Ralston"}},</v>
      </c>
    </row>
    <row r="10" spans="1:10" x14ac:dyDescent="0.3">
      <c r="A10" t="s">
        <v>1562</v>
      </c>
      <c r="B10" t="s">
        <v>1584</v>
      </c>
      <c r="C10" t="s">
        <v>1585</v>
      </c>
      <c r="D10" t="s">
        <v>1586</v>
      </c>
      <c r="E10">
        <v>2</v>
      </c>
      <c r="F10" t="s">
        <v>1539</v>
      </c>
      <c r="G10" t="s">
        <v>1548</v>
      </c>
      <c r="J10" t="str">
        <f t="shared" si="0"/>
        <v>"s3":{a:[[0,0,0],[1,0,0],[1/4,1/4,0]],b:[1/6,1/6,2/3],c:[0,1,1/2],m:2,desc:{"en-us":"Third-order Strong Stability Preserving Runge-Kutta (SSPRK3)","es-mx":"Runge-Kutta de preservación de estabilidad fuerte de tercer orden (SSPRK3)"}},</v>
      </c>
    </row>
    <row r="11" spans="1:10" x14ac:dyDescent="0.3">
      <c r="A11" t="s">
        <v>1563</v>
      </c>
      <c r="B11" t="s">
        <v>1587</v>
      </c>
      <c r="C11" t="s">
        <v>1588</v>
      </c>
      <c r="D11" t="s">
        <v>1589</v>
      </c>
      <c r="E11">
        <v>2</v>
      </c>
      <c r="F11" t="s">
        <v>1540</v>
      </c>
      <c r="G11" t="s">
        <v>1549</v>
      </c>
      <c r="J11" t="str">
        <f t="shared" si="0"/>
        <v>"k4":{a:[[0,0,0,0],[1/2,0,0,0],[0,1/2,0,0],[0,0,1,0]],b:[1/6,1/3,1/3,1/6],c:[0,1/2,1/2,1],m:2,desc:{"en-us":"Classic fourth-order method","es-mx":"Método clásico de cuarto orden"}},</v>
      </c>
    </row>
    <row r="12" spans="1:10" x14ac:dyDescent="0.3">
      <c r="A12" t="s">
        <v>1554</v>
      </c>
      <c r="B12" t="s">
        <v>1590</v>
      </c>
      <c r="C12" t="s">
        <v>1591</v>
      </c>
      <c r="D12" t="s">
        <v>1592</v>
      </c>
      <c r="E12">
        <v>3</v>
      </c>
      <c r="F12" t="s">
        <v>1541</v>
      </c>
      <c r="G12" t="s">
        <v>1550</v>
      </c>
      <c r="J12" t="str">
        <f t="shared" si="0"/>
        <v>"fo":{a:[[0,0,0,0],[1/3,0,0,0],[-1/3,0,0,0],[1,-1,1,0]],b:[1/8,3/8,3/8,1/8],c:[0,1/3,2/3,1],m:3,desc:{"en-us":"3/8-rule fourth-order method","es-mx":"Método de cuarto orden de 3/8 reglas"}}</v>
      </c>
    </row>
    <row r="13" spans="1:10" x14ac:dyDescent="0.3">
      <c r="J13" t="str">
        <f t="shared" si="0"/>
        <v/>
      </c>
    </row>
    <row r="14" spans="1:10" x14ac:dyDescent="0.3">
      <c r="J14" t="str">
        <f t="shared" si="0"/>
        <v/>
      </c>
    </row>
    <row r="15" spans="1:10" x14ac:dyDescent="0.3">
      <c r="J15" t="str">
        <f t="shared" si="0"/>
        <v/>
      </c>
    </row>
    <row r="16" spans="1:10" x14ac:dyDescent="0.3">
      <c r="J16" t="str">
        <f t="shared" si="0"/>
        <v/>
      </c>
    </row>
    <row r="17" spans="10:10" x14ac:dyDescent="0.3">
      <c r="J17" t="str">
        <f t="shared" si="0"/>
        <v/>
      </c>
    </row>
    <row r="18" spans="10:10" x14ac:dyDescent="0.3">
      <c r="J18" t="str">
        <f t="shared" si="0"/>
        <v/>
      </c>
    </row>
    <row r="19" spans="10:10" x14ac:dyDescent="0.3">
      <c r="J19" t="str">
        <f t="shared" si="0"/>
        <v/>
      </c>
    </row>
    <row r="20" spans="10:10" x14ac:dyDescent="0.3">
      <c r="J20" t="str">
        <f t="shared" si="0"/>
        <v/>
      </c>
    </row>
    <row r="21" spans="10:10" x14ac:dyDescent="0.3">
      <c r="J21" t="str">
        <f t="shared" si="0"/>
        <v/>
      </c>
    </row>
    <row r="22" spans="10:10" x14ac:dyDescent="0.3">
      <c r="J22" t="str">
        <f t="shared" si="0"/>
        <v/>
      </c>
    </row>
    <row r="23" spans="10:10" x14ac:dyDescent="0.3">
      <c r="J23" t="str">
        <f t="shared" si="0"/>
        <v/>
      </c>
    </row>
    <row r="24" spans="10:10" x14ac:dyDescent="0.3">
      <c r="J24" t="str">
        <f t="shared" si="0"/>
        <v/>
      </c>
    </row>
  </sheetData>
  <conditionalFormatting sqref="A2:A12">
    <cfRule type="duplicateValues" dxfId="3" priority="2"/>
  </conditionalFormatting>
  <conditionalFormatting sqref="A1:A1048576">
    <cfRule type="duplicateValues" dxfId="2" priority="1"/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425ACA-5C71-49CF-99B3-1F1B01985285}">
  <sheetPr codeName="Sheet16"/>
  <dimension ref="A1:H31"/>
  <sheetViews>
    <sheetView workbookViewId="0">
      <selection activeCell="H1" sqref="H1"/>
    </sheetView>
  </sheetViews>
  <sheetFormatPr defaultRowHeight="14.4" x14ac:dyDescent="0.3"/>
  <sheetData>
    <row r="1" spans="1:8" x14ac:dyDescent="0.3">
      <c r="A1" t="s">
        <v>768</v>
      </c>
      <c r="B1" t="s">
        <v>769</v>
      </c>
      <c r="C1" t="s">
        <v>726</v>
      </c>
      <c r="H1" t="str">
        <f>"constants:["&amp;_xlfn.CONCAT(E:E)&amp;"],keywords:["&amp;_xlfn.CONCAT(F:F)&amp;"],"</f>
        <v>constants:["e","E","i","Infinity","LN2","LN10","LOG2E","LOG10E","phi","pi","PI","SQRT1_2","SQRT2","tau"],keywords:["NaN","null","undefined","mod","to","in","and","xor","or","not","end"],</v>
      </c>
    </row>
    <row r="2" spans="1:8" x14ac:dyDescent="0.3">
      <c r="A2" t="s">
        <v>370</v>
      </c>
      <c r="C2" t="s">
        <v>798</v>
      </c>
      <c r="E2" t="str">
        <f>IF(ISBLANK(A2),"",""""&amp;A2&amp;""""&amp;IF(ISBLANK(A3),"",","))</f>
        <v>"e",</v>
      </c>
      <c r="F2" t="str">
        <f>IF(ISBLANK(C2),"",""""&amp;C2&amp;""""&amp;IF(ISBLANK(C3),"",","))</f>
        <v>"NaN",</v>
      </c>
    </row>
    <row r="3" spans="1:8" x14ac:dyDescent="0.3">
      <c r="A3" t="s">
        <v>254</v>
      </c>
      <c r="C3" t="s">
        <v>799</v>
      </c>
      <c r="E3" t="str">
        <f t="shared" ref="E3:E31" si="0">IF(ISBLANK(A3),"",""""&amp;A3&amp;""""&amp;IF(ISBLANK(A4),"",","))</f>
        <v>"E",</v>
      </c>
      <c r="F3" t="str">
        <f t="shared" ref="F3:F31" si="1">IF(ISBLANK(C3),"",""""&amp;C3&amp;""""&amp;IF(ISBLANK(C4),"",","))</f>
        <v>"null",</v>
      </c>
    </row>
    <row r="4" spans="1:8" x14ac:dyDescent="0.3">
      <c r="A4" t="s">
        <v>374</v>
      </c>
      <c r="C4" t="s">
        <v>813</v>
      </c>
      <c r="E4" t="str">
        <f t="shared" si="0"/>
        <v>"i",</v>
      </c>
      <c r="F4" t="str">
        <f t="shared" si="1"/>
        <v>"undefined",</v>
      </c>
    </row>
    <row r="5" spans="1:8" x14ac:dyDescent="0.3">
      <c r="A5" t="s">
        <v>793</v>
      </c>
      <c r="C5" t="s">
        <v>806</v>
      </c>
      <c r="E5" t="str">
        <f t="shared" si="0"/>
        <v>"Infinity",</v>
      </c>
      <c r="F5" t="str">
        <f t="shared" si="1"/>
        <v>"mod",</v>
      </c>
    </row>
    <row r="6" spans="1:8" x14ac:dyDescent="0.3">
      <c r="A6" t="s">
        <v>794</v>
      </c>
      <c r="C6" t="s">
        <v>807</v>
      </c>
      <c r="E6" t="str">
        <f t="shared" si="0"/>
        <v>"LN2",</v>
      </c>
      <c r="F6" t="str">
        <f t="shared" si="1"/>
        <v>"to",</v>
      </c>
    </row>
    <row r="7" spans="1:8" x14ac:dyDescent="0.3">
      <c r="A7" t="s">
        <v>795</v>
      </c>
      <c r="C7" t="s">
        <v>808</v>
      </c>
      <c r="E7" t="str">
        <f t="shared" si="0"/>
        <v>"LN10",</v>
      </c>
      <c r="F7" t="str">
        <f t="shared" si="1"/>
        <v>"in",</v>
      </c>
    </row>
    <row r="8" spans="1:8" x14ac:dyDescent="0.3">
      <c r="A8" t="s">
        <v>796</v>
      </c>
      <c r="C8" t="s">
        <v>809</v>
      </c>
      <c r="E8" t="str">
        <f t="shared" si="0"/>
        <v>"LOG2E",</v>
      </c>
      <c r="F8" t="str">
        <f t="shared" si="1"/>
        <v>"and",</v>
      </c>
    </row>
    <row r="9" spans="1:8" x14ac:dyDescent="0.3">
      <c r="A9" t="s">
        <v>797</v>
      </c>
      <c r="C9" t="s">
        <v>810</v>
      </c>
      <c r="E9" t="str">
        <f t="shared" si="0"/>
        <v>"LOG10E",</v>
      </c>
      <c r="F9" t="str">
        <f t="shared" si="1"/>
        <v>"xor",</v>
      </c>
    </row>
    <row r="10" spans="1:8" x14ac:dyDescent="0.3">
      <c r="A10" t="s">
        <v>800</v>
      </c>
      <c r="C10" t="s">
        <v>811</v>
      </c>
      <c r="E10" t="str">
        <f t="shared" si="0"/>
        <v>"phi",</v>
      </c>
      <c r="F10" t="str">
        <f t="shared" si="1"/>
        <v>"or",</v>
      </c>
    </row>
    <row r="11" spans="1:8" x14ac:dyDescent="0.3">
      <c r="A11" t="s">
        <v>801</v>
      </c>
      <c r="C11" t="s">
        <v>812</v>
      </c>
      <c r="E11" t="str">
        <f t="shared" si="0"/>
        <v>"pi",</v>
      </c>
      <c r="F11" t="str">
        <f t="shared" si="1"/>
        <v>"not",</v>
      </c>
    </row>
    <row r="12" spans="1:8" x14ac:dyDescent="0.3">
      <c r="A12" t="s">
        <v>802</v>
      </c>
      <c r="C12" t="s">
        <v>358</v>
      </c>
      <c r="E12" t="str">
        <f t="shared" si="0"/>
        <v>"PI",</v>
      </c>
      <c r="F12" t="str">
        <f t="shared" si="1"/>
        <v>"end"</v>
      </c>
    </row>
    <row r="13" spans="1:8" x14ac:dyDescent="0.3">
      <c r="A13" t="s">
        <v>803</v>
      </c>
      <c r="E13" t="str">
        <f t="shared" si="0"/>
        <v>"SQRT1_2",</v>
      </c>
      <c r="F13" t="str">
        <f t="shared" si="1"/>
        <v/>
      </c>
    </row>
    <row r="14" spans="1:8" x14ac:dyDescent="0.3">
      <c r="A14" t="s">
        <v>804</v>
      </c>
      <c r="E14" t="str">
        <f t="shared" si="0"/>
        <v>"SQRT2",</v>
      </c>
      <c r="F14" t="str">
        <f t="shared" si="1"/>
        <v/>
      </c>
    </row>
    <row r="15" spans="1:8" x14ac:dyDescent="0.3">
      <c r="A15" t="s">
        <v>805</v>
      </c>
      <c r="E15" t="str">
        <f t="shared" si="0"/>
        <v>"tau"</v>
      </c>
      <c r="F15" t="str">
        <f t="shared" si="1"/>
        <v/>
      </c>
    </row>
    <row r="16" spans="1:8" x14ac:dyDescent="0.3">
      <c r="E16" t="str">
        <f t="shared" si="0"/>
        <v/>
      </c>
      <c r="F16" t="str">
        <f t="shared" si="1"/>
        <v/>
      </c>
    </row>
    <row r="17" spans="5:6" x14ac:dyDescent="0.3">
      <c r="E17" t="str">
        <f t="shared" si="0"/>
        <v/>
      </c>
      <c r="F17" t="str">
        <f t="shared" si="1"/>
        <v/>
      </c>
    </row>
    <row r="18" spans="5:6" x14ac:dyDescent="0.3">
      <c r="E18" t="str">
        <f t="shared" si="0"/>
        <v/>
      </c>
      <c r="F18" t="str">
        <f t="shared" si="1"/>
        <v/>
      </c>
    </row>
    <row r="19" spans="5:6" x14ac:dyDescent="0.3">
      <c r="E19" t="str">
        <f t="shared" si="0"/>
        <v/>
      </c>
      <c r="F19" t="str">
        <f t="shared" si="1"/>
        <v/>
      </c>
    </row>
    <row r="20" spans="5:6" x14ac:dyDescent="0.3">
      <c r="E20" t="str">
        <f t="shared" si="0"/>
        <v/>
      </c>
      <c r="F20" t="str">
        <f t="shared" si="1"/>
        <v/>
      </c>
    </row>
    <row r="21" spans="5:6" x14ac:dyDescent="0.3">
      <c r="E21" t="str">
        <f t="shared" si="0"/>
        <v/>
      </c>
      <c r="F21" t="str">
        <f t="shared" si="1"/>
        <v/>
      </c>
    </row>
    <row r="22" spans="5:6" x14ac:dyDescent="0.3">
      <c r="E22" t="str">
        <f t="shared" si="0"/>
        <v/>
      </c>
      <c r="F22" t="str">
        <f t="shared" si="1"/>
        <v/>
      </c>
    </row>
    <row r="23" spans="5:6" x14ac:dyDescent="0.3">
      <c r="E23" t="str">
        <f t="shared" si="0"/>
        <v/>
      </c>
      <c r="F23" t="str">
        <f t="shared" si="1"/>
        <v/>
      </c>
    </row>
    <row r="24" spans="5:6" x14ac:dyDescent="0.3">
      <c r="E24" t="str">
        <f t="shared" si="0"/>
        <v/>
      </c>
      <c r="F24" t="str">
        <f t="shared" si="1"/>
        <v/>
      </c>
    </row>
    <row r="25" spans="5:6" x14ac:dyDescent="0.3">
      <c r="E25" t="str">
        <f t="shared" si="0"/>
        <v/>
      </c>
      <c r="F25" t="str">
        <f t="shared" si="1"/>
        <v/>
      </c>
    </row>
    <row r="26" spans="5:6" x14ac:dyDescent="0.3">
      <c r="E26" t="str">
        <f t="shared" si="0"/>
        <v/>
      </c>
      <c r="F26" t="str">
        <f t="shared" si="1"/>
        <v/>
      </c>
    </row>
    <row r="27" spans="5:6" x14ac:dyDescent="0.3">
      <c r="E27" t="str">
        <f t="shared" si="0"/>
        <v/>
      </c>
      <c r="F27" t="str">
        <f t="shared" si="1"/>
        <v/>
      </c>
    </row>
    <row r="28" spans="5:6" x14ac:dyDescent="0.3">
      <c r="E28" t="str">
        <f t="shared" si="0"/>
        <v/>
      </c>
      <c r="F28" t="str">
        <f t="shared" si="1"/>
        <v/>
      </c>
    </row>
    <row r="29" spans="5:6" x14ac:dyDescent="0.3">
      <c r="E29" t="str">
        <f t="shared" si="0"/>
        <v/>
      </c>
      <c r="F29" t="str">
        <f t="shared" si="1"/>
        <v/>
      </c>
    </row>
    <row r="30" spans="5:6" x14ac:dyDescent="0.3">
      <c r="E30" t="str">
        <f t="shared" si="0"/>
        <v/>
      </c>
      <c r="F30" t="str">
        <f t="shared" si="1"/>
        <v/>
      </c>
    </row>
    <row r="31" spans="5:6" x14ac:dyDescent="0.3">
      <c r="E31" t="str">
        <f t="shared" si="0"/>
        <v/>
      </c>
      <c r="F31" t="str">
        <f t="shared" si="1"/>
        <v/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1F0A7-3661-4783-B95A-A0902911C5F1}">
  <sheetPr codeName="Sheet17"/>
  <dimension ref="A1:U46"/>
  <sheetViews>
    <sheetView workbookViewId="0">
      <selection activeCell="Q2" sqref="Q2"/>
    </sheetView>
  </sheetViews>
  <sheetFormatPr defaultRowHeight="14.4" x14ac:dyDescent="0.3"/>
  <cols>
    <col min="2" max="5" width="15.33203125" bestFit="1" customWidth="1"/>
    <col min="6" max="7" width="11.21875" bestFit="1" customWidth="1"/>
    <col min="8" max="9" width="9" bestFit="1" customWidth="1"/>
    <col min="10" max="10" width="10.77734375" bestFit="1" customWidth="1"/>
    <col min="11" max="11" width="11.44140625" customWidth="1"/>
  </cols>
  <sheetData>
    <row r="1" spans="1:21" x14ac:dyDescent="0.3">
      <c r="A1" t="s">
        <v>913</v>
      </c>
      <c r="B1" t="s">
        <v>914</v>
      </c>
      <c r="C1" t="s">
        <v>915</v>
      </c>
      <c r="D1" t="s">
        <v>1040</v>
      </c>
      <c r="E1" t="s">
        <v>1041</v>
      </c>
      <c r="F1" t="s">
        <v>1039</v>
      </c>
      <c r="G1" t="s">
        <v>1038</v>
      </c>
      <c r="H1" t="s">
        <v>916</v>
      </c>
      <c r="I1" t="s">
        <v>917</v>
      </c>
      <c r="J1" t="s">
        <v>1043</v>
      </c>
      <c r="K1" t="s">
        <v>1044</v>
      </c>
      <c r="L1" t="s">
        <v>1042</v>
      </c>
      <c r="M1" t="s">
        <v>329</v>
      </c>
      <c r="N1" t="s">
        <v>330</v>
      </c>
      <c r="P1" s="15" t="s">
        <v>919</v>
      </c>
      <c r="Q1" s="15" t="str">
        <f>"""cThemes"":{"""&amp;L1&amp;""":{"&amp;_xlfn.TEXTJOIN(",",TRUE,S:S)&amp;"},"""&amp;M1&amp;""":{"&amp;_xlfn.CONCAT(T:T)&amp;"},"""&amp;N1&amp;""":{"&amp;_xlfn.CONCAT(U:U)&amp;"}},"</f>
        <v>"cThemes":{"mode":{"dark":"dark","dark2":"dark","dark3":"dark","dark4":"dark","dark5":"dark","light":"light","light2":"light","light3":"light","light4":"light","light5":"light","test":"light","darktest":"dark"},"en-us":{"theme-dark":"Dark theme 1","theme-dark2":"Dark theme 2","theme-dark3":"Dark theme 3","theme-dark4":"Dark theme 4","theme-dark5":"Dark theme 5","theme-light":"Light theme 1 (default)","theme-light2":"Light theme 2","theme-light3":"Light theme 3","theme-light4":"Light theme 4","theme-light5":"Light theme 5","theme-test":"Light theme 6","theme-darktest":"Dark theme 5"},"es-mx":{"theme-dark":"Tema oscuro 1","theme-dark2":"Tema oscuro 2","theme-dark3":"Tema oscuro 3","theme-dark4":"Tema oscuro 4","theme-dark5":"Tema oscuro 5","theme-light":"Tema ligero 1 (predeterminado)","theme-light2":"Tema ligero 2","theme-light3":"Tema ligero 3","theme-light4":"Tema ligero 4","theme-light5":"Tema ligero 5","theme-test":"Tema ligero 6","theme-darktest":"Tema oscuro 5"}},</v>
      </c>
    </row>
    <row r="2" spans="1:21" x14ac:dyDescent="0.3">
      <c r="A2" t="s">
        <v>918</v>
      </c>
      <c r="B2" t="s">
        <v>1067</v>
      </c>
      <c r="C2" t="s">
        <v>1066</v>
      </c>
      <c r="D2" t="s">
        <v>1070</v>
      </c>
      <c r="E2" t="s">
        <v>1069</v>
      </c>
      <c r="F2" t="s">
        <v>1068</v>
      </c>
      <c r="G2" t="s">
        <v>1071</v>
      </c>
      <c r="H2" t="s">
        <v>724</v>
      </c>
      <c r="I2" t="s">
        <v>724</v>
      </c>
      <c r="J2" t="s">
        <v>1061</v>
      </c>
      <c r="K2" t="s">
        <v>1060</v>
      </c>
      <c r="L2" t="s">
        <v>918</v>
      </c>
      <c r="M2" t="s">
        <v>1153</v>
      </c>
      <c r="N2" t="s">
        <v>1151</v>
      </c>
      <c r="P2" s="15" t="s">
        <v>920</v>
      </c>
      <c r="Q2" s="15" t="str">
        <f>_xlfn.CONCAT(R:R)</f>
        <v>.theme-dark{--col-background-1:#37474f;--col-background-0:#62727b;--col-border-0:#102027;--col-background-3:#424242;--col-background-2:#6d6d6d;--col-border-1:#1b1b1b;--col-text-0:#ffffff;--col-text-1:#ffffff;--col-dis-back:#7f0000;--col-dis-fore:#b71c1c;}.theme-dark2{--col-background-1:#1a237e;--col-background-0:#534bae;--col-border-0:#000051;--col-background-3:#004d40;--col-background-2:#39796b;--col-border-1:#00251a;--col-text-0:#ffffff;--col-text-1:#ffffff;--col-dis-back:#7f0000;--col-dis-fore:#b71c1c;}.theme-dark3{--col-background-1:#7b1fa2;--col-background-0:#ae52d4;--col-border-0:#4a0072;--col-background-3:#4527a0;--col-background-2:#7953d2;--col-border-1:#000070;--col-text-0:#ffffff;--col-text-1:#ffffff;--col-dis-back:#7f0000;--col-dis-fore:#b71c1c;}.theme-dark4{--col-background-1:#0097a7;--col-background-0:#56c8d8;--col-border-0:#006978;--col-background-3:#0277bd;--col-background-2:#58a5f0;--col-border-1:#004c8c;--col-text-0:#000000;--col-text-1:#ffffff;--col-dis-back:#dc8665;--col-dis-fore:#cd7672;}.theme-dark5{--col-background-1:#2e7d32;--col-background-0:#60ad5e;--col-border-0:#005005;--col-background-3:#004d40;--col-background-2:#39796b;--col-border-1:#00251a;--col-text-0:#ffffff;--col-text-1:#ffffff;--col-dis-back:#7f0000;--col-dis-fore:#b71c1c;}.theme-light{--col-background-1:#f6f6ff;--col-background-0:#ffffff;--col-border-0:#a0a0ff;--col-background-3:#e3e3ff;--col-background-2:#ececff;--col-border-1:#a0a0ff;--col-text-0:#101019;--col-text-1:#7070b3;--col-dis-back:#dc8665;--col-dis-fore:#cd7672;}.theme-light2{--col-background-1:#f5f5f5;--col-background-0:#ffffff;--col-border-0:#c2c2c2;--col-background-3:#cfd8dc;--col-background-2:#ffffff;--col-border-1:#9ea7aa;--col-text-0:#000000;--col-text-1:#000000;--col-dis-back:#dc8665;--col-dis-fore:#cd7672;}.theme-light3{--col-background-1:#f8bbd0;--col-background-0:#ffeeff;--col-border-0:#c48b9f;--col-background-3:#ef9a9a;--col-background-2:#ffcccb;--col-border-1:#ba6b6c;--col-text-0:#000000;--col-text-1:#000000;--col-dis-back:#dc8665;--col-dis-fore:#cd7672;}.theme-light4{--col-background-1:#bbdefb;--col-background-0:#eeffff;--col-border-0:#8aacc8;--col-background-3:#9fa8da;--col-background-2:#d1d9ff;--col-border-1:#6f79a8;--col-text-0:#000000;--col-text-1:#000000;--col-dis-back:#dc8665;--col-dis-fore:#cd7672;}.theme-light5{--col-background-1:#80d8ff;--col-background-0:#b5ffff;--col-border-0:#49a7cc;--col-background-3:#b388ff;--col-background-2:#e7b9ff;--col-border-1:#805acb;--col-text-0:#000000;--col-text-1:#000000;--col-dis-back:#dc8665;--col-dis-fore:#cd7672;}.theme-test{--col-background-1:#b3e5fc;--col-background-0:#e6ffff;--col-border-0:#82b3c9;--col-background-3:#e1bee7;--col-background-2:#fff1ff;--col-border-1:#af8eb5;--col-text-0:#000000;--col-text-1:#000000;--col-dis-back:#dc8665;--col-dis-fore:#cd7672;}.theme-darktest{--col-background-1:#101019;--col-background-0:#000000;--col-border-0:#a0a0ff;--col-background-3:#30304c;--col-background-2:#202033;--col-border-1:#a0a0ff;--col-text-0:#f6f6ff;--col-text-1:#bdbdff;--col-dis-back:#7f0000;--col-dis-fore:#b71c1c;}</v>
      </c>
      <c r="R2" t="str">
        <f t="shared" ref="R2:R46" si="0">IF(ISBLANK(A2),"",".theme-"&amp;A2&amp;"{--"&amp;$C$1&amp;":"&amp;C2&amp;";--"&amp;$B$1&amp;":"&amp;B2&amp;";--"&amp;$F$1&amp;":"&amp;F2&amp;";--"&amp;$E$1&amp;":"&amp;E2&amp;";--"&amp;$D$1&amp;":"&amp;D2&amp;";--"&amp;$G$1&amp;":"&amp;G2&amp;";--"&amp;H$1&amp;":"&amp;H2&amp;";--"&amp;$I$1&amp;":"&amp;I2&amp;";--"&amp;$J$1&amp;":"&amp;J2&amp;";--"&amp;$K$1&amp;":"&amp;K2&amp;";}")</f>
        <v>.theme-dark{--col-background-1:#37474f;--col-background-0:#62727b;--col-border-0:#102027;--col-background-3:#424242;--col-background-2:#6d6d6d;--col-border-1:#1b1b1b;--col-text-0:#ffffff;--col-text-1:#ffffff;--col-dis-back:#7f0000;--col-dis-fore:#b71c1c;}</v>
      </c>
      <c r="S2" t="str">
        <f t="shared" ref="S2:S46" si="1">IF(ISBLANK(L2),"",""""&amp;A2&amp;""":"&amp;""""&amp;L2&amp;"""")</f>
        <v>"dark":"dark"</v>
      </c>
      <c r="T2" t="str">
        <f>IF(ISBLANK($A2),"","""theme-"&amp;$A2&amp;""":"""&amp;M2&amp;""""&amp;IF(ISBLANK($A7),"",","))</f>
        <v>"theme-dark":"Dark theme 1",</v>
      </c>
      <c r="U2" t="str">
        <f>IF(ISBLANK($A2),"","""theme-"&amp;$A2&amp;""":"""&amp;N2&amp;""""&amp;IF(ISBLANK($A7),"",","))</f>
        <v>"theme-dark":"Tema oscuro 1",</v>
      </c>
    </row>
    <row r="3" spans="1:21" x14ac:dyDescent="0.3">
      <c r="A3" t="s">
        <v>1106</v>
      </c>
      <c r="B3" t="s">
        <v>1055</v>
      </c>
      <c r="C3" t="s">
        <v>1054</v>
      </c>
      <c r="D3" t="s">
        <v>1058</v>
      </c>
      <c r="E3" t="s">
        <v>1057</v>
      </c>
      <c r="F3" t="s">
        <v>1056</v>
      </c>
      <c r="G3" t="s">
        <v>1059</v>
      </c>
      <c r="H3" t="s">
        <v>724</v>
      </c>
      <c r="I3" t="s">
        <v>724</v>
      </c>
      <c r="J3" t="s">
        <v>1061</v>
      </c>
      <c r="K3" t="s">
        <v>1060</v>
      </c>
      <c r="L3" t="s">
        <v>918</v>
      </c>
      <c r="M3" t="s">
        <v>1099</v>
      </c>
      <c r="N3" t="s">
        <v>1121</v>
      </c>
      <c r="R3" t="str">
        <f t="shared" si="0"/>
        <v>.theme-dark2{--col-background-1:#1a237e;--col-background-0:#534bae;--col-border-0:#000051;--col-background-3:#004d40;--col-background-2:#39796b;--col-border-1:#00251a;--col-text-0:#ffffff;--col-text-1:#ffffff;--col-dis-back:#7f0000;--col-dis-fore:#b71c1c;}</v>
      </c>
      <c r="S3" t="str">
        <f t="shared" si="1"/>
        <v>"dark2":"dark"</v>
      </c>
      <c r="T3" t="str">
        <f>IF(ISBLANK($A3),"","""theme-"&amp;$A3&amp;""":"""&amp;M3&amp;""""&amp;IF(ISBLANK($A8),"",","))</f>
        <v>"theme-dark2":"Dark theme 2",</v>
      </c>
      <c r="U3" t="str">
        <f>IF(ISBLANK($A3),"","""theme-"&amp;$A3&amp;""":"""&amp;N3&amp;""""&amp;IF(ISBLANK($A8),"",","))</f>
        <v>"theme-dark2":"Tema oscuro 2",</v>
      </c>
    </row>
    <row r="4" spans="1:21" x14ac:dyDescent="0.3">
      <c r="A4" t="s">
        <v>1107</v>
      </c>
      <c r="B4" t="s">
        <v>1079</v>
      </c>
      <c r="C4" t="s">
        <v>1078</v>
      </c>
      <c r="D4" t="s">
        <v>1082</v>
      </c>
      <c r="E4" t="s">
        <v>1081</v>
      </c>
      <c r="F4" t="s">
        <v>1080</v>
      </c>
      <c r="G4" t="s">
        <v>1083</v>
      </c>
      <c r="H4" t="s">
        <v>724</v>
      </c>
      <c r="I4" t="s">
        <v>724</v>
      </c>
      <c r="J4" t="s">
        <v>1061</v>
      </c>
      <c r="K4" t="s">
        <v>1060</v>
      </c>
      <c r="L4" t="s">
        <v>918</v>
      </c>
      <c r="M4" t="s">
        <v>1100</v>
      </c>
      <c r="N4" t="s">
        <v>1122</v>
      </c>
      <c r="R4" t="str">
        <f t="shared" si="0"/>
        <v>.theme-dark3{--col-background-1:#7b1fa2;--col-background-0:#ae52d4;--col-border-0:#4a0072;--col-background-3:#4527a0;--col-background-2:#7953d2;--col-border-1:#000070;--col-text-0:#ffffff;--col-text-1:#ffffff;--col-dis-back:#7f0000;--col-dis-fore:#b71c1c;}</v>
      </c>
      <c r="S4" t="str">
        <f t="shared" si="1"/>
        <v>"dark3":"dark"</v>
      </c>
      <c r="T4" t="str">
        <f>IF(ISBLANK($A4),"","""theme-"&amp;$A4&amp;""":"""&amp;M4&amp;""""&amp;IF(ISBLANK($A10),"",","))</f>
        <v>"theme-dark3":"Dark theme 3",</v>
      </c>
      <c r="U4" t="str">
        <f>IF(ISBLANK($A4),"","""theme-"&amp;$A4&amp;""":"""&amp;N4&amp;""""&amp;IF(ISBLANK($A10),"",","))</f>
        <v>"theme-dark3":"Tema oscuro 3",</v>
      </c>
    </row>
    <row r="5" spans="1:21" x14ac:dyDescent="0.3">
      <c r="A5" t="s">
        <v>1108</v>
      </c>
      <c r="B5" t="s">
        <v>1091</v>
      </c>
      <c r="C5" t="s">
        <v>1090</v>
      </c>
      <c r="D5" t="s">
        <v>1094</v>
      </c>
      <c r="E5" t="s">
        <v>1093</v>
      </c>
      <c r="F5" t="s">
        <v>1092</v>
      </c>
      <c r="G5" t="s">
        <v>1095</v>
      </c>
      <c r="H5" t="s">
        <v>1045</v>
      </c>
      <c r="I5" t="s">
        <v>724</v>
      </c>
      <c r="J5" t="s">
        <v>1052</v>
      </c>
      <c r="K5" t="s">
        <v>1053</v>
      </c>
      <c r="L5" t="s">
        <v>918</v>
      </c>
      <c r="M5" t="s">
        <v>1101</v>
      </c>
      <c r="N5" t="s">
        <v>1123</v>
      </c>
      <c r="R5" t="str">
        <f t="shared" si="0"/>
        <v>.theme-dark4{--col-background-1:#0097a7;--col-background-0:#56c8d8;--col-border-0:#006978;--col-background-3:#0277bd;--col-background-2:#58a5f0;--col-border-1:#004c8c;--col-text-0:#000000;--col-text-1:#ffffff;--col-dis-back:#dc8665;--col-dis-fore:#cd7672;}</v>
      </c>
      <c r="S5" t="str">
        <f t="shared" si="1"/>
        <v>"dark4":"dark"</v>
      </c>
      <c r="T5" t="str">
        <f>IF(ISBLANK($A5),"","""theme-"&amp;$A5&amp;""":"""&amp;M5&amp;""""&amp;IF(ISBLANK($A6),"",","))</f>
        <v>"theme-dark4":"Dark theme 4",</v>
      </c>
      <c r="U5" t="str">
        <f>IF(ISBLANK($A5),"","""theme-"&amp;$A5&amp;""":"""&amp;N5&amp;""""&amp;IF(ISBLANK($A6),"",","))</f>
        <v>"theme-dark4":"Tema oscuro 4",</v>
      </c>
    </row>
    <row r="6" spans="1:21" x14ac:dyDescent="0.3">
      <c r="A6" t="s">
        <v>1109</v>
      </c>
      <c r="B6" t="s">
        <v>1097</v>
      </c>
      <c r="C6" t="s">
        <v>1096</v>
      </c>
      <c r="D6" t="s">
        <v>1058</v>
      </c>
      <c r="E6" t="s">
        <v>1057</v>
      </c>
      <c r="F6" t="s">
        <v>1098</v>
      </c>
      <c r="G6" t="s">
        <v>1059</v>
      </c>
      <c r="H6" t="s">
        <v>724</v>
      </c>
      <c r="I6" t="s">
        <v>724</v>
      </c>
      <c r="J6" t="s">
        <v>1061</v>
      </c>
      <c r="K6" t="s">
        <v>1060</v>
      </c>
      <c r="L6" t="s">
        <v>918</v>
      </c>
      <c r="M6" t="s">
        <v>1105</v>
      </c>
      <c r="N6" t="s">
        <v>1124</v>
      </c>
      <c r="R6" t="str">
        <f t="shared" si="0"/>
        <v>.theme-dark5{--col-background-1:#2e7d32;--col-background-0:#60ad5e;--col-border-0:#005005;--col-background-3:#004d40;--col-background-2:#39796b;--col-border-1:#00251a;--col-text-0:#ffffff;--col-text-1:#ffffff;--col-dis-back:#7f0000;--col-dis-fore:#b71c1c;}</v>
      </c>
      <c r="S6" t="str">
        <f t="shared" si="1"/>
        <v>"dark5":"dark"</v>
      </c>
      <c r="T6" t="str">
        <f>IF(ISBLANK($A6),"","""theme-"&amp;$A6&amp;""":"""&amp;M6&amp;""""&amp;IF(ISBLANK(#REF!),"",","))</f>
        <v>"theme-dark5":"Dark theme 5",</v>
      </c>
      <c r="U6" t="str">
        <f>IF(ISBLANK($A6),"","""theme-"&amp;$A6&amp;""":"""&amp;N6&amp;""""&amp;IF(ISBLANK(#REF!),"",","))</f>
        <v>"theme-dark5":"Tema oscuro 5",</v>
      </c>
    </row>
    <row r="7" spans="1:21" x14ac:dyDescent="0.3">
      <c r="A7" t="s">
        <v>921</v>
      </c>
      <c r="B7" t="s">
        <v>724</v>
      </c>
      <c r="C7" t="s">
        <v>1784</v>
      </c>
      <c r="D7" t="s">
        <v>1785</v>
      </c>
      <c r="E7" t="s">
        <v>1790</v>
      </c>
      <c r="F7" t="s">
        <v>1786</v>
      </c>
      <c r="G7" t="s">
        <v>1786</v>
      </c>
      <c r="H7" t="s">
        <v>1787</v>
      </c>
      <c r="I7" t="s">
        <v>1791</v>
      </c>
      <c r="J7" t="s">
        <v>1052</v>
      </c>
      <c r="K7" t="s">
        <v>1053</v>
      </c>
      <c r="L7" t="s">
        <v>921</v>
      </c>
      <c r="M7" t="s">
        <v>1154</v>
      </c>
      <c r="N7" t="s">
        <v>1152</v>
      </c>
      <c r="R7" t="str">
        <f t="shared" si="0"/>
        <v>.theme-light{--col-background-1:#f6f6ff;--col-background-0:#ffffff;--col-border-0:#a0a0ff;--col-background-3:#e3e3ff;--col-background-2:#ececff;--col-border-1:#a0a0ff;--col-text-0:#101019;--col-text-1:#7070b3;--col-dis-back:#dc8665;--col-dis-fore:#cd7672;}</v>
      </c>
      <c r="S7" t="str">
        <f t="shared" si="1"/>
        <v>"light":"light"</v>
      </c>
      <c r="T7" t="str">
        <f>IF(ISBLANK($A7),"","""theme-"&amp;$A7&amp;""":"""&amp;M7&amp;""""&amp;IF(ISBLANK(#REF!),"",","))</f>
        <v>"theme-light":"Light theme 1 (default)",</v>
      </c>
      <c r="U7" t="str">
        <f>IF(ISBLANK($A7),"","""theme-"&amp;$A7&amp;""":"""&amp;N7&amp;""""&amp;IF(ISBLANK(#REF!),"",","))</f>
        <v>"theme-light":"Tema ligero 1 (predeterminado)",</v>
      </c>
    </row>
    <row r="8" spans="1:21" x14ac:dyDescent="0.3">
      <c r="A8" t="s">
        <v>1110</v>
      </c>
      <c r="B8" t="s">
        <v>724</v>
      </c>
      <c r="C8" t="s">
        <v>1062</v>
      </c>
      <c r="D8" t="s">
        <v>724</v>
      </c>
      <c r="E8" t="s">
        <v>1064</v>
      </c>
      <c r="F8" t="s">
        <v>1063</v>
      </c>
      <c r="G8" t="s">
        <v>1065</v>
      </c>
      <c r="H8" t="s">
        <v>1045</v>
      </c>
      <c r="I8" t="s">
        <v>1045</v>
      </c>
      <c r="J8" t="s">
        <v>1052</v>
      </c>
      <c r="K8" t="s">
        <v>1053</v>
      </c>
      <c r="L8" t="s">
        <v>921</v>
      </c>
      <c r="M8" t="s">
        <v>1102</v>
      </c>
      <c r="N8" t="s">
        <v>1125</v>
      </c>
      <c r="R8" t="str">
        <f t="shared" si="0"/>
        <v>.theme-light2{--col-background-1:#f5f5f5;--col-background-0:#ffffff;--col-border-0:#c2c2c2;--col-background-3:#cfd8dc;--col-background-2:#ffffff;--col-border-1:#9ea7aa;--col-text-0:#000000;--col-text-1:#000000;--col-dis-back:#dc8665;--col-dis-fore:#cd7672;}</v>
      </c>
      <c r="S8" t="str">
        <f t="shared" si="1"/>
        <v>"light2":"light"</v>
      </c>
      <c r="T8" t="str">
        <f t="shared" ref="T8:T46" si="2">IF(ISBLANK($A8),"","""theme-"&amp;$A8&amp;""":"""&amp;M8&amp;""""&amp;IF(ISBLANK($A9),"",","))</f>
        <v>"theme-light2":"Light theme 2",</v>
      </c>
      <c r="U8" t="str">
        <f t="shared" ref="U8:U46" si="3">IF(ISBLANK($A8),"","""theme-"&amp;$A8&amp;""":"""&amp;N8&amp;""""&amp;IF(ISBLANK($A9),"",","))</f>
        <v>"theme-light2":"Tema ligero 2",</v>
      </c>
    </row>
    <row r="9" spans="1:21" x14ac:dyDescent="0.3">
      <c r="A9" t="s">
        <v>1111</v>
      </c>
      <c r="B9" t="s">
        <v>1073</v>
      </c>
      <c r="C9" t="s">
        <v>1072</v>
      </c>
      <c r="D9" t="s">
        <v>1076</v>
      </c>
      <c r="E9" t="s">
        <v>1075</v>
      </c>
      <c r="F9" t="s">
        <v>1074</v>
      </c>
      <c r="G9" t="s">
        <v>1077</v>
      </c>
      <c r="H9" t="s">
        <v>1045</v>
      </c>
      <c r="I9" t="s">
        <v>1045</v>
      </c>
      <c r="J9" t="s">
        <v>1052</v>
      </c>
      <c r="K9" t="s">
        <v>1053</v>
      </c>
      <c r="L9" t="s">
        <v>921</v>
      </c>
      <c r="M9" t="s">
        <v>1103</v>
      </c>
      <c r="N9" t="s">
        <v>1126</v>
      </c>
      <c r="R9" t="str">
        <f t="shared" si="0"/>
        <v>.theme-light3{--col-background-1:#f8bbd0;--col-background-0:#ffeeff;--col-border-0:#c48b9f;--col-background-3:#ef9a9a;--col-background-2:#ffcccb;--col-border-1:#ba6b6c;--col-text-0:#000000;--col-text-1:#000000;--col-dis-back:#dc8665;--col-dis-fore:#cd7672;}</v>
      </c>
      <c r="S9" t="str">
        <f t="shared" si="1"/>
        <v>"light3":"light"</v>
      </c>
      <c r="T9" t="str">
        <f>IF(ISBLANK($A9),"","""theme-"&amp;$A9&amp;""":"""&amp;M9&amp;""""&amp;IF(ISBLANK($A4),"",","))</f>
        <v>"theme-light3":"Light theme 3",</v>
      </c>
      <c r="U9" t="str">
        <f>IF(ISBLANK($A9),"","""theme-"&amp;$A9&amp;""":"""&amp;N9&amp;""""&amp;IF(ISBLANK($A4),"",","))</f>
        <v>"theme-light3":"Tema ligero 3",</v>
      </c>
    </row>
    <row r="10" spans="1:21" x14ac:dyDescent="0.3">
      <c r="A10" t="s">
        <v>1112</v>
      </c>
      <c r="B10" t="s">
        <v>1085</v>
      </c>
      <c r="C10" t="s">
        <v>1084</v>
      </c>
      <c r="D10" t="s">
        <v>1088</v>
      </c>
      <c r="E10" t="s">
        <v>1087</v>
      </c>
      <c r="F10" t="s">
        <v>1086</v>
      </c>
      <c r="G10" t="s">
        <v>1089</v>
      </c>
      <c r="H10" t="s">
        <v>1045</v>
      </c>
      <c r="I10" t="s">
        <v>1045</v>
      </c>
      <c r="J10" t="s">
        <v>1052</v>
      </c>
      <c r="K10" t="s">
        <v>1053</v>
      </c>
      <c r="L10" t="s">
        <v>921</v>
      </c>
      <c r="M10" t="s">
        <v>1104</v>
      </c>
      <c r="N10" t="s">
        <v>1127</v>
      </c>
      <c r="R10" t="str">
        <f t="shared" si="0"/>
        <v>.theme-light4{--col-background-1:#bbdefb;--col-background-0:#eeffff;--col-border-0:#8aacc8;--col-background-3:#9fa8da;--col-background-2:#d1d9ff;--col-border-1:#6f79a8;--col-text-0:#000000;--col-text-1:#000000;--col-dis-back:#dc8665;--col-dis-fore:#cd7672;}</v>
      </c>
      <c r="S10" t="str">
        <f t="shared" si="1"/>
        <v>"light4":"light"</v>
      </c>
      <c r="T10" t="str">
        <f>IF(ISBLANK($A10),"","""theme-"&amp;$A10&amp;""":"""&amp;M10&amp;""""&amp;IF(ISBLANK($A5),"",","))</f>
        <v>"theme-light4":"Light theme 4",</v>
      </c>
      <c r="U10" t="str">
        <f>IF(ISBLANK($A10),"","""theme-"&amp;$A10&amp;""":"""&amp;N10&amp;""""&amp;IF(ISBLANK($A5),"",","))</f>
        <v>"theme-light4":"Tema ligero 4",</v>
      </c>
    </row>
    <row r="11" spans="1:21" x14ac:dyDescent="0.3">
      <c r="A11" t="s">
        <v>1113</v>
      </c>
      <c r="B11" t="s">
        <v>1115</v>
      </c>
      <c r="C11" t="s">
        <v>1114</v>
      </c>
      <c r="D11" t="s">
        <v>1118</v>
      </c>
      <c r="E11" t="s">
        <v>1117</v>
      </c>
      <c r="F11" t="s">
        <v>1116</v>
      </c>
      <c r="G11" t="s">
        <v>1119</v>
      </c>
      <c r="H11" t="s">
        <v>1045</v>
      </c>
      <c r="I11" t="s">
        <v>1045</v>
      </c>
      <c r="J11" t="s">
        <v>1052</v>
      </c>
      <c r="K11" t="s">
        <v>1053</v>
      </c>
      <c r="L11" t="s">
        <v>921</v>
      </c>
      <c r="M11" t="s">
        <v>1120</v>
      </c>
      <c r="N11" t="s">
        <v>1128</v>
      </c>
      <c r="R11" t="str">
        <f t="shared" si="0"/>
        <v>.theme-light5{--col-background-1:#80d8ff;--col-background-0:#b5ffff;--col-border-0:#49a7cc;--col-background-3:#b388ff;--col-background-2:#e7b9ff;--col-border-1:#805acb;--col-text-0:#000000;--col-text-1:#000000;--col-dis-back:#dc8665;--col-dis-fore:#cd7672;}</v>
      </c>
      <c r="S11" t="str">
        <f t="shared" si="1"/>
        <v>"light5":"light"</v>
      </c>
      <c r="T11" t="str">
        <f t="shared" si="2"/>
        <v>"theme-light5":"Light theme 5",</v>
      </c>
      <c r="U11" t="str">
        <f t="shared" si="3"/>
        <v>"theme-light5":"Tema ligero 5",</v>
      </c>
    </row>
    <row r="12" spans="1:21" x14ac:dyDescent="0.3">
      <c r="A12" t="s">
        <v>1783</v>
      </c>
      <c r="B12" t="s">
        <v>1047</v>
      </c>
      <c r="C12" t="s">
        <v>1046</v>
      </c>
      <c r="D12" t="s">
        <v>1050</v>
      </c>
      <c r="E12" t="s">
        <v>1049</v>
      </c>
      <c r="F12" t="s">
        <v>1048</v>
      </c>
      <c r="G12" t="s">
        <v>1051</v>
      </c>
      <c r="H12" t="s">
        <v>1045</v>
      </c>
      <c r="I12" t="s">
        <v>1045</v>
      </c>
      <c r="J12" t="s">
        <v>1052</v>
      </c>
      <c r="K12" t="s">
        <v>1053</v>
      </c>
      <c r="L12" t="s">
        <v>921</v>
      </c>
      <c r="M12" t="s">
        <v>1788</v>
      </c>
      <c r="N12" t="s">
        <v>1789</v>
      </c>
      <c r="R12" t="str">
        <f t="shared" si="0"/>
        <v>.theme-test{--col-background-1:#b3e5fc;--col-background-0:#e6ffff;--col-border-0:#82b3c9;--col-background-3:#e1bee7;--col-background-2:#fff1ff;--col-border-1:#af8eb5;--col-text-0:#000000;--col-text-1:#000000;--col-dis-back:#dc8665;--col-dis-fore:#cd7672;}</v>
      </c>
      <c r="S12" t="str">
        <f t="shared" si="1"/>
        <v>"test":"light"</v>
      </c>
      <c r="T12" t="str">
        <f t="shared" si="2"/>
        <v>"theme-test":"Light theme 6",</v>
      </c>
      <c r="U12" t="str">
        <f t="shared" si="3"/>
        <v>"theme-test":"Tema ligero 6",</v>
      </c>
    </row>
    <row r="13" spans="1:21" x14ac:dyDescent="0.3">
      <c r="A13" t="s">
        <v>1792</v>
      </c>
      <c r="B13" t="s">
        <v>1045</v>
      </c>
      <c r="C13" t="s">
        <v>1787</v>
      </c>
      <c r="D13" t="s">
        <v>1793</v>
      </c>
      <c r="E13" t="s">
        <v>1794</v>
      </c>
      <c r="F13" t="s">
        <v>1786</v>
      </c>
      <c r="G13" t="s">
        <v>1786</v>
      </c>
      <c r="H13" t="s">
        <v>1784</v>
      </c>
      <c r="I13" t="s">
        <v>1795</v>
      </c>
      <c r="J13" t="s">
        <v>1061</v>
      </c>
      <c r="K13" t="s">
        <v>1060</v>
      </c>
      <c r="L13" t="s">
        <v>918</v>
      </c>
      <c r="M13" t="s">
        <v>1105</v>
      </c>
      <c r="N13" t="s">
        <v>1124</v>
      </c>
      <c r="R13" t="str">
        <f t="shared" si="0"/>
        <v>.theme-darktest{--col-background-1:#101019;--col-background-0:#000000;--col-border-0:#a0a0ff;--col-background-3:#30304c;--col-background-2:#202033;--col-border-1:#a0a0ff;--col-text-0:#f6f6ff;--col-text-1:#bdbdff;--col-dis-back:#7f0000;--col-dis-fore:#b71c1c;}</v>
      </c>
      <c r="S13" t="str">
        <f t="shared" si="1"/>
        <v>"darktest":"dark"</v>
      </c>
      <c r="T13" t="str">
        <f t="shared" si="2"/>
        <v>"theme-darktest":"Dark theme 5"</v>
      </c>
      <c r="U13" t="str">
        <f t="shared" si="3"/>
        <v>"theme-darktest":"Tema oscuro 5"</v>
      </c>
    </row>
    <row r="14" spans="1:21" x14ac:dyDescent="0.3">
      <c r="R14" t="str">
        <f t="shared" si="0"/>
        <v/>
      </c>
      <c r="S14" t="str">
        <f t="shared" si="1"/>
        <v/>
      </c>
      <c r="T14" t="str">
        <f t="shared" si="2"/>
        <v/>
      </c>
      <c r="U14" t="str">
        <f t="shared" si="3"/>
        <v/>
      </c>
    </row>
    <row r="15" spans="1:21" x14ac:dyDescent="0.3">
      <c r="R15" t="str">
        <f t="shared" si="0"/>
        <v/>
      </c>
      <c r="S15" t="str">
        <f t="shared" si="1"/>
        <v/>
      </c>
      <c r="T15" t="str">
        <f t="shared" si="2"/>
        <v/>
      </c>
      <c r="U15" t="str">
        <f t="shared" si="3"/>
        <v/>
      </c>
    </row>
    <row r="16" spans="1:21" x14ac:dyDescent="0.3">
      <c r="R16" t="str">
        <f t="shared" si="0"/>
        <v/>
      </c>
      <c r="S16" t="str">
        <f t="shared" si="1"/>
        <v/>
      </c>
      <c r="T16" t="str">
        <f t="shared" si="2"/>
        <v/>
      </c>
      <c r="U16" t="str">
        <f t="shared" si="3"/>
        <v/>
      </c>
    </row>
    <row r="17" spans="18:21" x14ac:dyDescent="0.3">
      <c r="R17" t="str">
        <f t="shared" si="0"/>
        <v/>
      </c>
      <c r="S17" t="str">
        <f t="shared" si="1"/>
        <v/>
      </c>
      <c r="T17" t="str">
        <f t="shared" si="2"/>
        <v/>
      </c>
      <c r="U17" t="str">
        <f t="shared" si="3"/>
        <v/>
      </c>
    </row>
    <row r="18" spans="18:21" x14ac:dyDescent="0.3">
      <c r="R18" t="str">
        <f t="shared" si="0"/>
        <v/>
      </c>
      <c r="S18" t="str">
        <f t="shared" si="1"/>
        <v/>
      </c>
      <c r="T18" t="str">
        <f t="shared" si="2"/>
        <v/>
      </c>
      <c r="U18" t="str">
        <f t="shared" si="3"/>
        <v/>
      </c>
    </row>
    <row r="19" spans="18:21" x14ac:dyDescent="0.3">
      <c r="R19" t="str">
        <f t="shared" si="0"/>
        <v/>
      </c>
      <c r="S19" t="str">
        <f t="shared" si="1"/>
        <v/>
      </c>
      <c r="T19" t="str">
        <f t="shared" si="2"/>
        <v/>
      </c>
      <c r="U19" t="str">
        <f t="shared" si="3"/>
        <v/>
      </c>
    </row>
    <row r="20" spans="18:21" x14ac:dyDescent="0.3">
      <c r="R20" t="str">
        <f t="shared" si="0"/>
        <v/>
      </c>
      <c r="S20" t="str">
        <f t="shared" si="1"/>
        <v/>
      </c>
      <c r="T20" t="str">
        <f t="shared" si="2"/>
        <v/>
      </c>
      <c r="U20" t="str">
        <f t="shared" si="3"/>
        <v/>
      </c>
    </row>
    <row r="21" spans="18:21" x14ac:dyDescent="0.3">
      <c r="R21" t="str">
        <f t="shared" si="0"/>
        <v/>
      </c>
      <c r="S21" t="str">
        <f t="shared" si="1"/>
        <v/>
      </c>
      <c r="T21" t="str">
        <f t="shared" si="2"/>
        <v/>
      </c>
      <c r="U21" t="str">
        <f t="shared" si="3"/>
        <v/>
      </c>
    </row>
    <row r="22" spans="18:21" x14ac:dyDescent="0.3">
      <c r="R22" t="str">
        <f t="shared" si="0"/>
        <v/>
      </c>
      <c r="S22" t="str">
        <f t="shared" si="1"/>
        <v/>
      </c>
      <c r="T22" t="str">
        <f t="shared" si="2"/>
        <v/>
      </c>
      <c r="U22" t="str">
        <f t="shared" si="3"/>
        <v/>
      </c>
    </row>
    <row r="23" spans="18:21" x14ac:dyDescent="0.3">
      <c r="R23" t="str">
        <f t="shared" si="0"/>
        <v/>
      </c>
      <c r="S23" t="str">
        <f t="shared" si="1"/>
        <v/>
      </c>
      <c r="T23" t="str">
        <f t="shared" si="2"/>
        <v/>
      </c>
      <c r="U23" t="str">
        <f t="shared" si="3"/>
        <v/>
      </c>
    </row>
    <row r="24" spans="18:21" x14ac:dyDescent="0.3">
      <c r="R24" t="str">
        <f t="shared" si="0"/>
        <v/>
      </c>
      <c r="S24" t="str">
        <f t="shared" si="1"/>
        <v/>
      </c>
      <c r="T24" t="str">
        <f t="shared" si="2"/>
        <v/>
      </c>
      <c r="U24" t="str">
        <f t="shared" si="3"/>
        <v/>
      </c>
    </row>
    <row r="25" spans="18:21" x14ac:dyDescent="0.3">
      <c r="R25" t="str">
        <f t="shared" si="0"/>
        <v/>
      </c>
      <c r="S25" t="str">
        <f t="shared" si="1"/>
        <v/>
      </c>
      <c r="T25" t="str">
        <f t="shared" si="2"/>
        <v/>
      </c>
      <c r="U25" t="str">
        <f t="shared" si="3"/>
        <v/>
      </c>
    </row>
    <row r="26" spans="18:21" x14ac:dyDescent="0.3">
      <c r="R26" t="str">
        <f t="shared" si="0"/>
        <v/>
      </c>
      <c r="S26" t="str">
        <f t="shared" si="1"/>
        <v/>
      </c>
      <c r="T26" t="str">
        <f t="shared" si="2"/>
        <v/>
      </c>
      <c r="U26" t="str">
        <f t="shared" si="3"/>
        <v/>
      </c>
    </row>
    <row r="27" spans="18:21" x14ac:dyDescent="0.3">
      <c r="R27" t="str">
        <f t="shared" si="0"/>
        <v/>
      </c>
      <c r="S27" t="str">
        <f t="shared" si="1"/>
        <v/>
      </c>
      <c r="T27" t="str">
        <f t="shared" si="2"/>
        <v/>
      </c>
      <c r="U27" t="str">
        <f t="shared" si="3"/>
        <v/>
      </c>
    </row>
    <row r="28" spans="18:21" x14ac:dyDescent="0.3">
      <c r="R28" t="str">
        <f t="shared" si="0"/>
        <v/>
      </c>
      <c r="S28" t="str">
        <f t="shared" si="1"/>
        <v/>
      </c>
      <c r="T28" t="str">
        <f t="shared" si="2"/>
        <v/>
      </c>
      <c r="U28" t="str">
        <f t="shared" si="3"/>
        <v/>
      </c>
    </row>
    <row r="29" spans="18:21" x14ac:dyDescent="0.3">
      <c r="R29" t="str">
        <f t="shared" si="0"/>
        <v/>
      </c>
      <c r="S29" t="str">
        <f t="shared" si="1"/>
        <v/>
      </c>
      <c r="T29" t="str">
        <f t="shared" si="2"/>
        <v/>
      </c>
      <c r="U29" t="str">
        <f t="shared" si="3"/>
        <v/>
      </c>
    </row>
    <row r="30" spans="18:21" x14ac:dyDescent="0.3">
      <c r="R30" t="str">
        <f t="shared" si="0"/>
        <v/>
      </c>
      <c r="S30" t="str">
        <f t="shared" si="1"/>
        <v/>
      </c>
      <c r="T30" t="str">
        <f t="shared" si="2"/>
        <v/>
      </c>
      <c r="U30" t="str">
        <f t="shared" si="3"/>
        <v/>
      </c>
    </row>
    <row r="31" spans="18:21" x14ac:dyDescent="0.3">
      <c r="R31" t="str">
        <f t="shared" si="0"/>
        <v/>
      </c>
      <c r="S31" t="str">
        <f t="shared" si="1"/>
        <v/>
      </c>
      <c r="T31" t="str">
        <f t="shared" si="2"/>
        <v/>
      </c>
      <c r="U31" t="str">
        <f t="shared" si="3"/>
        <v/>
      </c>
    </row>
    <row r="32" spans="18:21" x14ac:dyDescent="0.3">
      <c r="R32" t="str">
        <f t="shared" si="0"/>
        <v/>
      </c>
      <c r="S32" t="str">
        <f t="shared" si="1"/>
        <v/>
      </c>
      <c r="T32" t="str">
        <f t="shared" si="2"/>
        <v/>
      </c>
      <c r="U32" t="str">
        <f t="shared" si="3"/>
        <v/>
      </c>
    </row>
    <row r="33" spans="18:21" x14ac:dyDescent="0.3">
      <c r="R33" t="str">
        <f t="shared" si="0"/>
        <v/>
      </c>
      <c r="S33" t="str">
        <f t="shared" si="1"/>
        <v/>
      </c>
      <c r="T33" t="str">
        <f t="shared" si="2"/>
        <v/>
      </c>
      <c r="U33" t="str">
        <f t="shared" si="3"/>
        <v/>
      </c>
    </row>
    <row r="34" spans="18:21" x14ac:dyDescent="0.3">
      <c r="R34" t="str">
        <f t="shared" si="0"/>
        <v/>
      </c>
      <c r="S34" t="str">
        <f t="shared" si="1"/>
        <v/>
      </c>
      <c r="T34" t="str">
        <f t="shared" si="2"/>
        <v/>
      </c>
      <c r="U34" t="str">
        <f t="shared" si="3"/>
        <v/>
      </c>
    </row>
    <row r="35" spans="18:21" x14ac:dyDescent="0.3">
      <c r="R35" t="str">
        <f t="shared" si="0"/>
        <v/>
      </c>
      <c r="S35" t="str">
        <f t="shared" si="1"/>
        <v/>
      </c>
      <c r="T35" t="str">
        <f t="shared" si="2"/>
        <v/>
      </c>
      <c r="U35" t="str">
        <f t="shared" si="3"/>
        <v/>
      </c>
    </row>
    <row r="36" spans="18:21" x14ac:dyDescent="0.3">
      <c r="R36" t="str">
        <f t="shared" si="0"/>
        <v/>
      </c>
      <c r="S36" t="str">
        <f t="shared" si="1"/>
        <v/>
      </c>
      <c r="T36" t="str">
        <f t="shared" si="2"/>
        <v/>
      </c>
      <c r="U36" t="str">
        <f t="shared" si="3"/>
        <v/>
      </c>
    </row>
    <row r="37" spans="18:21" x14ac:dyDescent="0.3">
      <c r="R37" t="str">
        <f t="shared" si="0"/>
        <v/>
      </c>
      <c r="S37" t="str">
        <f t="shared" si="1"/>
        <v/>
      </c>
      <c r="T37" t="str">
        <f t="shared" si="2"/>
        <v/>
      </c>
      <c r="U37" t="str">
        <f t="shared" si="3"/>
        <v/>
      </c>
    </row>
    <row r="38" spans="18:21" x14ac:dyDescent="0.3">
      <c r="R38" t="str">
        <f t="shared" si="0"/>
        <v/>
      </c>
      <c r="S38" t="str">
        <f t="shared" si="1"/>
        <v/>
      </c>
      <c r="T38" t="str">
        <f t="shared" si="2"/>
        <v/>
      </c>
      <c r="U38" t="str">
        <f t="shared" si="3"/>
        <v/>
      </c>
    </row>
    <row r="39" spans="18:21" x14ac:dyDescent="0.3">
      <c r="R39" t="str">
        <f t="shared" si="0"/>
        <v/>
      </c>
      <c r="S39" t="str">
        <f t="shared" si="1"/>
        <v/>
      </c>
      <c r="T39" t="str">
        <f t="shared" si="2"/>
        <v/>
      </c>
      <c r="U39" t="str">
        <f t="shared" si="3"/>
        <v/>
      </c>
    </row>
    <row r="40" spans="18:21" x14ac:dyDescent="0.3">
      <c r="R40" t="str">
        <f t="shared" si="0"/>
        <v/>
      </c>
      <c r="S40" t="str">
        <f t="shared" si="1"/>
        <v/>
      </c>
      <c r="T40" t="str">
        <f t="shared" si="2"/>
        <v/>
      </c>
      <c r="U40" t="str">
        <f t="shared" si="3"/>
        <v/>
      </c>
    </row>
    <row r="41" spans="18:21" x14ac:dyDescent="0.3">
      <c r="R41" t="str">
        <f t="shared" si="0"/>
        <v/>
      </c>
      <c r="S41" t="str">
        <f t="shared" si="1"/>
        <v/>
      </c>
      <c r="T41" t="str">
        <f t="shared" si="2"/>
        <v/>
      </c>
      <c r="U41" t="str">
        <f t="shared" si="3"/>
        <v/>
      </c>
    </row>
    <row r="42" spans="18:21" x14ac:dyDescent="0.3">
      <c r="R42" t="str">
        <f t="shared" si="0"/>
        <v/>
      </c>
      <c r="S42" t="str">
        <f t="shared" si="1"/>
        <v/>
      </c>
      <c r="T42" t="str">
        <f t="shared" si="2"/>
        <v/>
      </c>
      <c r="U42" t="str">
        <f t="shared" si="3"/>
        <v/>
      </c>
    </row>
    <row r="43" spans="18:21" x14ac:dyDescent="0.3">
      <c r="R43" t="str">
        <f t="shared" si="0"/>
        <v/>
      </c>
      <c r="S43" t="str">
        <f t="shared" si="1"/>
        <v/>
      </c>
      <c r="T43" t="str">
        <f t="shared" si="2"/>
        <v/>
      </c>
      <c r="U43" t="str">
        <f t="shared" si="3"/>
        <v/>
      </c>
    </row>
    <row r="44" spans="18:21" x14ac:dyDescent="0.3">
      <c r="R44" t="str">
        <f t="shared" si="0"/>
        <v/>
      </c>
      <c r="S44" t="str">
        <f t="shared" si="1"/>
        <v/>
      </c>
      <c r="T44" t="str">
        <f t="shared" si="2"/>
        <v/>
      </c>
      <c r="U44" t="str">
        <f t="shared" si="3"/>
        <v/>
      </c>
    </row>
    <row r="45" spans="18:21" x14ac:dyDescent="0.3">
      <c r="R45" t="str">
        <f t="shared" si="0"/>
        <v/>
      </c>
      <c r="S45" t="str">
        <f t="shared" si="1"/>
        <v/>
      </c>
      <c r="T45" t="str">
        <f t="shared" si="2"/>
        <v/>
      </c>
      <c r="U45" t="str">
        <f t="shared" si="3"/>
        <v/>
      </c>
    </row>
    <row r="46" spans="18:21" x14ac:dyDescent="0.3">
      <c r="R46" t="str">
        <f t="shared" si="0"/>
        <v/>
      </c>
      <c r="S46" t="str">
        <f t="shared" si="1"/>
        <v/>
      </c>
      <c r="T46" t="str">
        <f t="shared" si="2"/>
        <v/>
      </c>
      <c r="U46" t="str">
        <f t="shared" si="3"/>
        <v/>
      </c>
    </row>
  </sheetData>
  <phoneticPr fontId="1" type="noConversion"/>
  <conditionalFormatting sqref="A1:A1048576">
    <cfRule type="duplicateValues" dxfId="1" priority="1"/>
  </conditionalFormatting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41817C-0BFD-42DE-B32B-BE62A9B631B2}">
  <dimension ref="A1:E26"/>
  <sheetViews>
    <sheetView workbookViewId="0">
      <selection activeCell="C10" sqref="C10"/>
    </sheetView>
  </sheetViews>
  <sheetFormatPr defaultRowHeight="14.4" x14ac:dyDescent="0.3"/>
  <cols>
    <col min="1" max="1" width="42" customWidth="1"/>
    <col min="2" max="2" width="15.44140625" customWidth="1"/>
  </cols>
  <sheetData>
    <row r="1" spans="1:5" x14ac:dyDescent="0.3">
      <c r="A1" t="s">
        <v>92</v>
      </c>
      <c r="B1" t="s">
        <v>1763</v>
      </c>
      <c r="C1" t="s">
        <v>771</v>
      </c>
      <c r="D1" t="s">
        <v>1764</v>
      </c>
      <c r="E1" s="18" t="str">
        <f>_xlfn.CONCAT(D:D)</f>
        <v>const settings = {"lang":["en-us", "es-mx"].indexOf(possibleLang) &gt;= 0 ? possibleLang : "en-us","theme":"theme-light","gLinesMinor":false,"gLinesMajor":true,"gLinesMega":false,"showOutline":false,"gridSize":6,"guidesEnabled":true,"showLabels":true,"showExeOrder":false,"snapToGrid":true,"etyCap":false}</v>
      </c>
    </row>
    <row r="2" spans="1:5" x14ac:dyDescent="0.3">
      <c r="A2" t="s">
        <v>1768</v>
      </c>
      <c r="B2" t="s">
        <v>1765</v>
      </c>
      <c r="C2" t="s">
        <v>1766</v>
      </c>
      <c r="D2" t="str">
        <f>IF(ISBLANK(B2),"",""""&amp;B2&amp;""":"&amp;C2&amp;IF(ISBLANK(B3),"}",","))</f>
        <v>"lang":["en-us", "es-mx"].indexOf(possibleLang) &gt;= 0 ? possibleLang : "en-us",</v>
      </c>
    </row>
    <row r="3" spans="1:5" x14ac:dyDescent="0.3">
      <c r="A3" t="s">
        <v>1769</v>
      </c>
      <c r="B3" t="s">
        <v>686</v>
      </c>
      <c r="C3" t="s">
        <v>1779</v>
      </c>
      <c r="D3" t="str">
        <f t="shared" ref="D3:D26" si="0">IF(ISBLANK(B3),"",""""&amp;B3&amp;""":"&amp;C3&amp;IF(ISBLANK(B4),"}",","))</f>
        <v>"theme":"theme-light",</v>
      </c>
    </row>
    <row r="4" spans="1:5" x14ac:dyDescent="0.3">
      <c r="A4" t="s">
        <v>1770</v>
      </c>
      <c r="B4" t="s">
        <v>739</v>
      </c>
      <c r="C4" s="1" t="s">
        <v>39</v>
      </c>
      <c r="D4" t="str">
        <f t="shared" si="0"/>
        <v>"gLinesMinor":false,</v>
      </c>
    </row>
    <row r="5" spans="1:5" x14ac:dyDescent="0.3">
      <c r="A5" t="s">
        <v>1771</v>
      </c>
      <c r="B5" t="s">
        <v>740</v>
      </c>
      <c r="C5" s="1" t="s">
        <v>1767</v>
      </c>
      <c r="D5" t="str">
        <f t="shared" si="0"/>
        <v>"gLinesMajor":true,</v>
      </c>
    </row>
    <row r="6" spans="1:5" x14ac:dyDescent="0.3">
      <c r="A6" t="s">
        <v>1772</v>
      </c>
      <c r="B6" t="s">
        <v>741</v>
      </c>
      <c r="C6" s="1" t="s">
        <v>39</v>
      </c>
      <c r="D6" t="str">
        <f t="shared" si="0"/>
        <v>"gLinesMega":false,</v>
      </c>
    </row>
    <row r="7" spans="1:5" x14ac:dyDescent="0.3">
      <c r="A7" t="s">
        <v>1773</v>
      </c>
      <c r="B7" t="s">
        <v>753</v>
      </c>
      <c r="C7" s="1" t="s">
        <v>39</v>
      </c>
      <c r="D7" t="str">
        <f t="shared" si="0"/>
        <v>"showOutline":false,</v>
      </c>
    </row>
    <row r="8" spans="1:5" x14ac:dyDescent="0.3">
      <c r="A8" t="s">
        <v>1774</v>
      </c>
      <c r="B8" t="s">
        <v>752</v>
      </c>
      <c r="C8">
        <v>6</v>
      </c>
      <c r="D8" t="str">
        <f t="shared" si="0"/>
        <v>"gridSize":6,</v>
      </c>
    </row>
    <row r="9" spans="1:5" x14ac:dyDescent="0.3">
      <c r="A9" t="s">
        <v>1775</v>
      </c>
      <c r="B9" t="s">
        <v>759</v>
      </c>
      <c r="C9" s="1" t="s">
        <v>1767</v>
      </c>
      <c r="D9" t="str">
        <f t="shared" si="0"/>
        <v>"guidesEnabled":true,</v>
      </c>
    </row>
    <row r="10" spans="1:5" x14ac:dyDescent="0.3">
      <c r="A10" t="s">
        <v>1776</v>
      </c>
      <c r="B10" t="s">
        <v>857</v>
      </c>
      <c r="C10" s="1" t="s">
        <v>1767</v>
      </c>
      <c r="D10" t="str">
        <f t="shared" si="0"/>
        <v>"showLabels":true,</v>
      </c>
    </row>
    <row r="11" spans="1:5" x14ac:dyDescent="0.3">
      <c r="A11" t="s">
        <v>1777</v>
      </c>
      <c r="B11" t="s">
        <v>972</v>
      </c>
      <c r="C11" s="1" t="s">
        <v>39</v>
      </c>
      <c r="D11" t="str">
        <f t="shared" si="0"/>
        <v>"showExeOrder":false,</v>
      </c>
    </row>
    <row r="12" spans="1:5" x14ac:dyDescent="0.3">
      <c r="A12" t="s">
        <v>1030</v>
      </c>
      <c r="B12" t="s">
        <v>1029</v>
      </c>
      <c r="C12" s="1" t="s">
        <v>1767</v>
      </c>
      <c r="D12" t="str">
        <f t="shared" si="0"/>
        <v>"snapToGrid":true,</v>
      </c>
    </row>
    <row r="13" spans="1:5" x14ac:dyDescent="0.3">
      <c r="A13" t="s">
        <v>1778</v>
      </c>
      <c r="B13" t="s">
        <v>1782</v>
      </c>
      <c r="C13" s="1" t="s">
        <v>39</v>
      </c>
      <c r="D13" t="str">
        <f t="shared" si="0"/>
        <v>"etyCap":false}</v>
      </c>
    </row>
    <row r="14" spans="1:5" x14ac:dyDescent="0.3">
      <c r="D14" t="str">
        <f t="shared" si="0"/>
        <v/>
      </c>
    </row>
    <row r="15" spans="1:5" x14ac:dyDescent="0.3">
      <c r="D15" t="str">
        <f t="shared" si="0"/>
        <v/>
      </c>
    </row>
    <row r="16" spans="1:5" x14ac:dyDescent="0.3">
      <c r="D16" t="str">
        <f t="shared" si="0"/>
        <v/>
      </c>
    </row>
    <row r="17" spans="4:4" x14ac:dyDescent="0.3">
      <c r="D17" t="str">
        <f t="shared" si="0"/>
        <v/>
      </c>
    </row>
    <row r="18" spans="4:4" x14ac:dyDescent="0.3">
      <c r="D18" t="str">
        <f t="shared" si="0"/>
        <v/>
      </c>
    </row>
    <row r="19" spans="4:4" x14ac:dyDescent="0.3">
      <c r="D19" t="str">
        <f t="shared" si="0"/>
        <v/>
      </c>
    </row>
    <row r="20" spans="4:4" x14ac:dyDescent="0.3">
      <c r="D20" t="str">
        <f t="shared" si="0"/>
        <v/>
      </c>
    </row>
    <row r="21" spans="4:4" x14ac:dyDescent="0.3">
      <c r="D21" t="str">
        <f t="shared" si="0"/>
        <v/>
      </c>
    </row>
    <row r="22" spans="4:4" x14ac:dyDescent="0.3">
      <c r="D22" t="str">
        <f t="shared" si="0"/>
        <v/>
      </c>
    </row>
    <row r="23" spans="4:4" x14ac:dyDescent="0.3">
      <c r="D23" t="str">
        <f t="shared" si="0"/>
        <v/>
      </c>
    </row>
    <row r="24" spans="4:4" x14ac:dyDescent="0.3">
      <c r="D24" t="str">
        <f t="shared" si="0"/>
        <v/>
      </c>
    </row>
    <row r="25" spans="4:4" x14ac:dyDescent="0.3">
      <c r="D25" t="str">
        <f t="shared" si="0"/>
        <v/>
      </c>
    </row>
    <row r="26" spans="4:4" x14ac:dyDescent="0.3">
      <c r="D26" t="str">
        <f t="shared" si="0"/>
        <v/>
      </c>
    </row>
  </sheetData>
  <conditionalFormatting sqref="B1:B104857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tools</vt:lpstr>
      <vt:lpstr>functionsCategories</vt:lpstr>
      <vt:lpstr>toolBar</vt:lpstr>
      <vt:lpstr>umkBlockCategories</vt:lpstr>
      <vt:lpstr>umkBlockSummary</vt:lpstr>
      <vt:lpstr>IconText</vt:lpstr>
      <vt:lpstr>networkIcon</vt:lpstr>
      <vt:lpstr>blockTemplate</vt:lpstr>
      <vt:lpstr>GUIText</vt:lpstr>
      <vt:lpstr>menu</vt:lpstr>
      <vt:lpstr>kBoardShortsExtra</vt:lpstr>
      <vt:lpstr>javascriptKeycodes</vt:lpstr>
      <vt:lpstr>Category</vt:lpstr>
      <vt:lpstr>blocks</vt:lpstr>
      <vt:lpstr>int</vt:lpstr>
      <vt:lpstr>constsNvars</vt:lpstr>
      <vt:lpstr>themes</vt:lpstr>
      <vt:lpstr>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Venkata Satya Soujanya Gadi</dc:creator>
  <cp:lastModifiedBy>Venkata Satya Soujanya Gadi</cp:lastModifiedBy>
  <dcterms:created xsi:type="dcterms:W3CDTF">2019-07-11T03:45:52Z</dcterms:created>
  <dcterms:modified xsi:type="dcterms:W3CDTF">2020-11-12T06:00:23Z</dcterms:modified>
</cp:coreProperties>
</file>