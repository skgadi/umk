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2E5459FC-58F7-42C4-AFA9-45308EB9CA21}" xr6:coauthVersionLast="44" xr6:coauthVersionMax="44" xr10:uidLastSave="{00000000-0000-0000-0000-000000000000}"/>
  <bookViews>
    <workbookView xWindow="-108" yWindow="-108" windowWidth="23256" windowHeight="12576" firstSheet="6" activeTab="8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constsNvars" sheetId="16" r:id="rId15"/>
    <sheet name="themes" sheetId="17" r:id="rId16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63" i="10" l="1"/>
  <c r="L163" i="10"/>
  <c r="K164" i="10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K173" i="10"/>
  <c r="L173" i="10"/>
  <c r="K174" i="10"/>
  <c r="L174" i="10"/>
  <c r="I4" i="11"/>
  <c r="J4" i="11"/>
  <c r="K4" i="11"/>
  <c r="I5" i="11"/>
  <c r="J5" i="11"/>
  <c r="K5" i="11"/>
  <c r="I6" i="11"/>
  <c r="J6" i="11"/>
  <c r="K6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5" i="11"/>
  <c r="J25" i="11"/>
  <c r="K25" i="11"/>
  <c r="I26" i="11"/>
  <c r="J26" i="11"/>
  <c r="K26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52" i="11"/>
  <c r="J52" i="11"/>
  <c r="K52" i="11"/>
  <c r="I27" i="11"/>
  <c r="J27" i="11"/>
  <c r="K27" i="11"/>
  <c r="I28" i="11"/>
  <c r="J28" i="11"/>
  <c r="K28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N2" i="17" l="1"/>
  <c r="N3" i="17"/>
  <c r="N4" i="17"/>
  <c r="N5" i="17"/>
  <c r="N6" i="17"/>
  <c r="N7" i="17"/>
  <c r="N8" i="17"/>
  <c r="N9" i="17"/>
  <c r="N10" i="17"/>
  <c r="N11" i="17"/>
  <c r="N12" i="17"/>
  <c r="N13" i="17"/>
  <c r="N14" i="17"/>
  <c r="N15" i="17"/>
  <c r="N16" i="17"/>
  <c r="N17" i="17"/>
  <c r="N18" i="17"/>
  <c r="N19" i="17"/>
  <c r="N20" i="17"/>
  <c r="N21" i="17"/>
  <c r="N22" i="17"/>
  <c r="N23" i="17"/>
  <c r="N24" i="17"/>
  <c r="N25" i="17"/>
  <c r="N26" i="17"/>
  <c r="N27" i="17"/>
  <c r="N28" i="17"/>
  <c r="N29" i="17"/>
  <c r="N30" i="17"/>
  <c r="N31" i="17"/>
  <c r="N32" i="17"/>
  <c r="N33" i="17"/>
  <c r="N34" i="17"/>
  <c r="N35" i="17"/>
  <c r="N36" i="17"/>
  <c r="N37" i="17"/>
  <c r="N38" i="17"/>
  <c r="N39" i="17"/>
  <c r="N40" i="17"/>
  <c r="N41" i="17"/>
  <c r="N42" i="17"/>
  <c r="N43" i="17"/>
  <c r="N44" i="17"/>
  <c r="N45" i="17"/>
  <c r="N46" i="17"/>
  <c r="N47" i="17"/>
  <c r="N48" i="17"/>
  <c r="N49" i="17"/>
  <c r="N50" i="17"/>
  <c r="M3" i="17"/>
  <c r="M4" i="17"/>
  <c r="M5" i="17"/>
  <c r="M6" i="17"/>
  <c r="M7" i="17"/>
  <c r="M8" i="17"/>
  <c r="M9" i="17"/>
  <c r="M10" i="17"/>
  <c r="M11" i="17"/>
  <c r="M12" i="17"/>
  <c r="M13" i="17"/>
  <c r="M14" i="17"/>
  <c r="M15" i="17"/>
  <c r="M16" i="17"/>
  <c r="M17" i="17"/>
  <c r="M18" i="17"/>
  <c r="M19" i="17"/>
  <c r="M20" i="17"/>
  <c r="M21" i="17"/>
  <c r="M22" i="17"/>
  <c r="M23" i="17"/>
  <c r="M24" i="17"/>
  <c r="M25" i="17"/>
  <c r="M26" i="17"/>
  <c r="M27" i="17"/>
  <c r="M28" i="17"/>
  <c r="M29" i="17"/>
  <c r="M30" i="17"/>
  <c r="M31" i="17"/>
  <c r="M32" i="17"/>
  <c r="M33" i="17"/>
  <c r="M34" i="17"/>
  <c r="M35" i="17"/>
  <c r="M36" i="17"/>
  <c r="M37" i="17"/>
  <c r="M38" i="17"/>
  <c r="M39" i="17"/>
  <c r="M40" i="17"/>
  <c r="M41" i="17"/>
  <c r="M42" i="17"/>
  <c r="M43" i="17"/>
  <c r="M44" i="17"/>
  <c r="M45" i="17"/>
  <c r="M46" i="17"/>
  <c r="M47" i="17"/>
  <c r="M48" i="17"/>
  <c r="M49" i="17"/>
  <c r="M50" i="17"/>
  <c r="M2" i="17"/>
  <c r="J3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27" i="17"/>
  <c r="J28" i="17"/>
  <c r="J29" i="17"/>
  <c r="J30" i="17"/>
  <c r="J31" i="17"/>
  <c r="J32" i="17"/>
  <c r="J33" i="17"/>
  <c r="J34" i="17"/>
  <c r="J35" i="17"/>
  <c r="J36" i="17"/>
  <c r="J37" i="17"/>
  <c r="J38" i="17"/>
  <c r="J39" i="17"/>
  <c r="J40" i="17"/>
  <c r="J41" i="17"/>
  <c r="J42" i="17"/>
  <c r="J43" i="17"/>
  <c r="J44" i="17"/>
  <c r="J45" i="17"/>
  <c r="J46" i="17"/>
  <c r="J47" i="17"/>
  <c r="J48" i="17"/>
  <c r="J49" i="17"/>
  <c r="J50" i="17"/>
  <c r="J2" i="17"/>
  <c r="L2" i="17" l="1"/>
  <c r="L1" i="17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H1" i="16" l="1"/>
  <c r="E3" i="16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3" i="13" l="1"/>
  <c r="M4" i="13"/>
  <c r="M5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F3" i="13"/>
  <c r="E4" i="13"/>
  <c r="F4" i="13"/>
  <c r="E5" i="13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L1" i="13" l="1"/>
  <c r="J3" i="11"/>
  <c r="I3" i="11"/>
  <c r="L1" i="10" l="1"/>
  <c r="K1" i="10"/>
  <c r="J1" i="10" s="1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<sst xmlns="http://schemas.openxmlformats.org/spreadsheetml/2006/main" count="1874" uniqueCount="1126">
  <si>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</si>
  <si>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</si>
  <si>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</si>
  <si>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</si>
  <si>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</si>
  <si>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</si>
  <si>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</si>
  <si>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</si>
  <si>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</si>
  <si>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</si>
  <si>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</si>
  <si>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</si>
  <si>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</si>
  <si>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</si>
  <si>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</si>
  <si>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</si>
  <si>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</si>
  <si>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</si>
  <si>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</si>
  <si>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</si>
  <si>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</si>
  <si>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</si>
  <si>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</si>
  <si>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</si>
  <si>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</si>
  <si>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</si>
  <si>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</si>
  <si>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</si>
  <si>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</si>
  <si>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</si>
  <si>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</si>
  <si>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</si>
  <si>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</si>
  <si>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</si>
  <si>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</si>
  <si>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</si>
  <si>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</si>
  <si>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</si>
  <si>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</si>
  <si>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</si>
  <si>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</si>
  <si>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</si>
  <si>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</si>
  <si>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</si>
  <si>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</si>
  <si>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</si>
  <si>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</si>
  <si>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</si>
  <si>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</si>
  <si>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</si>
  <si>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</si>
  <si>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</si>
  <si>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</si>
  <si>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</si>
  <si>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</si>
  <si>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</si>
  <si>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</si>
  <si>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</si>
  <si>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</si>
  <si>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</si>
  <si>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</si>
  <si>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</si>
  <si>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</si>
  <si>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</si>
  <si>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</si>
  <si>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</si>
  <si>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</si>
  <si>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</si>
  <si>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</si>
  <si>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</si>
  <si>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</si>
  <si>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</si>
  <si>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</si>
  <si>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</si>
  <si>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</si>
  <si>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</si>
  <si>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</si>
  <si>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</si>
  <si>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</si>
  <si>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</si>
  <si>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</si>
  <si>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</si>
  <si>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</si>
  <si>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</si>
  <si>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</si>
  <si>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</si>
  <si>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</si>
  <si>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</si>
  <si>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</si>
  <si>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</si>
  <si>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</si>
  <si>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</si>
  <si>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</si>
  <si>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</si>
  <si>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</si>
  <si>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</si>
  <si>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</si>
  <si>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</si>
  <si>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</si>
  <si>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</si>
  <si>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</si>
  <si>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</si>
  <si>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</si>
  <si>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</si>
  <si>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</si>
  <si>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</si>
  <si>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</si>
  <si>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</si>
  <si>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</si>
  <si>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</si>
  <si>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</si>
  <si>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</si>
  <si>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</si>
  <si>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</si>
  <si>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</si>
  <si>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</si>
  <si>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</si>
  <si>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</si>
  <si>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</si>
  <si>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</si>
  <si>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</si>
  <si>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</si>
  <si>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</si>
  <si>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</si>
  <si>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</si>
  <si>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</si>
  <si>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</si>
  <si>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</si>
  <si>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</si>
  <si>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</si>
  <si>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</si>
  <si>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</si>
  <si>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</si>
  <si>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</si>
  <si>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</si>
  <si>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</si>
  <si>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</si>
  <si>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</si>
  <si>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</si>
  <si>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</si>
  <si>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</si>
  <si>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</si>
  <si>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</si>
  <si>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</si>
  <si>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</si>
  <si>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</si>
  <si>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</si>
  <si>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</si>
  <si>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</si>
  <si>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</si>
  <si>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</si>
  <si>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</si>
  <si>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</si>
  <si>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</si>
  <si>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</si>
  <si>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</si>
  <si>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</si>
  <si>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</si>
  <si>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</si>
  <si>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</si>
  <si>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</si>
  <si>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</si>
  <si>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</si>
  <si>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</si>
  <si>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</si>
  <si>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</si>
  <si>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</si>
  <si>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</si>
  <si>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</si>
  <si>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</si>
  <si>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</si>
  <si>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</si>
  <si>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</si>
  <si>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</si>
  <si>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</si>
  <si>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</si>
  <si>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</si>
  <si>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</si>
  <si>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</si>
  <si>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</si>
  <si>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</si>
  <si>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</si>
  <si>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</si>
  <si>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</si>
  <si>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</si>
  <si>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</si>
  <si>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</si>
  <si>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</si>
  <si>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</si>
  <si>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</si>
  <si>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</si>
  <si>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</si>
  <si>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</si>
  <si>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</si>
  <si>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</si>
  <si>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</si>
  <si>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</si>
  <si>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</si>
  <si>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</si>
  <si>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</si>
  <si>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</si>
  <si>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</si>
  <si>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</si>
  <si>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</si>
  <si>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</si>
  <si>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</si>
  <si>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</si>
  <si>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</si>
  <si>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</si>
  <si>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</si>
  <si>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</si>
  <si>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</si>
  <si>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</si>
  <si>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</si>
  <si>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</si>
  <si>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</si>
  <si>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</si>
  <si>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</si>
  <si>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</si>
  <si>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</si>
  <si>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</si>
  <si>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</si>
  <si>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</si>
  <si>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</si>
  <si>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</si>
  <si>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</si>
  <si>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</si>
  <si>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</si>
  <si>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</si>
  <si>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</si>
  <si>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</si>
  <si>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</si>
  <si>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</si>
  <si>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</si>
  <si>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</si>
  <si>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</si>
  <si>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</si>
  <si>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</si>
  <si>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</si>
  <si>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</si>
  <si>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</si>
  <si>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</si>
  <si>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</si>
  <si>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</si>
  <si>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</si>
  <si>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</si>
  <si>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</si>
  <si>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</si>
  <si>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</si>
  <si>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</si>
  <si>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</si>
  <si>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</si>
  <si>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</si>
  <si>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</si>
  <si>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</si>
  <si>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</si>
  <si>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</si>
  <si>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</si>
  <si>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</si>
  <si>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</si>
  <si>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</si>
  <si>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</si>
  <si>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</si>
  <si>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</si>
  <si>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</si>
  <si>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</si>
  <si>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</si>
  <si>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</si>
  <si>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</si>
  <si>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</si>
  <si>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</si>
  <si>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</si>
  <si>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</si>
  <si>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</si>
  <si>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</si>
  <si>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</si>
  <si>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</si>
  <si>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</si>
  <si>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</si>
  <si>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</si>
  <si>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</si>
  <si>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</si>
  <si>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</si>
  <si>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</si>
  <si>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</si>
  <si>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</si>
  <si>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</si>
  <si>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</si>
  <si>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</si>
  <si>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</si>
  <si>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</si>
  <si>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</si>
  <si>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</si>
  <si>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</si>
  <si>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</si>
  <si>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</si>
  <si>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</si>
  <si>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</si>
  <si>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</si>
  <si>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</si>
  <si>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</si>
  <si>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</si>
  <si>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</si>
  <si>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</si>
  <si>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</si>
  <si>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</si>
  <si>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</si>
  <si>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</si>
  <si>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</si>
  <si>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</si>
  <si>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</si>
  <si>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</si>
  <si>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</si>
  <si>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</si>
  <si>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</si>
  <si>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</si>
  <si>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</si>
  <si>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</si>
  <si>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</si>
  <si>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</si>
  <si>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</si>
  <si>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</si>
  <si>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</si>
  <si>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</si>
  <si>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</si>
  <si>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</si>
  <si>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</si>
  <si>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</si>
  <si>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</si>
  <si>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</si>
  <si>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</si>
  <si>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</si>
  <si>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</si>
  <si>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</si>
  <si>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</si>
  <si>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</si>
  <si>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</si>
  <si>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</si>
  <si>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</si>
  <si>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</si>
  <si>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</si>
  <si>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</si>
  <si>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</si>
  <si>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</si>
  <si>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</si>
  <si>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</si>
  <si>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</si>
  <si>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</si>
  <si>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</si>
  <si>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</si>
  <si>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</si>
  <si>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</si>
  <si>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</si>
  <si>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</si>
  <si>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</si>
  <si>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</si>
  <si>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</si>
  <si>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</si>
  <si>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</si>
  <si>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</si>
  <si>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</si>
  <si>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</si>
  <si>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</si>
  <si>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</si>
  <si>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</si>
  <si>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</si>
  <si>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</si>
  <si>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</si>
  <si>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</si>
  <si>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</si>
  <si>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</si>
  <si>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</si>
  <si>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</si>
  <si>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</si>
  <si>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</si>
  <si>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</si>
  <si>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</si>
  <si>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</si>
  <si>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</si>
  <si>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</si>
  <si>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</si>
  <si>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</si>
  <si>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</si>
  <si>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</si>
  <si>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</si>
  <si>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</si>
  <si>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</si>
  <si>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</si>
  <si>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</si>
  <si>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</si>
  <si>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</si>
  <si>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</si>
  <si>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</si>
  <si>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</si>
  <si>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</si>
  <si>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</si>
  <si>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</si>
  <si>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</si>
  <si>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</si>
  <si>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</si>
  <si>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</si>
  <si>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</si>
  <si>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</si>
  <si>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</si>
  <si>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</si>
  <si>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</si>
  <si>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</si>
  <si>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</si>
  <si>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</si>
  <si>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</si>
  <si>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</si>
  <si>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</si>
  <si>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</si>
  <si>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</si>
  <si>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</si>
  <si>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</si>
  <si>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</si>
  <si>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</si>
  <si>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</si>
  <si>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</si>
  <si>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</si>
  <si>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</si>
  <si>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</si>
  <si>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</si>
  <si>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</si>
  <si>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</si>
  <si>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</si>
  <si>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</si>
  <si>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</si>
  <si>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</si>
  <si>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</si>
  <si>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</si>
  <si>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</si>
  <si>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</si>
  <si>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</si>
  <si>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</si>
  <si>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</si>
  <si>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</si>
  <si>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</si>
  <si>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</si>
  <si>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</si>
  <si>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</si>
  <si>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</si>
  <si>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</si>
  <si>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</si>
  <si>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</si>
  <si>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</si>
  <si>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</si>
  <si>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</si>
  <si>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</si>
  <si>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</si>
  <si>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</si>
  <si>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</si>
  <si>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</si>
  <si>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</si>
  <si>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</si>
  <si>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</si>
  <si>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</si>
  <si>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</si>
  <si>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</si>
  <si>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</si>
  <si>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</si>
  <si>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</si>
  <si>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</si>
  <si>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</si>
  <si>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</si>
  <si>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</si>
  <si>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</si>
  <si>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</si>
  <si>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</si>
  <si>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</si>
  <si>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</si>
  <si>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</si>
  <si>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</si>
  <si>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</si>
  <si>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</si>
  <si>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</si>
  <si>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</si>
  <si>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</si>
  <si>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</si>
  <si>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Descargue el sistema Uyamak en su dispositivo local como un archivo</t>
  </si>
  <si>
    <t>Cargue un sistema Uyamak desde su dispositivo local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</si>
  <si>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</si>
  <si>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</si>
  <si>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</si>
  <si>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</si>
  <si>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</si>
  <si>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</si>
  <si>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</si>
  <si>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</si>
  <si>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</si>
  <si>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</si>
  <si>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</si>
  <si>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</si>
  <si>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</si>
  <si>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</si>
  <si>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</si>
  <si>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</si>
  <si>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</si>
  <si>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</si>
  <si>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</si>
  <si>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</si>
  <si>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</si>
  <si>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</si>
  <si>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</si>
  <si>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</si>
  <si>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</si>
  <si>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</si>
  <si>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</si>
  <si>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</si>
  <si>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</si>
  <si>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</si>
  <si>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</si>
  <si>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</si>
  <si>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</si>
  <si>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</si>
  <si>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</si>
  <si>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</si>
  <si>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</si>
  <si>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</si>
  <si>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</si>
  <si>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</si>
  <si>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</si>
  <si>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</si>
  <si>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</si>
  <si>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</si>
  <si>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</si>
  <si>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</si>
  <si>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</si>
  <si>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</si>
  <si>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</si>
  <si>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</si>
  <si>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</si>
  <si>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</si>
  <si>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</si>
  <si>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</si>
  <si>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</si>
  <si>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</si>
  <si>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</si>
  <si>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</si>
  <si>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</si>
  <si>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</si>
  <si>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</si>
  <si>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</si>
  <si>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</si>
  <si>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</si>
  <si>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</si>
  <si>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</si>
  <si>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</si>
  <si>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</si>
  <si>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</si>
  <si>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</si>
  <si>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</si>
  <si>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</si>
  <si>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</si>
  <si>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</si>
  <si>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</si>
  <si>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</si>
  <si>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</si>
  <si>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</si>
  <si>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</si>
  <si>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</si>
  <si>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</si>
  <si>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</si>
  <si>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</si>
  <si>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</si>
  <si>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</si>
  <si>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</si>
  <si>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</si>
  <si>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</si>
  <si>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</si>
  <si>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</si>
  <si>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</si>
  <si>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</si>
  <si>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</si>
  <si>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</si>
  <si>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</si>
  <si>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</si>
  <si>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</si>
  <si>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</si>
  <si>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</si>
  <si>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</si>
  <si>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</si>
  <si>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</si>
  <si>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</si>
  <si>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</si>
  <si>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</si>
  <si>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</si>
  <si>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</si>
  <si>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</si>
  <si>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</si>
  <si>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</si>
  <si>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</si>
  <si>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</si>
  <si>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</si>
  <si>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</si>
  <si>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</si>
  <si>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</si>
  <si>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</si>
  <si>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</si>
  <si>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</si>
  <si>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</si>
  <si>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</si>
  <si>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</si>
  <si>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</si>
  <si>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</si>
  <si>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</si>
  <si>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</si>
  <si>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</si>
  <si>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</si>
  <si>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</si>
  <si>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</si>
  <si>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</si>
  <si>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</si>
  <si>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</si>
  <si>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</si>
  <si>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</si>
  <si>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</si>
  <si>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</si>
  <si>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</si>
  <si>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</si>
  <si>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</si>
  <si>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</si>
  <si>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</si>
  <si>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</si>
  <si>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</si>
  <si>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</si>
  <si>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</si>
  <si>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</si>
  <si>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</si>
  <si>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</si>
  <si>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</si>
  <si>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</si>
  <si>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</si>
  <si>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</si>
  <si>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</si>
  <si>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</si>
  <si>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</si>
  <si>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</si>
  <si>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</si>
  <si>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</si>
  <si>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</si>
  <si>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</si>
  <si>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</si>
  <si>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</si>
  <si>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</si>
  <si>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</si>
  <si>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</si>
  <si>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</si>
  <si>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</si>
  <si>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</si>
  <si>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</si>
  <si>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</si>
  <si>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</si>
  <si>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</si>
  <si>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</si>
  <si>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</si>
  <si>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</si>
  <si>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</si>
  <si>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</si>
  <si>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</si>
  <si>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</si>
  <si>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</si>
  <si>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</si>
  <si>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</si>
  <si>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</si>
  <si>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</si>
  <si>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</si>
  <si>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</si>
  <si>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</si>
  <si>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</si>
  <si>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</si>
  <si>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</si>
  <si>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</si>
  <si>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</si>
  <si>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</si>
  <si>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</si>
  <si>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</si>
  <si>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</si>
  <si>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</si>
  <si>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</si>
  <si>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</si>
  <si>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</si>
  <si>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</si>
  <si>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</si>
  <si>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</si>
  <si>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</si>
  <si>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</si>
  <si>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</si>
  <si>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</si>
  <si>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</si>
  <si>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</si>
  <si>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</si>
  <si>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</si>
  <si>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</si>
  <si>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</si>
  <si>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</si>
  <si>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</si>
  <si>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</si>
  <si>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</si>
  <si>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</si>
  <si>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</si>
  <si>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</si>
  <si>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</si>
  <si>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</si>
  <si>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</si>
  <si>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</si>
  <si>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</si>
  <si>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</si>
  <si>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</si>
  <si>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</si>
  <si>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</si>
  <si>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</si>
  <si>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</si>
  <si>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</si>
  <si>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Se dan operaciones matematicas basicas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</si>
  <si>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</si>
  <si>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</si>
  <si>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</si>
  <si>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</si>
  <si>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</si>
  <si>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</si>
  <si>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</si>
  <si>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</si>
  <si>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</si>
  <si>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</si>
  <si>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</si>
  <si>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</si>
  <si>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</si>
  <si>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</si>
  <si>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</si>
  <si>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</si>
  <si>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</si>
  <si>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</si>
  <si>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</si>
  <si>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</si>
  <si>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</si>
  <si>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</si>
  <si>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</si>
  <si>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</si>
  <si>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</si>
  <si>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</si>
  <si>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</si>
  <si>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</si>
  <si>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categories:[{"id":"sources","icon":"","name":{"en-us":"Sources","es-mx":"Fuentes"},"desc":{"en-us":"Sources generate the signals to feed to the model.","es-mx":"Las fuentes generan las señales para alimentar al modelo."}},{"id":"sinks","icon":"","name":{"en-us":"Sinks","es-mx":"Fregaderos"},"desc":{"en-us":"Sinks output the information. They can be graphs or file download","es-mx":"Los sumideros generan la información. Pueden ser gráficos o descarga de archivos"}},{"id":"basics","icon":"","name":{"en-us":"Basic operations","es-mx":"Operaciones básicas"},"desc":{"en-us":"Basic mathematical operations are given","es-mx":"Se dan operaciones matematicas basicas"}},{"id":"logics","icon":"","name":{"en-us":"Logical operations","es-mx":"Operaciones lógicas"},"desc":{"en-us":"Logical operations are available in this section","es-mx":"Las operaciones lógicas están disponibles en esta sección."}},{"id":"continuous","icon":"","name":{"en-us":"Continuous time","es-mx":"Tiempo continuo"},"desc":{"en-us":"Dynamic operations are available here for continuous time operations","es-mx":"Las operaciones dinámicas están disponibles aquí para operaciones de tiempo continuo"}},{"id":"discrete","icon":"","name":{"en-us":"Discrete time","es-mx":"Tiempo discreto"},"desc":{"en-us":"Dynamic operations are available here for discrete time operations","es-mx":"Las operaciones dinámicas están disponibles aquí para operaciones de tiempo discreto"}},{"id":"hardware","icon":"","name":{"en-us":"Hardware tools","es-mx":"Herramientas de hardware"},"desc":{"en-us":"Hardware i/o blocks are available here","es-mx":"Los bloques de E / S de hardware están disponibles aquí"}}],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</si>
  <si>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</si>
  <si>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</si>
  <si>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</si>
  <si>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</si>
  <si>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</si>
  <si>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</si>
  <si>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</si>
  <si>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</si>
  <si>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</si>
  <si>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</si>
  <si>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</si>
  <si>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</si>
  <si>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</si>
  <si>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</si>
  <si>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</si>
  <si>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</si>
  <si>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</si>
  <si>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</si>
  <si>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</si>
  <si>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</si>
  <si>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</si>
  <si>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</si>
  <si>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</si>
  <si>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</si>
  <si>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</si>
  <si>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</si>
  <si>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</si>
  <si>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</si>
  <si>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</si>
  <si>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</si>
  <si>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</si>
  <si>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</si>
  <si>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</si>
  <si>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</si>
  <si>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</si>
  <si>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</si>
  <si>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</si>
  <si>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</si>
  <si>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</si>
  <si>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</si>
  <si>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</si>
  <si>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</si>
  <si>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</si>
  <si>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</si>
  <si>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</si>
  <si>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</si>
  <si>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Cannot connect to the same block</t>
  </si>
  <si>
    <t>Input cannot be connected to another input</t>
  </si>
  <si>
    <t>Output cannot be connected to another output</t>
  </si>
  <si>
    <t>Only one input can be connected per terminal</t>
  </si>
  <si>
    <t>No se puede conectar al mismo bloque.</t>
  </si>
  <si>
    <t>La entrada no se puede conectar a otra entrada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</si>
  <si>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</si>
  <si>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</si>
  <si>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</si>
  <si>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</si>
  <si>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</si>
  <si>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</si>
  <si>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</si>
  <si>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</si>
  <si>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</si>
  <si>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</si>
  <si>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</si>
  <si>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</si>
  <si>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</si>
  <si>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</si>
  <si>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</si>
  <si>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</si>
  <si>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</si>
  <si>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</si>
  <si>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</si>
  <si>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</si>
  <si>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</si>
  <si>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</si>
  <si>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</si>
  <si>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</si>
  <si>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</si>
  <si>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</si>
  <si>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</si>
  <si>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</si>
  <si>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</si>
  <si>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</si>
  <si>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</si>
  <si>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</si>
  <si>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</si>
  <si>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</si>
  <si>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</si>
  <si>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</si>
  <si>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</si>
  <si>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</si>
  <si>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</si>
  <si>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</si>
  <si>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</si>
  <si>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</si>
  <si>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</si>
  <si>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</si>
  <si>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</si>
  <si>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</si>
  <si>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</si>
  <si>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</si>
  <si>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</si>
  <si>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</si>
  <si>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</si>
  <si>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</si>
  <si>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</si>
  <si>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</si>
  <si>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</si>
  <si>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</si>
  <si>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</si>
  <si>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</si>
  <si>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</si>
  <si>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</si>
  <si>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</si>
  <si>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</si>
  <si>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</si>
  <si>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</si>
  <si>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</si>
  <si>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</si>
  <si>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</si>
  <si>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</si>
  <si>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</si>
  <si>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</si>
  <si>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</si>
  <si>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</si>
  <si>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</si>
  <si>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</si>
  <si>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</si>
  <si>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</si>
  <si>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</si>
  <si>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</si>
  <si>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</si>
  <si>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</si>
  <si>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</si>
  <si>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</si>
  <si>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</si>
  <si>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</si>
  <si>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</si>
  <si>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</si>
  <si>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</si>
  <si>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</si>
  <si>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</si>
  <si>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</si>
  <si>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</si>
  <si>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Show system constants</t>
  </si>
  <si>
    <t>Displays the system constants that you can use in your models</t>
  </si>
  <si>
    <t>Mostrar constantes del sistema</t>
  </si>
  <si>
    <t>Muestra las constantes del sistema que puede usar en sus modelos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</si>
  <si>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</si>
  <si>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</si>
  <si>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</si>
  <si>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</si>
  <si>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if (mainSystem.graph.isEnabled()) mainSystem.graph.removeCells()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</si>
  <si>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</si>
  <si>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</si>
  <si>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</si>
  <si>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</si>
  <si>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</si>
  <si>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</si>
  <si>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mainSystem.undoManager.redo()</t>
  </si>
  <si>
    <t>mainSystem.undoManager.undo()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</si>
  <si>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</si>
  <si>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</si>
  <si>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</si>
  <si>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</si>
  <si>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</si>
  <si>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</si>
  <si>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</si>
  <si>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</si>
  <si>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</si>
  <si>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</si>
  <si>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</si>
  <si>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</si>
  <si>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</si>
  <si>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</si>
  <si>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</si>
  <si>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</si>
  <si>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uyamakFileManager.saveLocal()</t>
  </si>
  <si>
    <t>uyamakFileManager.openLocal()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</si>
  <si>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</si>
  <si>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</si>
  <si>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</si>
  <si>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</si>
  <si>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</si>
  <si>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</si>
  <si>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</si>
  <si>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</si>
  <si>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</si>
  <si>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</si>
  <si>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</si>
  <si>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</si>
  <si>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</si>
  <si>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</si>
  <si>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</si>
  <si>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</si>
  <si>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</si>
  <si>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</si>
  <si>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</si>
  <si>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fas fa-file-import</t>
  </si>
  <si>
    <t>uyamakFileManager.openLocal(true)</t>
  </si>
  <si>
    <t>Imports model from a your local device to the existing model</t>
  </si>
  <si>
    <t>Import model</t>
  </si>
  <si>
    <t xml:space="preserve">Importe el modelo </t>
  </si>
  <si>
    <t>Importa el modelo de un dispositivo local al modelo existente</t>
  </si>
  <si>
    <t>class</t>
  </si>
  <si>
    <t>col-background-0</t>
  </si>
  <si>
    <t>col-background-1</t>
  </si>
  <si>
    <t>col-border</t>
  </si>
  <si>
    <t>col-text-0</t>
  </si>
  <si>
    <t>col-text-1</t>
  </si>
  <si>
    <t>#2a2a2b</t>
  </si>
  <si>
    <t>#454a4d</t>
  </si>
  <si>
    <t>#2f7571</t>
  </si>
  <si>
    <t>#5a9470</t>
  </si>
  <si>
    <t>#81b071</t>
  </si>
  <si>
    <t>Dark theme</t>
  </si>
  <si>
    <t>Tema oscuro</t>
  </si>
  <si>
    <t>#</t>
  </si>
  <si>
    <t>#FFebf9ff</t>
  </si>
  <si>
    <t>#FFacd6f6</t>
  </si>
  <si>
    <t>#FF52a5de</t>
  </si>
  <si>
    <t>#FF18284a</t>
  </si>
  <si>
    <t>#FF070810</t>
  </si>
  <si>
    <t>Cold regions</t>
  </si>
  <si>
    <t>Regiones frías</t>
  </si>
  <si>
    <t>#f3deba</t>
  </si>
  <si>
    <t>#e1674c</t>
  </si>
  <si>
    <t>#cb2233</t>
  </si>
  <si>
    <t>#941963</t>
  </si>
  <si>
    <t>#420e53</t>
  </si>
  <si>
    <t>dark</t>
  </si>
  <si>
    <t>CRIMSON</t>
  </si>
  <si>
    <t>Crimson</t>
  </si>
  <si>
    <t>#DC8CFF</t>
  </si>
  <si>
    <t>#FFDE99</t>
  </si>
  <si>
    <t>#9380FF</t>
  </si>
  <si>
    <t>#D7FF66</t>
  </si>
  <si>
    <t>#73A8FF</t>
  </si>
  <si>
    <t>Theme 1</t>
  </si>
  <si>
    <t>Tema 1</t>
  </si>
  <si>
    <t>#494080</t>
  </si>
  <si>
    <t>#D4CCFF</t>
  </si>
  <si>
    <t>#6A6680</t>
  </si>
  <si>
    <t>#7566CC</t>
  </si>
  <si>
    <t>theme1</t>
  </si>
  <si>
    <t>theme2</t>
  </si>
  <si>
    <t>Theme 2</t>
  </si>
  <si>
    <t>Tema 2</t>
  </si>
  <si>
    <t>#D473FF</t>
  </si>
  <si>
    <t>#9E68E8</t>
  </si>
  <si>
    <t>#6878E8</t>
  </si>
  <si>
    <t>theme3</t>
  </si>
  <si>
    <t>Theme 3</t>
  </si>
  <si>
    <t>Tema 3</t>
  </si>
  <si>
    <t>#8a00d4</t>
  </si>
  <si>
    <t>#d527b7</t>
  </si>
  <si>
    <t>#f782c2</t>
  </si>
  <si>
    <t>#f9c46b</t>
  </si>
  <si>
    <t>#e3e3e3</t>
  </si>
  <si>
    <t>#5200d4</t>
  </si>
  <si>
    <t>#390094</t>
  </si>
  <si>
    <t>#b800d4</t>
  </si>
  <si>
    <t>#1127d4</t>
  </si>
  <si>
    <t>#0c1c94</t>
  </si>
  <si>
    <t>theme4</t>
  </si>
  <si>
    <t>theme5</t>
  </si>
  <si>
    <t>Theme 4</t>
  </si>
  <si>
    <t>Tema 4</t>
  </si>
  <si>
    <t>Theme 5</t>
  </si>
  <si>
    <t>Tema 5</t>
  </si>
  <si>
    <t>JS</t>
  </si>
  <si>
    <t>CSS</t>
  </si>
  <si>
    <t>#320fd4</t>
  </si>
  <si>
    <t>#230b94</t>
  </si>
  <si>
    <t>#d44100</t>
  </si>
  <si>
    <t>#942d00</t>
  </si>
  <si>
    <t>#93d400</t>
  </si>
  <si>
    <t>#051e3e</t>
  </si>
  <si>
    <t>#251e3e</t>
  </si>
  <si>
    <t>#451e3e</t>
  </si>
  <si>
    <t>#651e3e</t>
  </si>
  <si>
    <t>#851e3e</t>
  </si>
  <si>
    <t>#dec3c3</t>
  </si>
  <si>
    <t>#e7d3d3</t>
  </si>
  <si>
    <t>#f0e4e4</t>
  </si>
  <si>
    <t>#f9f4f4</t>
  </si>
  <si>
    <t>#4a4e4d</t>
  </si>
  <si>
    <t>#0e9aa7</t>
  </si>
  <si>
    <t>#3da4ab</t>
  </si>
  <si>
    <t>#f6cd61</t>
  </si>
  <si>
    <t>#fe8a71</t>
  </si>
  <si>
    <t>theme6</t>
  </si>
  <si>
    <t>theme7</t>
  </si>
  <si>
    <t>theme8</t>
  </si>
  <si>
    <t>theme9</t>
  </si>
  <si>
    <t>Theme 6</t>
  </si>
  <si>
    <t>Tema 6</t>
  </si>
  <si>
    <t>Theme 7</t>
  </si>
  <si>
    <t>Tema 7</t>
  </si>
  <si>
    <t>Theme 8</t>
  </si>
  <si>
    <t>Tema 8</t>
  </si>
  <si>
    <t>Theme 9</t>
  </si>
  <si>
    <t>Tema 9</t>
  </si>
  <si>
    <t>#ee4035</t>
  </si>
  <si>
    <t>#f37736</t>
  </si>
  <si>
    <t>#fdf498</t>
  </si>
  <si>
    <t>#7bc043</t>
  </si>
  <si>
    <t>#0392cf</t>
  </si>
  <si>
    <t>theme10</t>
  </si>
  <si>
    <t>Theme 10</t>
  </si>
  <si>
    <t>Tema 10</t>
  </si>
  <si>
    <t>light</t>
  </si>
  <si>
    <t>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</t>
  </si>
  <si>
    <t>umk_1586738484106</t>
  </si>
  <si>
    <t>graph display output salida grafica</t>
  </si>
  <si>
    <t>Scope</t>
  </si>
  <si>
    <t>Displays graph</t>
  </si>
  <si>
    <t>Scopio</t>
  </si>
  <si>
    <t>Muestra el gráfico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</si>
  <si>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</si>
  <si>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</si>
  <si>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</si>
  <si>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</si>
  <si>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</si>
  <si>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</si>
  <si>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</si>
  <si>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</si>
  <si>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</si>
  <si>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</si>
  <si>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</si>
  <si>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</si>
  <si>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</si>
  <si>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</si>
  <si>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</si>
  <si>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</si>
  <si>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</si>
  <si>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</si>
  <si>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</si>
  <si>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</si>
  <si>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</si>
  <si>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</si>
  <si>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</si>
  <si>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</si>
  <si>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</si>
  <si>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</si>
  <si>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</si>
  <si>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</si>
  <si>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</si>
  <si>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</si>
  <si>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</si>
  <si>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</si>
  <si>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</si>
  <si>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</si>
  <si>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</si>
  <si>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</si>
  <si>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</si>
  <si>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</si>
  <si>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</si>
  <si>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</si>
  <si>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</si>
  <si>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</si>
  <si>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</si>
  <si>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</si>
  <si>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</si>
  <si>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blocks:{"umk_1585601356516":{"icon":"&lt;line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matrices."}},"umk_1586108946421":{"icon":"&lt;text x='50' y='57' dominant-baseline='middle' text-anchor='middle' font-size='5em'&gt;C&lt;/text&gt;","bg":"#1595C8","fg":"#ffffff","width":50,"height":50,"keywords":"constant","category":["sources"],"name":{"en-us":"Constant","es-mx":"Constante"},"desc":{"en-us":"A constant of scalar, vector or a matrix","es-mx":"Una constante de escalar, vector o una matriz"}},"umk_1586901838454":{"icon":"&lt;text x='50' y='57' dominant-baseline='middle' text-anchor='middle' font-size='5em' stroke-width='4'&gt;#&lt;/text&gt;","bg":"#1595C8","fg":"#ffffff","width":50,"height":50,"keywords":"display","category":["sinks"],"name":{"en-us":"Display","es-mx":"Monitor"},"desc":{"en-us":"Displays the instantaneous result","es-mx":"Muestra el resultado instantáneo."}},"umk_1586738484106":{"icon":"&lt;g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&lt;/g&gt;","bg":"#1595C8","fg":"#ffffff","width":50,"height":50,"keywords":"graph display output salida grafica","category":["sinks"],"name":{"en-us":"Scope","es-mx":"Scopio"},"desc":{"en-us":"Displays graph","es-mx":"Muestra el gráfico"}}},</t>
  </si>
  <si>
    <t>aLoop</t>
  </si>
  <si>
    <t>showExeOrder</t>
  </si>
  <si>
    <t>Show execution order</t>
  </si>
  <si>
    <t>Mostrar orden de ejecución</t>
  </si>
  <si>
    <t>fas fa-clone fa-rotate-180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</si>
  <si>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Uyamak"},"prtBelow":true,"func":"uyamakFileManager.newModel()"},{"icon":"far fa-folder","kbShort":{"ctrl":true,"alt":false,"shift":true,"key":"l","keycode":"76","langCode":"key_l"},"text":{"en-us":"Cloud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nube"},"prtBelow":true,"func":"alert()"},{"icon":"fas fa-upload","kbShort":{"ctrl":true,"alt":false,"shift":false,"key":"o","keycode":"79","langCode":"key_o"},"text":{"en-us":"Load from local machine","es-mx":"Cargar desde máquina local"},"moreInfo":{"en-us":"Load a Uyamak system from your local device","es-mx":"Cargue un sistema Uyamak desde su dispositivo local"},"prtBelow":false,"func":"uyamakFileManager.openLocal()"},{"icon":"fas fa-download","kbShort":{"ctrl":true,"alt":false,"shift":false,"key":"s","keycode":"83","langCode":"key_s"},"text":{"en-us":"Save to local machine","es-mx":"Guardar en máquina local"},"moreInfo":{"en-us":"Download the Uyamak system to your local device as a file","es-mx":"Descargue el sistema Uyamak en su dispositivo local como un archivo"},"prtBelow":false,"func":"uyamakFileManager.saveLocal()"},{"icon":"fas fa-file-import","kbShort":{"ctrl":true,"alt":false,"shift":false,"key":"i","keycode":"73","langCode":"key_i"},"text":{"en-us":"Import model","es-mx":"Importe el modelo "},"moreInfo":{"en-us":"Imports model from a your local device to the existing model","es-mx":"Importa el modelo de un dispositivo local al modelo existente"},"prtBelow":true,"func":"uyamakFileManager.openLocal(true)"},{"icon":"fas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simulación"},"moreInfo":{"en-us":"Displays the simulation drawer where you can execute the Uyamak system","es-mx":"Muestra el cajón de simulación donde puede ejecutar el sistema Uyamak"},"prtBelow":false,"func":"alert()"},{"icon":"fas fa-equals","kbShort":{"ctrl":true,"alt":false,"shift":true,"key":"v","keycode":"86","langCode":"key_v"},"text":{"en-us":"Show system constants","es-mx":"Mostrar constantes del sistema"},"moreInfo":{"en-us":"Displays the system constants that you can use in your models","es-mx":"Muestra las constantes del sistema que puede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seleccionados"},"prtBelow":true,"func":"if (mainSystem.graph.isEnabled()) mainSystem.graph.removeCells()"},{"icon":"fas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fa-desktop","kbShort":{"ctrl":true,"alt":false,"shift":true,"key":"f","keycode":"70","langCode":"key_f"},"text":{"en-us":"Full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fa-ticket-alt","kbShort":{"ctrl":true,"alt":false,"shift":true,"key":"b","keycode":"66","langCode":"key_b"},"text":{"en-us":"Extend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</si>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</sst>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7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6</xdr:row>
          <xdr:rowOff>152400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5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6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174"/>
  <sheetViews>
    <sheetView tabSelected="1" topLeftCell="A140" workbookViewId="0">
      <selection activeCell="A168" sqref="A168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manager","constants":"Constants","variables":"Variables","var":"Variable","value":"Value","errSameBlkConn":"Cannot connect to the same block","errInpInpConn":"Input cannot be connected to another input","errOutOutConn":"Output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variables","constants":"Constantes","variables":"Variables","var":"Variable","value":"Valor","errSameBlkConn":"No se puede conectar al mismo bloque.","errInpInpConn":"La entrada no se puede conectar a otra entrada","errOutOutConn":"La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728</v>
      </c>
      <c r="B3" t="s">
        <v>730</v>
      </c>
      <c r="C3" t="s">
        <v>730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729</v>
      </c>
      <c r="B4" t="s">
        <v>731</v>
      </c>
      <c r="C4" t="s">
        <v>731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518</v>
      </c>
      <c r="B7" t="s">
        <v>613</v>
      </c>
      <c r="C7" t="s">
        <v>613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519</v>
      </c>
      <c r="B8" t="s">
        <v>614</v>
      </c>
      <c r="C8" t="s">
        <v>614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520</v>
      </c>
      <c r="B9" t="s">
        <v>615</v>
      </c>
      <c r="C9" t="s">
        <v>615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521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522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523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524</v>
      </c>
      <c r="B13" t="s">
        <v>616</v>
      </c>
      <c r="C13" t="s">
        <v>616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525</v>
      </c>
      <c r="B14" t="s">
        <v>637</v>
      </c>
      <c r="C14" t="s">
        <v>637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526</v>
      </c>
      <c r="B15" t="s">
        <v>617</v>
      </c>
      <c r="C15" t="s">
        <v>617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527</v>
      </c>
      <c r="B16" t="s">
        <v>636</v>
      </c>
      <c r="C16" t="s">
        <v>636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528</v>
      </c>
      <c r="B17" t="s">
        <v>638</v>
      </c>
      <c r="C17" t="s">
        <v>638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529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530</v>
      </c>
      <c r="B19" t="s">
        <v>618</v>
      </c>
      <c r="C19" t="s">
        <v>618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531</v>
      </c>
      <c r="B20" t="s">
        <v>639</v>
      </c>
      <c r="C20" t="s">
        <v>639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532</v>
      </c>
      <c r="B21" t="s">
        <v>640</v>
      </c>
      <c r="C21" t="s">
        <v>640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533</v>
      </c>
      <c r="B22" t="s">
        <v>641</v>
      </c>
      <c r="C22" t="s">
        <v>641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534</v>
      </c>
      <c r="B23" t="s">
        <v>642</v>
      </c>
      <c r="C23" t="s">
        <v>642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535</v>
      </c>
      <c r="B24" t="s">
        <v>619</v>
      </c>
      <c r="C24" t="s">
        <v>619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536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537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538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539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540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541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542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543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544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545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546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547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548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549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550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551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552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553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554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555</v>
      </c>
      <c r="B44" t="s">
        <v>620</v>
      </c>
      <c r="C44" t="s">
        <v>620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556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557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558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559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560</v>
      </c>
      <c r="B49" t="s">
        <v>621</v>
      </c>
      <c r="C49" t="s">
        <v>621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561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562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563</v>
      </c>
      <c r="B52" t="s">
        <v>622</v>
      </c>
      <c r="C52" t="s">
        <v>622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564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565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566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567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568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569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570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571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572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573</v>
      </c>
      <c r="B62" t="s">
        <v>672</v>
      </c>
      <c r="C62" t="s">
        <v>672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574</v>
      </c>
      <c r="B63" t="s">
        <v>673</v>
      </c>
      <c r="C63" t="s">
        <v>673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575</v>
      </c>
      <c r="B64" t="s">
        <v>623</v>
      </c>
      <c r="C64" t="s">
        <v>623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576</v>
      </c>
      <c r="B65" t="s">
        <v>643</v>
      </c>
      <c r="C65" t="s">
        <v>643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577</v>
      </c>
      <c r="B66" t="s">
        <v>644</v>
      </c>
      <c r="C66" t="s">
        <v>644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578</v>
      </c>
      <c r="B67" t="s">
        <v>645</v>
      </c>
      <c r="C67" t="s">
        <v>645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579</v>
      </c>
      <c r="B68" t="s">
        <v>646</v>
      </c>
      <c r="C68" t="s">
        <v>646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580</v>
      </c>
      <c r="B69" t="s">
        <v>647</v>
      </c>
      <c r="C69" t="s">
        <v>647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581</v>
      </c>
      <c r="B70" t="s">
        <v>648</v>
      </c>
      <c r="C70" t="s">
        <v>648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582</v>
      </c>
      <c r="B71" t="s">
        <v>649</v>
      </c>
      <c r="C71" t="s">
        <v>649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583</v>
      </c>
      <c r="B72" t="s">
        <v>650</v>
      </c>
      <c r="C72" t="s">
        <v>650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584</v>
      </c>
      <c r="B73" t="s">
        <v>651</v>
      </c>
      <c r="C73" t="s">
        <v>651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585</v>
      </c>
      <c r="B74" t="s">
        <v>652</v>
      </c>
      <c r="C74" t="s">
        <v>652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586</v>
      </c>
      <c r="B75" t="s">
        <v>667</v>
      </c>
      <c r="C75" t="s">
        <v>667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587</v>
      </c>
      <c r="B76" t="s">
        <v>668</v>
      </c>
      <c r="C76" t="s">
        <v>668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588</v>
      </c>
      <c r="B77" t="s">
        <v>669</v>
      </c>
      <c r="C77" t="s">
        <v>669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589</v>
      </c>
      <c r="B78" t="s">
        <v>670</v>
      </c>
      <c r="C78" t="s">
        <v>670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590</v>
      </c>
      <c r="B79" t="s">
        <v>671</v>
      </c>
      <c r="C79" t="s">
        <v>671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591</v>
      </c>
      <c r="B80" t="s">
        <v>624</v>
      </c>
      <c r="C80" t="s">
        <v>624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592</v>
      </c>
      <c r="B81" t="s">
        <v>625</v>
      </c>
      <c r="C81" t="s">
        <v>625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593</v>
      </c>
      <c r="B82" t="s">
        <v>626</v>
      </c>
      <c r="C82" t="s">
        <v>626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594</v>
      </c>
      <c r="B83" t="s">
        <v>627</v>
      </c>
      <c r="C83" t="s">
        <v>627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595</v>
      </c>
      <c r="B84" t="s">
        <v>628</v>
      </c>
      <c r="C84" t="s">
        <v>628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596</v>
      </c>
      <c r="B85" t="s">
        <v>629</v>
      </c>
      <c r="C85" t="s">
        <v>629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597</v>
      </c>
      <c r="B86" t="s">
        <v>630</v>
      </c>
      <c r="C86" t="s">
        <v>630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598</v>
      </c>
      <c r="B87" t="s">
        <v>631</v>
      </c>
      <c r="C87" t="s">
        <v>631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599</v>
      </c>
      <c r="B88" t="s">
        <v>632</v>
      </c>
      <c r="C88" t="s">
        <v>632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600</v>
      </c>
      <c r="B89" t="s">
        <v>633</v>
      </c>
      <c r="C89" t="s">
        <v>633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601</v>
      </c>
      <c r="B90" t="s">
        <v>634</v>
      </c>
      <c r="C90" t="s">
        <v>634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602</v>
      </c>
      <c r="B91" t="s">
        <v>635</v>
      </c>
      <c r="C91" t="s">
        <v>635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603</v>
      </c>
      <c r="B92" t="s">
        <v>665</v>
      </c>
      <c r="C92" t="s">
        <v>665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604</v>
      </c>
      <c r="B93" t="s">
        <v>666</v>
      </c>
      <c r="C93" t="s">
        <v>666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605</v>
      </c>
      <c r="B94" t="s">
        <v>654</v>
      </c>
      <c r="C94" t="s">
        <v>654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606</v>
      </c>
      <c r="B95" t="s">
        <v>655</v>
      </c>
      <c r="C95" t="s">
        <v>655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653</v>
      </c>
      <c r="B96" t="s">
        <v>656</v>
      </c>
      <c r="C96" t="s">
        <v>656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657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658</v>
      </c>
      <c r="B98" t="s">
        <v>659</v>
      </c>
      <c r="C98" t="s">
        <v>659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607</v>
      </c>
      <c r="B99" s="1" t="s">
        <v>660</v>
      </c>
      <c r="C99" s="1" t="s">
        <v>660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608</v>
      </c>
      <c r="B100" t="s">
        <v>661</v>
      </c>
      <c r="C100" t="s">
        <v>661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609</v>
      </c>
      <c r="B101" t="s">
        <v>662</v>
      </c>
      <c r="C101" t="s">
        <v>662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610</v>
      </c>
      <c r="B102" s="8" t="s">
        <v>674</v>
      </c>
      <c r="C102" s="8" t="s">
        <v>674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611</v>
      </c>
      <c r="B103" t="s">
        <v>663</v>
      </c>
      <c r="C103" t="s">
        <v>663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612</v>
      </c>
      <c r="B104" s="1" t="s">
        <v>664</v>
      </c>
      <c r="C104" s="1" t="s">
        <v>664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692</v>
      </c>
      <c r="B105" t="s">
        <v>693</v>
      </c>
      <c r="C105" t="s">
        <v>694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696</v>
      </c>
      <c r="B106" t="s">
        <v>695</v>
      </c>
      <c r="C106" t="s">
        <v>703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709</v>
      </c>
      <c r="B107" t="s">
        <v>697</v>
      </c>
      <c r="C107" t="s">
        <v>704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708</v>
      </c>
      <c r="B108" t="s">
        <v>698</v>
      </c>
      <c r="C108" t="s">
        <v>705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699</v>
      </c>
      <c r="B109" t="s">
        <v>700</v>
      </c>
      <c r="C109" t="s">
        <v>706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701</v>
      </c>
      <c r="C110" t="s">
        <v>707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702</v>
      </c>
      <c r="C111" t="s">
        <v>702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732</v>
      </c>
      <c r="B112" t="s">
        <v>733</v>
      </c>
      <c r="C112" t="s">
        <v>734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745</v>
      </c>
      <c r="B113" t="s">
        <v>746</v>
      </c>
      <c r="C113" t="s">
        <v>747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748</v>
      </c>
      <c r="B114" t="s">
        <v>749</v>
      </c>
      <c r="C114" t="s">
        <v>750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751</v>
      </c>
      <c r="B115" t="s">
        <v>761</v>
      </c>
      <c r="C115" t="s">
        <v>758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752</v>
      </c>
      <c r="B116" t="s">
        <v>757</v>
      </c>
      <c r="C116" t="s">
        <v>759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753</v>
      </c>
      <c r="B117" t="s">
        <v>755</v>
      </c>
      <c r="C117" t="s">
        <v>760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754</v>
      </c>
      <c r="B118" t="s">
        <v>756</v>
      </c>
      <c r="C118" t="s">
        <v>756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762</v>
      </c>
      <c r="B119" t="s">
        <v>763</v>
      </c>
      <c r="C119" t="s">
        <v>764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765</v>
      </c>
      <c r="B120" t="s">
        <v>767</v>
      </c>
      <c r="C120" t="s">
        <v>773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766</v>
      </c>
      <c r="B121" t="s">
        <v>768</v>
      </c>
      <c r="C121" t="s">
        <v>774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772</v>
      </c>
      <c r="B122" t="s">
        <v>769</v>
      </c>
      <c r="C122" t="s">
        <v>775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770</v>
      </c>
      <c r="B123" t="s">
        <v>771</v>
      </c>
      <c r="C123" t="s">
        <v>776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780</v>
      </c>
      <c r="B124" t="s">
        <v>778</v>
      </c>
      <c r="C124" t="s">
        <v>785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799</v>
      </c>
      <c r="B125" t="s">
        <v>801</v>
      </c>
      <c r="C125" t="s">
        <v>803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800</v>
      </c>
      <c r="B126" t="s">
        <v>802</v>
      </c>
      <c r="C126" t="s">
        <v>802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781</v>
      </c>
      <c r="B127" t="s">
        <v>783</v>
      </c>
      <c r="C127" t="s">
        <v>783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782</v>
      </c>
      <c r="B128" t="s">
        <v>784</v>
      </c>
      <c r="C128" t="s">
        <v>786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787</v>
      </c>
      <c r="B129" t="s">
        <v>791</v>
      </c>
      <c r="C129" t="s">
        <v>795</v>
      </c>
      <c r="K129" t="str">
        <f t="shared" si="4"/>
        <v>"errSameBlkConn":"Cannot connect to the same block",</v>
      </c>
      <c r="L129" t="str">
        <f t="shared" si="5"/>
        <v>"errSameBlkConn":"No se puede conectar al mismo bloque.",</v>
      </c>
    </row>
    <row r="130" spans="1:12" x14ac:dyDescent="0.3">
      <c r="A130" t="s">
        <v>789</v>
      </c>
      <c r="B130" t="s">
        <v>792</v>
      </c>
      <c r="C130" t="s">
        <v>796</v>
      </c>
      <c r="K130" t="str">
        <f t="shared" si="4"/>
        <v>"errInpInpConn":"Input cannot be connected to another input",</v>
      </c>
      <c r="L130" t="str">
        <f t="shared" si="5"/>
        <v>"errInpInpConn":"La entrada no se puede conectar a otra entrada",</v>
      </c>
    </row>
    <row r="131" spans="1:12" x14ac:dyDescent="0.3">
      <c r="A131" t="s">
        <v>788</v>
      </c>
      <c r="B131" t="s">
        <v>793</v>
      </c>
      <c r="C131" t="s">
        <v>797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790</v>
      </c>
      <c r="B132" t="s">
        <v>794</v>
      </c>
      <c r="C132" t="s">
        <v>798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848</v>
      </c>
      <c r="B133" t="s">
        <v>849</v>
      </c>
      <c r="C133" t="s">
        <v>850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805</v>
      </c>
      <c r="B134" t="s">
        <v>809</v>
      </c>
      <c r="C134" t="s">
        <v>810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807</v>
      </c>
      <c r="B135" t="s">
        <v>806</v>
      </c>
      <c r="C135" t="s">
        <v>811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804</v>
      </c>
      <c r="B136" t="s">
        <v>808</v>
      </c>
      <c r="C136" t="s">
        <v>812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834</v>
      </c>
      <c r="B137" t="s">
        <v>835</v>
      </c>
      <c r="C137" t="s">
        <v>836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837</v>
      </c>
      <c r="B138" t="s">
        <v>839</v>
      </c>
      <c r="C138" t="s">
        <v>841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838</v>
      </c>
      <c r="B139" t="s">
        <v>840</v>
      </c>
      <c r="C139" t="s">
        <v>842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851</v>
      </c>
      <c r="B140" t="s">
        <v>98</v>
      </c>
      <c r="C140" t="s">
        <v>852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855</v>
      </c>
      <c r="B141" t="s">
        <v>853</v>
      </c>
      <c r="C141" t="s">
        <v>857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854</v>
      </c>
      <c r="B142" t="s">
        <v>856</v>
      </c>
      <c r="C142" t="s">
        <v>858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859</v>
      </c>
      <c r="B143" t="s">
        <v>860</v>
      </c>
      <c r="C143" t="s">
        <v>861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862</v>
      </c>
      <c r="B144" t="s">
        <v>94</v>
      </c>
      <c r="C144" t="s">
        <v>871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863</v>
      </c>
      <c r="B145" t="s">
        <v>864</v>
      </c>
      <c r="C145" t="s">
        <v>872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865</v>
      </c>
      <c r="B146" t="s">
        <v>867</v>
      </c>
      <c r="C146" t="s">
        <v>873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866</v>
      </c>
      <c r="B147" t="s">
        <v>870</v>
      </c>
      <c r="C147" t="s">
        <v>874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868</v>
      </c>
      <c r="B148" t="s">
        <v>869</v>
      </c>
      <c r="C148" t="s">
        <v>875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877</v>
      </c>
      <c r="B149" t="s">
        <v>876</v>
      </c>
      <c r="C149" t="s">
        <v>878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879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880</v>
      </c>
      <c r="B151" t="s">
        <v>881</v>
      </c>
      <c r="C151" t="s">
        <v>884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882</v>
      </c>
      <c r="B152" t="s">
        <v>883</v>
      </c>
      <c r="C152" t="s">
        <v>885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915</v>
      </c>
      <c r="B153" t="s">
        <v>919</v>
      </c>
      <c r="C153" t="s">
        <v>920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916</v>
      </c>
      <c r="B154" t="s">
        <v>917</v>
      </c>
      <c r="C154" t="s">
        <v>918</v>
      </c>
      <c r="K154" t="str">
        <f t="shared" si="6"/>
        <v>"myUmkModel":"myUyamakModel",</v>
      </c>
      <c r="L154" t="str">
        <f t="shared" si="7"/>
        <v>"myUmkModel":"miModeloDeUyamak",</v>
      </c>
    </row>
    <row r="155" spans="1:12" x14ac:dyDescent="0.3">
      <c r="A155" t="s">
        <v>1063</v>
      </c>
      <c r="B155" t="s">
        <v>1075</v>
      </c>
      <c r="C155" t="s">
        <v>1077</v>
      </c>
      <c r="K155" t="str">
        <f t="shared" si="6"/>
        <v>"rRealTime":"Run at real-time",</v>
      </c>
      <c r="L155" t="str">
        <f t="shared" si="7"/>
        <v>"rRealTime":"Corre en tiempo real",</v>
      </c>
    </row>
    <row r="156" spans="1:12" x14ac:dyDescent="0.3">
      <c r="A156" t="s">
        <v>1064</v>
      </c>
      <c r="B156" t="s">
        <v>1066</v>
      </c>
      <c r="C156" t="s">
        <v>1083</v>
      </c>
      <c r="K156" t="str">
        <f t="shared" si="6"/>
        <v>"endTime":"End time in seconds (negative for &amp;infin;)",</v>
      </c>
      <c r="L156" t="str">
        <f t="shared" si="7"/>
        <v>"endTime":"Tiempo de finalización en segundos (negativo para &amp;infin;)",</v>
      </c>
    </row>
    <row r="157" spans="1:12" x14ac:dyDescent="0.3">
      <c r="A157" t="s">
        <v>1065</v>
      </c>
      <c r="B157" t="s">
        <v>1076</v>
      </c>
      <c r="C157" t="s">
        <v>1078</v>
      </c>
      <c r="K157" t="str">
        <f t="shared" si="6"/>
        <v>"stepSize":"Step size in milliseconds",</v>
      </c>
      <c r="L157" t="str">
        <f t="shared" si="7"/>
        <v>"stepSize":"Tamaño de paso en milisegundos",</v>
      </c>
    </row>
    <row r="158" spans="1:12" x14ac:dyDescent="0.3">
      <c r="A158" t="s">
        <v>1067</v>
      </c>
      <c r="B158" t="s">
        <v>1071</v>
      </c>
      <c r="C158" t="s">
        <v>1079</v>
      </c>
      <c r="K158" t="str">
        <f t="shared" si="6"/>
        <v>"run":"Run simulation",</v>
      </c>
      <c r="L158" t="str">
        <f t="shared" si="7"/>
        <v>"run":"Ejecutar simulación",</v>
      </c>
    </row>
    <row r="159" spans="1:12" x14ac:dyDescent="0.3">
      <c r="A159" t="s">
        <v>1068</v>
      </c>
      <c r="B159" t="s">
        <v>1072</v>
      </c>
      <c r="C159" t="s">
        <v>1080</v>
      </c>
      <c r="K159" t="str">
        <f t="shared" si="6"/>
        <v>"stop":"Stop simulation",</v>
      </c>
      <c r="L159" t="str">
        <f t="shared" si="7"/>
        <v>"stop":"Detener la simulación",</v>
      </c>
    </row>
    <row r="160" spans="1:12" x14ac:dyDescent="0.3">
      <c r="A160" t="s">
        <v>1069</v>
      </c>
      <c r="B160" t="s">
        <v>1073</v>
      </c>
      <c r="C160" t="s">
        <v>1081</v>
      </c>
      <c r="K160" t="str">
        <f t="shared" si="6"/>
        <v>"pause":"Pause simulation",</v>
      </c>
      <c r="L160" t="str">
        <f t="shared" si="7"/>
        <v>"pause":"Pausa simulación",</v>
      </c>
    </row>
    <row r="161" spans="1:12" x14ac:dyDescent="0.3">
      <c r="A161" t="s">
        <v>1070</v>
      </c>
      <c r="B161" t="s">
        <v>1074</v>
      </c>
      <c r="C161" t="s">
        <v>1082</v>
      </c>
      <c r="K161" t="str">
        <f t="shared" si="6"/>
        <v>"nSteps":"Next N-Steps to the simulation",</v>
      </c>
      <c r="L161" t="str">
        <f t="shared" si="7"/>
        <v>"nSteps":"N pasos siguientes a la simulación",</v>
      </c>
    </row>
    <row r="162" spans="1:12" x14ac:dyDescent="0.3">
      <c r="A162" t="s">
        <v>1093</v>
      </c>
      <c r="B162" t="s">
        <v>1094</v>
      </c>
      <c r="C162" t="s">
        <v>1095</v>
      </c>
      <c r="K162" t="str">
        <f t="shared" si="6"/>
        <v>"confirmLoss":"This operation will close the present model.\nAny unsaved data will be lost.\n\nDo you want to proceed?",</v>
      </c>
      <c r="L162" t="str">
        <f t="shared" si="7"/>
        <v>"confirmLoss":"Esta operación cerrará el modelo actual.\nCualquier información no guardada se perderá.\n\nQuieres proceder?",</v>
      </c>
    </row>
    <row r="163" spans="1:12" x14ac:dyDescent="0.3">
      <c r="A163" t="s">
        <v>1097</v>
      </c>
      <c r="B163" t="s">
        <v>1098</v>
      </c>
      <c r="C163" t="s">
        <v>1099</v>
      </c>
      <c r="K163" t="str">
        <f t="shared" ref="K163:K174" si="8">IF(ISBLANK($A163),"",""""&amp;$A163&amp;""":"""&amp;B163&amp;""""&amp;IF(ISBLANK(A164),"}",","))</f>
        <v>"errorGen":"Error: Unable to perform this action",</v>
      </c>
      <c r="L163" t="str">
        <f t="shared" ref="L163:L174" si="9">IF(ISBLANK($A163),"",""""&amp;$A163&amp;""":"""&amp;C163&amp;""""&amp;IF(ISBLANK(B164),"}",","))</f>
        <v>"errorGen":"Error: no se puede realizar esta acción",</v>
      </c>
    </row>
    <row r="164" spans="1:12" x14ac:dyDescent="0.3">
      <c r="A164" t="s">
        <v>1109</v>
      </c>
      <c r="B164" t="s">
        <v>1115</v>
      </c>
      <c r="C164" t="s">
        <v>1116</v>
      </c>
      <c r="K164" t="str">
        <f t="shared" si="8"/>
        <v>"aLoop":"Error: Possible algebraic loop",</v>
      </c>
      <c r="L164" t="str">
        <f t="shared" si="9"/>
        <v>"aLoop":"Error: Posible lazo algebraico",</v>
      </c>
    </row>
    <row r="165" spans="1:12" x14ac:dyDescent="0.3">
      <c r="A165" t="s">
        <v>1110</v>
      </c>
      <c r="B165" t="s">
        <v>1111</v>
      </c>
      <c r="C165" t="s">
        <v>1112</v>
      </c>
      <c r="K165" t="str">
        <f t="shared" si="8"/>
        <v>"showExeOrder":"Show execution order",</v>
      </c>
      <c r="L165" t="str">
        <f t="shared" si="9"/>
        <v>"showExeOrder":"Mostrar orden de ejecución",</v>
      </c>
    </row>
    <row r="166" spans="1:12" x14ac:dyDescent="0.3">
      <c r="A166" t="s">
        <v>1117</v>
      </c>
      <c r="B166" t="s">
        <v>1120</v>
      </c>
      <c r="C166" t="s">
        <v>1123</v>
      </c>
      <c r="K166" t="str">
        <f t="shared" si="8"/>
        <v>"mDesign":"Design mode",</v>
      </c>
      <c r="L166" t="str">
        <f t="shared" si="9"/>
        <v>"mDesign":"Modo de diseño",</v>
      </c>
    </row>
    <row r="167" spans="1:12" x14ac:dyDescent="0.3">
      <c r="A167" t="s">
        <v>1118</v>
      </c>
      <c r="B167" t="s">
        <v>1121</v>
      </c>
      <c r="C167" t="s">
        <v>1124</v>
      </c>
      <c r="K167" t="str">
        <f t="shared" si="8"/>
        <v>"mSim":"Simulating",</v>
      </c>
      <c r="L167" t="str">
        <f t="shared" si="9"/>
        <v>"mSim":"Simulando",</v>
      </c>
    </row>
    <row r="168" spans="1:12" x14ac:dyDescent="0.3">
      <c r="A168" t="s">
        <v>1119</v>
      </c>
      <c r="B168" t="s">
        <v>1122</v>
      </c>
      <c r="C168" t="s">
        <v>1125</v>
      </c>
      <c r="K168" t="str">
        <f t="shared" si="8"/>
        <v>"mSimPause":"Simulation paused"}</v>
      </c>
      <c r="L168" t="str">
        <f t="shared" si="9"/>
        <v>"mSimPause":"Simulación en pausa"}</v>
      </c>
    </row>
    <row r="169" spans="1:12" x14ac:dyDescent="0.3">
      <c r="K169" t="str">
        <f t="shared" si="8"/>
        <v/>
      </c>
      <c r="L169" t="str">
        <f t="shared" si="9"/>
        <v/>
      </c>
    </row>
    <row r="170" spans="1:12" x14ac:dyDescent="0.3">
      <c r="K170" t="str">
        <f t="shared" si="8"/>
        <v/>
      </c>
      <c r="L170" t="str">
        <f t="shared" si="9"/>
        <v/>
      </c>
    </row>
    <row r="171" spans="1:12" x14ac:dyDescent="0.3">
      <c r="K171" t="str">
        <f t="shared" si="8"/>
        <v/>
      </c>
      <c r="L171" t="str">
        <f t="shared" si="9"/>
        <v/>
      </c>
    </row>
    <row r="172" spans="1:12" x14ac:dyDescent="0.3">
      <c r="K172" t="str">
        <f t="shared" si="8"/>
        <v/>
      </c>
      <c r="L172" t="str">
        <f t="shared" si="9"/>
        <v/>
      </c>
    </row>
    <row r="173" spans="1:12" x14ac:dyDescent="0.3">
      <c r="K173" t="str">
        <f t="shared" si="8"/>
        <v/>
      </c>
      <c r="L173" t="str">
        <f t="shared" si="9"/>
        <v/>
      </c>
    </row>
    <row r="174" spans="1:12" x14ac:dyDescent="0.3">
      <c r="K174" t="str">
        <f t="shared" si="8"/>
        <v/>
      </c>
      <c r="L174" t="str">
        <f t="shared" si="9"/>
        <v/>
      </c>
    </row>
  </sheetData>
  <conditionalFormatting sqref="A1:A1048576">
    <cfRule type="duplicateValues" dxfId="5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4"/>
  <sheetViews>
    <sheetView topLeftCell="D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4" t="s">
        <v>341</v>
      </c>
      <c r="F1" s="24"/>
      <c r="G1" s="24"/>
      <c r="H1" s="24"/>
      <c r="I1" s="24"/>
      <c r="J1" s="24"/>
      <c r="K1" s="24"/>
      <c r="M1" s="24" t="s">
        <v>329</v>
      </c>
      <c r="N1" s="24"/>
      <c r="O1" s="24" t="s">
        <v>330</v>
      </c>
      <c r="P1" s="24"/>
      <c r="T1" s="18" t="s">
        <v>1114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675</v>
      </c>
      <c r="K2" s="10" t="s">
        <v>691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478</v>
      </c>
    </row>
    <row r="4" spans="1:20" x14ac:dyDescent="0.3">
      <c r="A4">
        <v>2</v>
      </c>
      <c r="B4" t="b">
        <v>0</v>
      </c>
      <c r="C4" t="b">
        <v>1</v>
      </c>
      <c r="D4" t="s">
        <v>1088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6" si="0">IF(E4,"CTRL_","")&amp;IF(F4,"ALT_","")&amp;IF(G4,"SHIFT_","")&amp;H4</f>
        <v/>
      </c>
      <c r="L4" t="s">
        <v>1096</v>
      </c>
      <c r="M4" t="s">
        <v>1089</v>
      </c>
      <c r="N4" t="s">
        <v>1090</v>
      </c>
      <c r="O4" t="s">
        <v>1091</v>
      </c>
      <c r="P4" t="s">
        <v>1092</v>
      </c>
    </row>
    <row r="5" spans="1:20" x14ac:dyDescent="0.3">
      <c r="A5">
        <v>2</v>
      </c>
      <c r="B5" t="b">
        <v>0</v>
      </c>
      <c r="C5" t="b">
        <v>1</v>
      </c>
      <c r="D5" t="s">
        <v>151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272</v>
      </c>
      <c r="M5" t="s">
        <v>200</v>
      </c>
      <c r="N5" t="s">
        <v>199</v>
      </c>
      <c r="O5" t="s">
        <v>439</v>
      </c>
      <c r="P5" t="s">
        <v>479</v>
      </c>
    </row>
    <row r="6" spans="1:20" x14ac:dyDescent="0.3">
      <c r="A6">
        <v>4</v>
      </c>
      <c r="B6" t="b">
        <v>0</v>
      </c>
      <c r="C6" t="b">
        <v>0</v>
      </c>
      <c r="D6" t="s">
        <v>153</v>
      </c>
      <c r="E6" t="b">
        <v>1</v>
      </c>
      <c r="F6" s="6"/>
      <c r="G6" s="6"/>
      <c r="H6" s="6" t="s">
        <v>242</v>
      </c>
      <c r="I6" s="22">
        <f>IF(ISBLANK(H6), "", VLOOKUP(LOWER(H6), javascriptKeycodes!A:B, 2, FALSE))</f>
        <v>79</v>
      </c>
      <c r="J6" s="22" t="str">
        <f>IF(ISBLANK(H6), "", VLOOKUP(LOWER(H6), javascriptKeycodes!A:C, 3, FALSE))</f>
        <v>key_o</v>
      </c>
      <c r="K6" s="22" t="str">
        <f t="shared" si="0"/>
        <v>CTRL_O</v>
      </c>
      <c r="L6" t="s">
        <v>922</v>
      </c>
      <c r="M6" t="s">
        <v>138</v>
      </c>
      <c r="N6" t="s">
        <v>198</v>
      </c>
      <c r="O6" t="s">
        <v>441</v>
      </c>
      <c r="P6" t="s">
        <v>481</v>
      </c>
    </row>
    <row r="7" spans="1:20" x14ac:dyDescent="0.3">
      <c r="A7">
        <v>5</v>
      </c>
      <c r="B7" t="b">
        <v>0</v>
      </c>
      <c r="C7" t="b">
        <v>0</v>
      </c>
      <c r="D7" t="s">
        <v>152</v>
      </c>
      <c r="E7" t="b">
        <v>1</v>
      </c>
      <c r="F7" s="6"/>
      <c r="G7" s="6"/>
      <c r="H7" s="6" t="s">
        <v>243</v>
      </c>
      <c r="I7" s="22">
        <f>IF(ISBLANK(H7), "", VLOOKUP(LOWER(H7), javascriptKeycodes!A:B, 2, FALSE))</f>
        <v>83</v>
      </c>
      <c r="J7" s="22" t="str">
        <f>IF(ISBLANK(H7), "", VLOOKUP(LOWER(H7), javascriptKeycodes!A:C, 3, FALSE))</f>
        <v>key_s</v>
      </c>
      <c r="K7" s="22" t="str">
        <f t="shared" si="0"/>
        <v>CTRL_S</v>
      </c>
      <c r="L7" t="s">
        <v>921</v>
      </c>
      <c r="M7" t="s">
        <v>137</v>
      </c>
      <c r="N7" t="s">
        <v>197</v>
      </c>
      <c r="O7" t="s">
        <v>440</v>
      </c>
      <c r="P7" t="s">
        <v>480</v>
      </c>
    </row>
    <row r="8" spans="1:20" x14ac:dyDescent="0.3">
      <c r="A8">
        <v>6</v>
      </c>
      <c r="B8" t="b">
        <v>0</v>
      </c>
      <c r="C8" t="b">
        <v>1</v>
      </c>
      <c r="D8" t="s">
        <v>942</v>
      </c>
      <c r="E8" t="b">
        <v>1</v>
      </c>
      <c r="F8" s="21"/>
      <c r="G8" s="21"/>
      <c r="H8" s="21" t="s">
        <v>620</v>
      </c>
      <c r="I8" s="22">
        <f>IF(ISBLANK(H8), "", VLOOKUP(LOWER(H8), javascriptKeycodes!A:B, 2, FALSE))</f>
        <v>73</v>
      </c>
      <c r="J8" s="22" t="str">
        <f>IF(ISBLANK(H8), "", VLOOKUP(LOWER(H8), javascriptKeycodes!A:C, 3, FALSE))</f>
        <v>key_i</v>
      </c>
      <c r="K8" s="22" t="str">
        <f t="shared" si="0"/>
        <v>CTRL_I</v>
      </c>
      <c r="L8" t="s">
        <v>943</v>
      </c>
      <c r="M8" t="s">
        <v>945</v>
      </c>
      <c r="N8" t="s">
        <v>944</v>
      </c>
      <c r="O8" t="s">
        <v>946</v>
      </c>
      <c r="P8" t="s">
        <v>947</v>
      </c>
    </row>
    <row r="9" spans="1:20" x14ac:dyDescent="0.3">
      <c r="A9">
        <v>7</v>
      </c>
      <c r="B9" t="b">
        <v>0</v>
      </c>
      <c r="C9" t="b">
        <v>0</v>
      </c>
      <c r="D9" t="s">
        <v>154</v>
      </c>
      <c r="E9" t="b">
        <v>1</v>
      </c>
      <c r="F9" s="6"/>
      <c r="G9" s="6"/>
      <c r="H9" s="6" t="s">
        <v>251</v>
      </c>
      <c r="I9" s="22">
        <f>IF(ISBLANK(H9), "", VLOOKUP(LOWER(H9), javascriptKeycodes!A:B, 2, FALSE))</f>
        <v>74</v>
      </c>
      <c r="J9" s="22" t="str">
        <f>IF(ISBLANK(H9), "", VLOOKUP(LOWER(H9), javascriptKeycodes!A:C, 3, FALSE))</f>
        <v>key_j</v>
      </c>
      <c r="K9" s="22" t="str">
        <f t="shared" si="0"/>
        <v>CTRL_J</v>
      </c>
      <c r="L9" t="s">
        <v>272</v>
      </c>
      <c r="M9" t="s">
        <v>140</v>
      </c>
      <c r="N9" t="s">
        <v>193</v>
      </c>
      <c r="O9" t="s">
        <v>442</v>
      </c>
      <c r="P9" t="s">
        <v>482</v>
      </c>
    </row>
    <row r="10" spans="1:20" x14ac:dyDescent="0.3">
      <c r="A10">
        <v>8</v>
      </c>
      <c r="B10" t="b">
        <v>0</v>
      </c>
      <c r="C10" t="b">
        <v>1</v>
      </c>
      <c r="D10" t="s">
        <v>155</v>
      </c>
      <c r="E10" t="b">
        <v>1</v>
      </c>
      <c r="F10" s="6"/>
      <c r="G10" t="b">
        <v>1</v>
      </c>
      <c r="H10" s="6" t="s">
        <v>251</v>
      </c>
      <c r="I10" s="22">
        <f>IF(ISBLANK(H10), "", VLOOKUP(LOWER(H10), javascriptKeycodes!A:B, 2, FALSE))</f>
        <v>74</v>
      </c>
      <c r="J10" s="22" t="str">
        <f>IF(ISBLANK(H10), "", VLOOKUP(LOWER(H10), javascriptKeycodes!A:C, 3, FALSE))</f>
        <v>key_j</v>
      </c>
      <c r="K10" s="22" t="str">
        <f t="shared" si="0"/>
        <v>CTRL_SHIFT_J</v>
      </c>
      <c r="L10" t="s">
        <v>272</v>
      </c>
      <c r="M10" t="s">
        <v>139</v>
      </c>
      <c r="N10" t="s">
        <v>194</v>
      </c>
      <c r="O10" t="s">
        <v>443</v>
      </c>
      <c r="P10" t="s">
        <v>483</v>
      </c>
    </row>
    <row r="11" spans="1:20" x14ac:dyDescent="0.3">
      <c r="A11">
        <v>9</v>
      </c>
      <c r="B11" t="b">
        <v>0</v>
      </c>
      <c r="C11" t="b">
        <v>0</v>
      </c>
      <c r="D11" t="s">
        <v>156</v>
      </c>
      <c r="E11" t="b">
        <v>1</v>
      </c>
      <c r="F11" s="6"/>
      <c r="G11" s="6"/>
      <c r="H11" s="6" t="s">
        <v>248</v>
      </c>
      <c r="I11" s="22">
        <f>IF(ISBLANK(H11), "", VLOOKUP(LOWER(H11), javascriptKeycodes!A:B, 2, FALSE))</f>
        <v>80</v>
      </c>
      <c r="J11" s="22" t="str">
        <f>IF(ISBLANK(H11), "", VLOOKUP(LOWER(H11), javascriptKeycodes!A:C, 3, FALSE))</f>
        <v>key_p</v>
      </c>
      <c r="K11" s="22" t="str">
        <f t="shared" si="0"/>
        <v>CTRL_P</v>
      </c>
      <c r="L11" t="s">
        <v>272</v>
      </c>
      <c r="M11" t="s">
        <v>120</v>
      </c>
      <c r="N11" t="s">
        <v>195</v>
      </c>
      <c r="O11" t="s">
        <v>444</v>
      </c>
      <c r="P11" t="s">
        <v>484</v>
      </c>
    </row>
    <row r="12" spans="1:20" x14ac:dyDescent="0.3">
      <c r="A12">
        <v>10</v>
      </c>
      <c r="B12" t="b">
        <v>1</v>
      </c>
      <c r="C12" t="b">
        <v>0</v>
      </c>
      <c r="D12" t="s">
        <v>15</v>
      </c>
      <c r="F12" s="7" t="b">
        <v>1</v>
      </c>
      <c r="G12" s="6"/>
      <c r="H12" s="6" t="s">
        <v>243</v>
      </c>
      <c r="I12" s="22">
        <f>IF(ISBLANK(H12), "", VLOOKUP(LOWER(H12), javascriptKeycodes!A:B, 2, FALSE))</f>
        <v>83</v>
      </c>
      <c r="J12" s="22" t="str">
        <f>IF(ISBLANK(H12), "", VLOOKUP(LOWER(H12), javascriptKeycodes!A:C, 3, FALSE))</f>
        <v>key_s</v>
      </c>
      <c r="K12" s="22" t="str">
        <f t="shared" si="0"/>
        <v>ALT_S</v>
      </c>
      <c r="L12" t="s">
        <v>435</v>
      </c>
      <c r="M12" t="s">
        <v>136</v>
      </c>
      <c r="N12" t="s">
        <v>196</v>
      </c>
      <c r="O12" t="s">
        <v>445</v>
      </c>
      <c r="P12" t="s">
        <v>485</v>
      </c>
    </row>
    <row r="13" spans="1:20" x14ac:dyDescent="0.3">
      <c r="A13">
        <v>11</v>
      </c>
      <c r="B13" t="b">
        <v>0</v>
      </c>
      <c r="C13" t="b">
        <v>0</v>
      </c>
      <c r="D13" t="s">
        <v>157</v>
      </c>
      <c r="E13" t="b">
        <v>1</v>
      </c>
      <c r="F13" s="6"/>
      <c r="G13" s="6"/>
      <c r="H13" s="6" t="s">
        <v>249</v>
      </c>
      <c r="I13" s="22">
        <f>IF(ISBLANK(H13), "", VLOOKUP(LOWER(H13), javascriptKeycodes!A:B, 2, FALSE))</f>
        <v>85</v>
      </c>
      <c r="J13" s="22" t="str">
        <f>IF(ISBLANK(H13), "", VLOOKUP(LOWER(H13), javascriptKeycodes!A:C, 3, FALSE))</f>
        <v>key_u</v>
      </c>
      <c r="K13" s="22" t="str">
        <f t="shared" si="0"/>
        <v>CTRL_U</v>
      </c>
      <c r="L13" t="s">
        <v>887</v>
      </c>
      <c r="M13" t="s">
        <v>234</v>
      </c>
      <c r="N13" t="s">
        <v>235</v>
      </c>
      <c r="O13" t="s">
        <v>446</v>
      </c>
      <c r="P13" t="s">
        <v>486</v>
      </c>
    </row>
    <row r="14" spans="1:20" x14ac:dyDescent="0.3">
      <c r="A14">
        <v>12</v>
      </c>
      <c r="B14" t="b">
        <v>0</v>
      </c>
      <c r="C14" t="b">
        <v>0</v>
      </c>
      <c r="D14" t="s">
        <v>158</v>
      </c>
      <c r="E14" t="b">
        <v>1</v>
      </c>
      <c r="F14" s="6"/>
      <c r="G14" s="6"/>
      <c r="H14" s="6" t="s">
        <v>254</v>
      </c>
      <c r="I14" s="22">
        <f>IF(ISBLANK(H14), "", VLOOKUP(LOWER(H14), javascriptKeycodes!A:B, 2, FALSE))</f>
        <v>69</v>
      </c>
      <c r="J14" s="22" t="str">
        <f>IF(ISBLANK(H14), "", VLOOKUP(LOWER(H14), javascriptKeycodes!A:C, 3, FALSE))</f>
        <v>key_e</v>
      </c>
      <c r="K14" s="22" t="str">
        <f t="shared" si="0"/>
        <v>CTRL_E</v>
      </c>
      <c r="L14" t="s">
        <v>886</v>
      </c>
      <c r="M14" t="s">
        <v>201</v>
      </c>
      <c r="N14" t="s">
        <v>203</v>
      </c>
      <c r="O14" t="s">
        <v>447</v>
      </c>
      <c r="P14" t="s">
        <v>487</v>
      </c>
    </row>
    <row r="15" spans="1:20" x14ac:dyDescent="0.3">
      <c r="A15">
        <v>13</v>
      </c>
      <c r="B15" t="b">
        <v>0</v>
      </c>
      <c r="C15" t="b">
        <v>0</v>
      </c>
      <c r="D15" t="s">
        <v>19</v>
      </c>
      <c r="E15" t="b">
        <v>1</v>
      </c>
      <c r="F15" s="7"/>
      <c r="G15" s="7" t="b">
        <v>1</v>
      </c>
      <c r="H15" s="6" t="s">
        <v>243</v>
      </c>
      <c r="I15" s="22">
        <f>IF(ISBLANK(H15), "", VLOOKUP(LOWER(H15), javascriptKeycodes!A:B, 2, FALSE))</f>
        <v>83</v>
      </c>
      <c r="J15" s="22" t="str">
        <f>IF(ISBLANK(H15), "", VLOOKUP(LOWER(H15), javascriptKeycodes!A:C, 3, FALSE))</f>
        <v>key_s</v>
      </c>
      <c r="K15" s="22" t="str">
        <f t="shared" si="0"/>
        <v>CTRL_SHIFT_S</v>
      </c>
      <c r="L15" t="s">
        <v>272</v>
      </c>
      <c r="M15" t="s">
        <v>202</v>
      </c>
      <c r="N15" t="s">
        <v>204</v>
      </c>
      <c r="O15" t="s">
        <v>448</v>
      </c>
      <c r="P15" t="s">
        <v>488</v>
      </c>
    </row>
    <row r="16" spans="1:20" x14ac:dyDescent="0.3">
      <c r="A16">
        <v>14</v>
      </c>
      <c r="B16" t="b">
        <v>0</v>
      </c>
      <c r="C16" t="b">
        <v>1</v>
      </c>
      <c r="D16" t="s">
        <v>285</v>
      </c>
      <c r="E16" t="b">
        <v>1</v>
      </c>
      <c r="F16" s="6"/>
      <c r="G16" s="7" t="b">
        <v>1</v>
      </c>
      <c r="H16" s="6" t="s">
        <v>257</v>
      </c>
      <c r="I16" s="22">
        <f>IF(ISBLANK(H16), "", VLOOKUP(LOWER(H16), javascriptKeycodes!A:B, 2, FALSE))</f>
        <v>86</v>
      </c>
      <c r="J16" s="22" t="str">
        <f>IF(ISBLANK(H16), "", VLOOKUP(LOWER(H16), javascriptKeycodes!A:C, 3, FALSE))</f>
        <v>key_v</v>
      </c>
      <c r="K16" s="22" t="str">
        <f t="shared" si="0"/>
        <v>CTRL_SHIFT_V</v>
      </c>
      <c r="L16" t="s">
        <v>779</v>
      </c>
      <c r="M16" t="s">
        <v>888</v>
      </c>
      <c r="N16" t="s">
        <v>889</v>
      </c>
      <c r="O16" t="s">
        <v>890</v>
      </c>
      <c r="P16" t="s">
        <v>891</v>
      </c>
    </row>
    <row r="17" spans="1:16" x14ac:dyDescent="0.3">
      <c r="A17">
        <v>15</v>
      </c>
      <c r="B17" t="b">
        <v>0</v>
      </c>
      <c r="C17" t="b">
        <v>0</v>
      </c>
      <c r="D17" t="s">
        <v>159</v>
      </c>
      <c r="E17" t="b">
        <v>1</v>
      </c>
      <c r="F17" s="6"/>
      <c r="G17" s="6"/>
      <c r="H17" s="6" t="s">
        <v>255</v>
      </c>
      <c r="I17" s="22">
        <f>IF(ISBLANK(H17), "", VLOOKUP(LOWER(H17), javascriptKeycodes!A:B, 2, FALSE))</f>
        <v>75</v>
      </c>
      <c r="J17" s="22" t="str">
        <f>IF(ISBLANK(H17), "", VLOOKUP(LOWER(H17), javascriptKeycodes!A:C, 3, FALSE))</f>
        <v>key_k</v>
      </c>
      <c r="K17" s="22" t="str">
        <f t="shared" si="0"/>
        <v>CTRL_K</v>
      </c>
      <c r="L17" t="s">
        <v>892</v>
      </c>
      <c r="M17" t="s">
        <v>236</v>
      </c>
      <c r="N17" t="s">
        <v>205</v>
      </c>
      <c r="O17" t="s">
        <v>449</v>
      </c>
      <c r="P17" t="s">
        <v>489</v>
      </c>
    </row>
    <row r="18" spans="1:16" x14ac:dyDescent="0.3">
      <c r="A18">
        <v>16</v>
      </c>
      <c r="B18" t="b">
        <v>0</v>
      </c>
      <c r="C18" t="b">
        <v>0</v>
      </c>
      <c r="D18" t="s">
        <v>160</v>
      </c>
      <c r="E18" t="b">
        <v>1</v>
      </c>
      <c r="F18" s="6"/>
      <c r="G18" s="7" t="b">
        <v>1</v>
      </c>
      <c r="H18" s="6" t="s">
        <v>255</v>
      </c>
      <c r="I18" s="22">
        <f>IF(ISBLANK(H18), "", VLOOKUP(LOWER(H18), javascriptKeycodes!A:B, 2, FALSE))</f>
        <v>75</v>
      </c>
      <c r="J18" s="22" t="str">
        <f>IF(ISBLANK(H18), "", VLOOKUP(LOWER(H18), javascriptKeycodes!A:C, 3, FALSE))</f>
        <v>key_k</v>
      </c>
      <c r="K18" s="22" t="str">
        <f t="shared" si="0"/>
        <v>CTRL_SHIFT_K</v>
      </c>
      <c r="L18" t="s">
        <v>893</v>
      </c>
      <c r="M18" t="s">
        <v>237</v>
      </c>
      <c r="N18" t="s">
        <v>206</v>
      </c>
      <c r="O18" t="s">
        <v>450</v>
      </c>
      <c r="P18" t="s">
        <v>490</v>
      </c>
    </row>
    <row r="19" spans="1:16" x14ac:dyDescent="0.3">
      <c r="A19">
        <v>17</v>
      </c>
      <c r="B19" t="b">
        <v>1</v>
      </c>
      <c r="C19" t="b">
        <v>0</v>
      </c>
      <c r="D19" t="s">
        <v>188</v>
      </c>
      <c r="F19" s="7" t="b">
        <v>1</v>
      </c>
      <c r="G19" s="6"/>
      <c r="H19" s="6" t="s">
        <v>254</v>
      </c>
      <c r="I19" s="22">
        <f>IF(ISBLANK(H19), "", VLOOKUP(LOWER(H19), javascriptKeycodes!A:B, 2, FALSE))</f>
        <v>69</v>
      </c>
      <c r="J19" s="22" t="str">
        <f>IF(ISBLANK(H19), "", VLOOKUP(LOWER(H19), javascriptKeycodes!A:C, 3, FALSE))</f>
        <v>key_e</v>
      </c>
      <c r="K19" s="22" t="str">
        <f t="shared" si="0"/>
        <v>ALT_E</v>
      </c>
      <c r="L19" t="s">
        <v>435</v>
      </c>
      <c r="M19" t="s">
        <v>123</v>
      </c>
      <c r="N19" t="s">
        <v>214</v>
      </c>
      <c r="O19" t="s">
        <v>451</v>
      </c>
      <c r="P19" t="s">
        <v>491</v>
      </c>
    </row>
    <row r="20" spans="1:16" x14ac:dyDescent="0.3">
      <c r="A20">
        <v>18</v>
      </c>
      <c r="B20" t="b">
        <v>0</v>
      </c>
      <c r="C20" t="b">
        <v>1</v>
      </c>
      <c r="D20" t="s">
        <v>726</v>
      </c>
      <c r="E20" t="b">
        <v>1</v>
      </c>
      <c r="F20" t="b">
        <v>1</v>
      </c>
      <c r="G20" t="b">
        <v>1</v>
      </c>
      <c r="H20" s="16" t="s">
        <v>243</v>
      </c>
      <c r="I20" s="22">
        <f>IF(ISBLANK(H20), "", VLOOKUP(LOWER(H20), javascriptKeycodes!A:B, 2, FALSE))</f>
        <v>83</v>
      </c>
      <c r="J20" s="22" t="str">
        <f>IF(ISBLANK(H20), "", VLOOKUP(LOWER(H20), javascriptKeycodes!A:C, 3, FALSE))</f>
        <v>key_s</v>
      </c>
      <c r="K20" s="22" t="str">
        <f t="shared" si="0"/>
        <v>CTRL_ALT_SHIFT_S</v>
      </c>
      <c r="L20" t="s">
        <v>727</v>
      </c>
      <c r="M20" t="s">
        <v>693</v>
      </c>
      <c r="N20" t="s">
        <v>724</v>
      </c>
      <c r="O20" t="s">
        <v>694</v>
      </c>
      <c r="P20" t="s">
        <v>725</v>
      </c>
    </row>
    <row r="21" spans="1:16" x14ac:dyDescent="0.3">
      <c r="A21">
        <v>19</v>
      </c>
      <c r="B21" t="b">
        <v>0</v>
      </c>
      <c r="C21" t="b">
        <v>0</v>
      </c>
      <c r="D21" t="s">
        <v>271</v>
      </c>
      <c r="E21" t="b">
        <v>1</v>
      </c>
      <c r="F21" s="6"/>
      <c r="G21" s="6"/>
      <c r="H21" s="6" t="s">
        <v>264</v>
      </c>
      <c r="I21" s="22">
        <f>IF(ISBLANK(H21), "", VLOOKUP(LOWER(H21), javascriptKeycodes!A:B, 2, FALSE))</f>
        <v>65</v>
      </c>
      <c r="J21" s="22" t="str">
        <f>IF(ISBLANK(H21), "", VLOOKUP(LOWER(H21), javascriptKeycodes!A:C, 3, FALSE))</f>
        <v>key_a</v>
      </c>
      <c r="K21" s="22" t="str">
        <f t="shared" si="0"/>
        <v>CTRL_A</v>
      </c>
      <c r="L21" t="s">
        <v>894</v>
      </c>
      <c r="M21" t="s">
        <v>268</v>
      </c>
      <c r="N21" t="s">
        <v>436</v>
      </c>
      <c r="O21" t="s">
        <v>452</v>
      </c>
      <c r="P21" t="s">
        <v>492</v>
      </c>
    </row>
    <row r="22" spans="1:16" x14ac:dyDescent="0.3">
      <c r="A22">
        <v>20</v>
      </c>
      <c r="B22" t="b">
        <v>0</v>
      </c>
      <c r="C22" t="b">
        <v>1</v>
      </c>
      <c r="D22" t="s">
        <v>270</v>
      </c>
      <c r="E22" t="b">
        <v>1</v>
      </c>
      <c r="F22" s="6"/>
      <c r="G22" s="7" t="b">
        <v>1</v>
      </c>
      <c r="H22" s="6" t="s">
        <v>264</v>
      </c>
      <c r="I22" s="22">
        <f>IF(ISBLANK(H22), "", VLOOKUP(LOWER(H22), javascriptKeycodes!A:B, 2, FALSE))</f>
        <v>65</v>
      </c>
      <c r="J22" s="22" t="str">
        <f>IF(ISBLANK(H22), "", VLOOKUP(LOWER(H22), javascriptKeycodes!A:C, 3, FALSE))</f>
        <v>key_a</v>
      </c>
      <c r="K22" s="22" t="str">
        <f t="shared" si="0"/>
        <v>CTRL_SHIFT_A</v>
      </c>
      <c r="L22" t="s">
        <v>895</v>
      </c>
      <c r="M22" t="s">
        <v>269</v>
      </c>
      <c r="N22" t="s">
        <v>437</v>
      </c>
      <c r="O22" t="s">
        <v>453</v>
      </c>
      <c r="P22" t="s">
        <v>493</v>
      </c>
    </row>
    <row r="23" spans="1:16" x14ac:dyDescent="0.3">
      <c r="A23">
        <v>21</v>
      </c>
      <c r="B23" t="b">
        <v>0</v>
      </c>
      <c r="C23" t="b">
        <v>0</v>
      </c>
      <c r="D23" t="s">
        <v>161</v>
      </c>
      <c r="E23" t="b">
        <v>1</v>
      </c>
      <c r="F23" s="6"/>
      <c r="G23" s="21"/>
      <c r="H23" s="6" t="s">
        <v>256</v>
      </c>
      <c r="I23" s="22">
        <f>IF(ISBLANK(H23), "", VLOOKUP(LOWER(H23), javascriptKeycodes!A:B, 2, FALSE))</f>
        <v>88</v>
      </c>
      <c r="J23" s="22" t="str">
        <f>IF(ISBLANK(H23), "", VLOOKUP(LOWER(H23), javascriptKeycodes!A:C, 3, FALSE))</f>
        <v>key_x</v>
      </c>
      <c r="K23" s="22" t="str">
        <f t="shared" si="0"/>
        <v>CTRL_X</v>
      </c>
      <c r="L23" t="s">
        <v>941</v>
      </c>
      <c r="M23" t="s">
        <v>124</v>
      </c>
      <c r="N23" t="s">
        <v>208</v>
      </c>
      <c r="O23" t="s">
        <v>454</v>
      </c>
      <c r="P23" t="s">
        <v>494</v>
      </c>
    </row>
    <row r="24" spans="1:16" x14ac:dyDescent="0.3">
      <c r="A24">
        <v>22</v>
      </c>
      <c r="B24" t="b">
        <v>0</v>
      </c>
      <c r="C24" t="b">
        <v>0</v>
      </c>
      <c r="D24" t="s">
        <v>162</v>
      </c>
      <c r="E24" t="b">
        <v>1</v>
      </c>
      <c r="F24" s="6"/>
      <c r="G24" s="21"/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CTRL_C</v>
      </c>
      <c r="L24" t="s">
        <v>938</v>
      </c>
      <c r="M24" t="s">
        <v>125</v>
      </c>
      <c r="N24" t="s">
        <v>207</v>
      </c>
      <c r="O24" t="s">
        <v>455</v>
      </c>
      <c r="P24" t="s">
        <v>495</v>
      </c>
    </row>
    <row r="25" spans="1:16" x14ac:dyDescent="0.3">
      <c r="A25">
        <v>23</v>
      </c>
      <c r="B25" t="b">
        <v>0</v>
      </c>
      <c r="C25" t="b">
        <v>0</v>
      </c>
      <c r="D25" t="s">
        <v>163</v>
      </c>
      <c r="E25" t="b">
        <v>1</v>
      </c>
      <c r="F25" s="21"/>
      <c r="G25" s="21"/>
      <c r="H25" s="6" t="s">
        <v>257</v>
      </c>
      <c r="I25" s="22">
        <f>IF(ISBLANK(H25), "", VLOOKUP(LOWER(H25), javascriptKeycodes!A:B, 2, FALSE))</f>
        <v>86</v>
      </c>
      <c r="J25" s="22" t="str">
        <f>IF(ISBLANK(H25), "", VLOOKUP(LOWER(H25), javascriptKeycodes!A:C, 3, FALSE))</f>
        <v>key_v</v>
      </c>
      <c r="K25" s="22" t="str">
        <f t="shared" si="0"/>
        <v>CTRL_V</v>
      </c>
      <c r="L25" t="s">
        <v>939</v>
      </c>
      <c r="M25" t="s">
        <v>126</v>
      </c>
      <c r="N25" t="s">
        <v>209</v>
      </c>
      <c r="O25" t="s">
        <v>456</v>
      </c>
      <c r="P25" t="s">
        <v>496</v>
      </c>
    </row>
    <row r="26" spans="1:16" x14ac:dyDescent="0.3">
      <c r="A26">
        <v>24</v>
      </c>
      <c r="B26" t="b">
        <v>0</v>
      </c>
      <c r="C26" t="b">
        <v>0</v>
      </c>
      <c r="D26" t="s">
        <v>165</v>
      </c>
      <c r="E26" t="b">
        <v>1</v>
      </c>
      <c r="F26" s="6"/>
      <c r="G26" s="7" t="b">
        <v>1</v>
      </c>
      <c r="H26" s="6" t="s">
        <v>244</v>
      </c>
      <c r="I26" s="22">
        <f>IF(ISBLANK(H26), "", VLOOKUP(LOWER(H26), javascriptKeycodes!A:B, 2, FALSE))</f>
        <v>67</v>
      </c>
      <c r="J26" s="22" t="str">
        <f>IF(ISBLANK(H26), "", VLOOKUP(LOWER(H26), javascriptKeycodes!A:C, 3, FALSE))</f>
        <v>key_c</v>
      </c>
      <c r="K26" s="22" t="str">
        <f t="shared" si="0"/>
        <v>CTRL_SHIFT_C</v>
      </c>
      <c r="L26" t="s">
        <v>940</v>
      </c>
      <c r="M26" t="s">
        <v>164</v>
      </c>
      <c r="N26" t="s">
        <v>210</v>
      </c>
      <c r="O26" t="s">
        <v>457</v>
      </c>
      <c r="P26" t="s">
        <v>497</v>
      </c>
    </row>
    <row r="27" spans="1:16" x14ac:dyDescent="0.3">
      <c r="A27">
        <v>25</v>
      </c>
      <c r="B27" t="b">
        <v>0</v>
      </c>
      <c r="C27" t="b">
        <v>1</v>
      </c>
      <c r="D27" t="s">
        <v>166</v>
      </c>
      <c r="F27" s="6"/>
      <c r="G27" s="6"/>
      <c r="H27" s="6" t="s">
        <v>7</v>
      </c>
      <c r="I27" s="22">
        <f>IF(ISBLANK(H27), "", VLOOKUP(LOWER(H27), javascriptKeycodes!A:B, 2, FALSE))</f>
        <v>46</v>
      </c>
      <c r="J27" s="22" t="str">
        <f>IF(ISBLANK(H27), "", VLOOKUP(LOWER(H27), javascriptKeycodes!A:C, 3, FALSE))</f>
        <v>key_delete</v>
      </c>
      <c r="K27" s="22" t="str">
        <f t="shared" ref="K27:K28" si="1">IF(E27,"CTRL_","")&amp;IF(F27,"ALT_","")&amp;IF(G27,"SHIFT_","")&amp;H27</f>
        <v>delete</v>
      </c>
      <c r="L27" t="s">
        <v>896</v>
      </c>
      <c r="M27" t="s">
        <v>33</v>
      </c>
      <c r="N27" t="s">
        <v>211</v>
      </c>
      <c r="O27" t="s">
        <v>458</v>
      </c>
      <c r="P27" t="s">
        <v>498</v>
      </c>
    </row>
    <row r="28" spans="1:16" x14ac:dyDescent="0.3">
      <c r="A28">
        <v>26</v>
      </c>
      <c r="B28" t="b">
        <v>0</v>
      </c>
      <c r="C28" t="b">
        <v>0</v>
      </c>
      <c r="D28" t="s">
        <v>167</v>
      </c>
      <c r="E28" t="b">
        <v>1</v>
      </c>
      <c r="F28" s="6"/>
      <c r="G28" s="6"/>
      <c r="H28" s="6" t="s">
        <v>258</v>
      </c>
      <c r="I28" s="22">
        <f>IF(ISBLANK(H28), "", VLOOKUP(LOWER(H28), javascriptKeycodes!A:B, 2, FALSE))</f>
        <v>90</v>
      </c>
      <c r="J28" s="22" t="str">
        <f>IF(ISBLANK(H28), "", VLOOKUP(LOWER(H28), javascriptKeycodes!A:C, 3, FALSE))</f>
        <v>key_z</v>
      </c>
      <c r="K28" s="22" t="str">
        <f t="shared" si="1"/>
        <v>CTRL_Z</v>
      </c>
      <c r="L28" t="s">
        <v>904</v>
      </c>
      <c r="M28" t="s">
        <v>143</v>
      </c>
      <c r="N28" t="s">
        <v>212</v>
      </c>
      <c r="O28" t="s">
        <v>459</v>
      </c>
      <c r="P28" t="s">
        <v>499</v>
      </c>
    </row>
    <row r="29" spans="1:16" x14ac:dyDescent="0.3">
      <c r="A29">
        <v>27</v>
      </c>
      <c r="B29" t="b">
        <v>0</v>
      </c>
      <c r="C29" t="b">
        <v>0</v>
      </c>
      <c r="D29" t="s">
        <v>168</v>
      </c>
      <c r="E29" t="b">
        <v>1</v>
      </c>
      <c r="F29" s="6"/>
      <c r="G29" s="7" t="b">
        <v>1</v>
      </c>
      <c r="H29" s="6" t="s">
        <v>258</v>
      </c>
      <c r="I29" s="22">
        <f>IF(ISBLANK(H29), "", VLOOKUP(LOWER(H29), javascriptKeycodes!A:B, 2, FALSE))</f>
        <v>90</v>
      </c>
      <c r="J29" s="22" t="str">
        <f>IF(ISBLANK(H29), "", VLOOKUP(LOWER(H29), javascriptKeycodes!A:C, 3, FALSE))</f>
        <v>key_z</v>
      </c>
      <c r="K29" s="22" t="str">
        <f t="shared" ref="K29:K52" si="2">IF(E29,"CTRL_","")&amp;IF(F29,"ALT_","")&amp;IF(G29,"SHIFT_","")&amp;H29</f>
        <v>CTRL_SHIFT_Z</v>
      </c>
      <c r="L29" t="s">
        <v>903</v>
      </c>
      <c r="M29" t="s">
        <v>144</v>
      </c>
      <c r="N29" t="s">
        <v>213</v>
      </c>
      <c r="O29" t="s">
        <v>460</v>
      </c>
      <c r="P29" t="s">
        <v>500</v>
      </c>
    </row>
    <row r="30" spans="1:16" x14ac:dyDescent="0.3">
      <c r="A30">
        <v>28</v>
      </c>
      <c r="B30" t="b">
        <v>1</v>
      </c>
      <c r="C30" t="b">
        <v>0</v>
      </c>
      <c r="D30" t="s">
        <v>923</v>
      </c>
      <c r="F30" s="20" t="b">
        <v>1</v>
      </c>
      <c r="G30" s="20"/>
      <c r="H30" s="20" t="s">
        <v>621</v>
      </c>
      <c r="I30" s="22">
        <f>IF(ISBLANK(H30), "", VLOOKUP(LOWER(H30), javascriptKeycodes!A:B, 2, FALSE))</f>
        <v>78</v>
      </c>
      <c r="J30" s="22" t="str">
        <f>IF(ISBLANK(H30), "", VLOOKUP(LOWER(H30), javascriptKeycodes!A:C, 3, FALSE))</f>
        <v>key_n</v>
      </c>
      <c r="K30" s="22" t="str">
        <f t="shared" si="2"/>
        <v>ALT_N</v>
      </c>
      <c r="M30" t="s">
        <v>924</v>
      </c>
      <c r="N30" t="s">
        <v>926</v>
      </c>
      <c r="O30" t="s">
        <v>925</v>
      </c>
      <c r="P30" t="s">
        <v>927</v>
      </c>
    </row>
    <row r="31" spans="1:16" x14ac:dyDescent="0.3">
      <c r="A31">
        <v>29</v>
      </c>
      <c r="B31" t="b">
        <v>0</v>
      </c>
      <c r="C31" t="b">
        <v>0</v>
      </c>
      <c r="D31" t="s">
        <v>169</v>
      </c>
      <c r="E31" t="b">
        <v>1</v>
      </c>
      <c r="F31" s="6"/>
      <c r="G31" s="6"/>
      <c r="H31" s="6" t="s">
        <v>404</v>
      </c>
      <c r="I31" s="22">
        <f>IF(ISBLANK(H31), "", VLOOKUP(LOWER(H31), javascriptKeycodes!A:B, 2, FALSE))</f>
        <v>107</v>
      </c>
      <c r="J31" s="22" t="str">
        <f>IF(ISBLANK(H31), "", VLOOKUP(LOWER(H31), javascriptKeycodes!A:C, 3, FALSE))</f>
        <v>key_add</v>
      </c>
      <c r="K31" s="22" t="str">
        <f t="shared" si="2"/>
        <v>CTRL_add</v>
      </c>
      <c r="L31" t="s">
        <v>900</v>
      </c>
      <c r="M31" t="s">
        <v>129</v>
      </c>
      <c r="N31" t="s">
        <v>216</v>
      </c>
      <c r="O31" t="s">
        <v>462</v>
      </c>
      <c r="P31" t="s">
        <v>502</v>
      </c>
    </row>
    <row r="32" spans="1:16" x14ac:dyDescent="0.3">
      <c r="A32">
        <v>30</v>
      </c>
      <c r="B32" t="b">
        <v>0</v>
      </c>
      <c r="C32" t="b">
        <v>0</v>
      </c>
      <c r="D32" t="s">
        <v>170</v>
      </c>
      <c r="E32" t="b">
        <v>1</v>
      </c>
      <c r="F32" s="6"/>
      <c r="G32" s="6"/>
      <c r="H32" s="6" t="s">
        <v>405</v>
      </c>
      <c r="I32" s="22">
        <f>IF(ISBLANK(H32), "", VLOOKUP(LOWER(H32), javascriptKeycodes!A:B, 2, FALSE))</f>
        <v>109</v>
      </c>
      <c r="J32" s="22" t="str">
        <f>IF(ISBLANK(H32), "", VLOOKUP(LOWER(H32), javascriptKeycodes!A:C, 3, FALSE))</f>
        <v>key_sub</v>
      </c>
      <c r="K32" s="22" t="str">
        <f t="shared" si="2"/>
        <v>CTRL_subtract</v>
      </c>
      <c r="L32" t="s">
        <v>899</v>
      </c>
      <c r="M32" t="s">
        <v>128</v>
      </c>
      <c r="N32" t="s">
        <v>217</v>
      </c>
      <c r="O32" t="s">
        <v>463</v>
      </c>
      <c r="P32" t="s">
        <v>503</v>
      </c>
    </row>
    <row r="33" spans="1:16" x14ac:dyDescent="0.3">
      <c r="A33">
        <v>31</v>
      </c>
      <c r="B33" t="b">
        <v>0</v>
      </c>
      <c r="C33" t="b">
        <v>0</v>
      </c>
      <c r="D33" t="s">
        <v>172</v>
      </c>
      <c r="E33" t="b">
        <v>1</v>
      </c>
      <c r="F33" s="6"/>
      <c r="G33" s="6"/>
      <c r="H33" s="6" t="s">
        <v>676</v>
      </c>
      <c r="I33" s="22">
        <f>IF(ISBLANK(H33), "", VLOOKUP(LOWER(H33), javascriptKeycodes!A:B, 2, FALSE))</f>
        <v>48</v>
      </c>
      <c r="J33" s="22" t="str">
        <f>IF(ISBLANK(H33), "", VLOOKUP(LOWER(H33), javascriptKeycodes!A:C, 3, FALSE))</f>
        <v>key_0</v>
      </c>
      <c r="K33" s="22" t="str">
        <f t="shared" si="2"/>
        <v>CTRL_K_0</v>
      </c>
      <c r="L33" t="s">
        <v>901</v>
      </c>
      <c r="M33" t="s">
        <v>131</v>
      </c>
      <c r="N33" t="s">
        <v>218</v>
      </c>
      <c r="O33" t="s">
        <v>464</v>
      </c>
      <c r="P33" t="s">
        <v>504</v>
      </c>
    </row>
    <row r="34" spans="1:16" x14ac:dyDescent="0.3">
      <c r="A34">
        <v>32</v>
      </c>
      <c r="B34" t="b">
        <v>0</v>
      </c>
      <c r="C34" t="b">
        <v>1</v>
      </c>
      <c r="D34" t="s">
        <v>171</v>
      </c>
      <c r="E34" t="b">
        <v>1</v>
      </c>
      <c r="F34" s="6"/>
      <c r="G34" s="7" t="b">
        <v>1</v>
      </c>
      <c r="H34" s="7" t="s">
        <v>676</v>
      </c>
      <c r="I34" s="22">
        <f>IF(ISBLANK(H34), "", VLOOKUP(LOWER(H34), javascriptKeycodes!A:B, 2, FALSE))</f>
        <v>48</v>
      </c>
      <c r="J34" s="22" t="str">
        <f>IF(ISBLANK(H34), "", VLOOKUP(LOWER(H34), javascriptKeycodes!A:C, 3, FALSE))</f>
        <v>key_0</v>
      </c>
      <c r="K34" s="22" t="str">
        <f t="shared" si="2"/>
        <v>CTRL_SHIFT_K_0</v>
      </c>
      <c r="L34" t="s">
        <v>902</v>
      </c>
      <c r="M34" t="s">
        <v>130</v>
      </c>
      <c r="N34" t="s">
        <v>219</v>
      </c>
      <c r="O34" t="s">
        <v>465</v>
      </c>
      <c r="P34" t="s">
        <v>505</v>
      </c>
    </row>
    <row r="35" spans="1:16" x14ac:dyDescent="0.3">
      <c r="A35">
        <v>33</v>
      </c>
      <c r="B35" t="b">
        <v>0</v>
      </c>
      <c r="C35" t="b">
        <v>0</v>
      </c>
      <c r="D35" t="s">
        <v>777</v>
      </c>
      <c r="E35" t="b">
        <v>1</v>
      </c>
      <c r="F35" s="6" t="b">
        <v>1</v>
      </c>
      <c r="G35" s="19" t="b">
        <v>1</v>
      </c>
      <c r="H35" s="6" t="s">
        <v>264</v>
      </c>
      <c r="I35" s="22">
        <f>IF(ISBLANK(H35), "", VLOOKUP(LOWER(H35), javascriptKeycodes!A:B, 2, FALSE))</f>
        <v>65</v>
      </c>
      <c r="J35" s="22" t="str">
        <f>IF(ISBLANK(H35), "", VLOOKUP(LOWER(H35), javascriptKeycodes!A:C, 3, FALSE))</f>
        <v>key_a</v>
      </c>
      <c r="K35" s="22" t="str">
        <f t="shared" si="2"/>
        <v>CTRL_ALT_SHIFT_A</v>
      </c>
      <c r="L35" t="s">
        <v>272</v>
      </c>
      <c r="M35" t="s">
        <v>222</v>
      </c>
      <c r="N35" t="s">
        <v>223</v>
      </c>
      <c r="O35" t="s">
        <v>469</v>
      </c>
      <c r="P35" t="s">
        <v>509</v>
      </c>
    </row>
    <row r="36" spans="1:16" x14ac:dyDescent="0.3">
      <c r="A36">
        <v>34</v>
      </c>
      <c r="B36" t="b">
        <v>1</v>
      </c>
      <c r="C36" t="b">
        <v>0</v>
      </c>
      <c r="D36" t="s">
        <v>189</v>
      </c>
      <c r="F36" s="7" t="b">
        <v>1</v>
      </c>
      <c r="G36" s="6"/>
      <c r="H36" s="6" t="s">
        <v>257</v>
      </c>
      <c r="I36" s="22">
        <f>IF(ISBLANK(H36), "", VLOOKUP(LOWER(H36), javascriptKeycodes!A:B, 2, FALSE))</f>
        <v>86</v>
      </c>
      <c r="J36" s="22" t="str">
        <f>IF(ISBLANK(H36), "", VLOOKUP(LOWER(H36), javascriptKeycodes!A:C, 3, FALSE))</f>
        <v>key_v</v>
      </c>
      <c r="K36" s="22" t="str">
        <f t="shared" si="2"/>
        <v>ALT_V</v>
      </c>
      <c r="L36" t="s">
        <v>435</v>
      </c>
      <c r="M36" t="s">
        <v>127</v>
      </c>
      <c r="N36" t="s">
        <v>215</v>
      </c>
      <c r="O36" t="s">
        <v>461</v>
      </c>
      <c r="P36" t="s">
        <v>501</v>
      </c>
    </row>
    <row r="37" spans="1:16" x14ac:dyDescent="0.3">
      <c r="A37">
        <v>35</v>
      </c>
      <c r="B37" t="b">
        <v>0</v>
      </c>
      <c r="C37" t="b">
        <v>0</v>
      </c>
      <c r="D37" t="s">
        <v>189</v>
      </c>
      <c r="E37" t="b">
        <v>1</v>
      </c>
      <c r="F37" s="9"/>
      <c r="G37" s="9" t="b">
        <v>1</v>
      </c>
      <c r="H37" s="9" t="s">
        <v>261</v>
      </c>
      <c r="I37" s="22">
        <f>IF(ISBLANK(H37), "", VLOOKUP(LOWER(H37), javascriptKeycodes!A:B, 2, FALSE))</f>
        <v>70</v>
      </c>
      <c r="J37" s="22" t="str">
        <f>IF(ISBLANK(H37), "", VLOOKUP(LOWER(H37), javascriptKeycodes!A:C, 3, FALSE))</f>
        <v>key_f</v>
      </c>
      <c r="K37" s="22" t="str">
        <f t="shared" si="2"/>
        <v>CTRL_SHIFT_F</v>
      </c>
      <c r="L37" t="s">
        <v>690</v>
      </c>
      <c r="M37" t="s">
        <v>686</v>
      </c>
      <c r="N37" t="s">
        <v>687</v>
      </c>
      <c r="O37" t="s">
        <v>688</v>
      </c>
      <c r="P37" t="s">
        <v>689</v>
      </c>
    </row>
    <row r="38" spans="1:16" x14ac:dyDescent="0.3">
      <c r="A38">
        <v>36</v>
      </c>
      <c r="B38" t="b">
        <v>0</v>
      </c>
      <c r="C38" t="b">
        <v>0</v>
      </c>
      <c r="D38" t="s">
        <v>173</v>
      </c>
      <c r="E38" t="b">
        <v>1</v>
      </c>
      <c r="F38" s="6"/>
      <c r="G38" s="6"/>
      <c r="H38" s="6" t="s">
        <v>247</v>
      </c>
      <c r="I38" s="22">
        <f>IF(ISBLANK(H38), "", VLOOKUP(LOWER(H38), javascriptKeycodes!A:B, 2, FALSE))</f>
        <v>77</v>
      </c>
      <c r="J38" s="22" t="str">
        <f>IF(ISBLANK(H38), "", VLOOKUP(LOWER(H38), javascriptKeycodes!A:C, 3, FALSE))</f>
        <v>key_m</v>
      </c>
      <c r="K38" s="22" t="str">
        <f t="shared" si="2"/>
        <v>CTRL_M</v>
      </c>
      <c r="L38" t="s">
        <v>897</v>
      </c>
      <c r="M38" t="s">
        <v>145</v>
      </c>
      <c r="N38" t="s">
        <v>220</v>
      </c>
      <c r="O38" t="s">
        <v>466</v>
      </c>
      <c r="P38" t="s">
        <v>506</v>
      </c>
    </row>
    <row r="39" spans="1:16" x14ac:dyDescent="0.3">
      <c r="A39">
        <v>37</v>
      </c>
      <c r="B39" t="b">
        <v>0</v>
      </c>
      <c r="C39" t="b">
        <v>1</v>
      </c>
      <c r="D39" t="s">
        <v>174</v>
      </c>
      <c r="E39" t="b">
        <v>1</v>
      </c>
      <c r="F39" s="6"/>
      <c r="G39" s="7" t="b">
        <v>1</v>
      </c>
      <c r="H39" s="7" t="s">
        <v>247</v>
      </c>
      <c r="I39" s="22">
        <f>IF(ISBLANK(H39), "", VLOOKUP(LOWER(H39), javascriptKeycodes!A:B, 2, FALSE))</f>
        <v>77</v>
      </c>
      <c r="J39" s="22" t="str">
        <f>IF(ISBLANK(H39), "", VLOOKUP(LOWER(H39), javascriptKeycodes!A:C, 3, FALSE))</f>
        <v>key_m</v>
      </c>
      <c r="K39" s="22" t="str">
        <f t="shared" si="2"/>
        <v>CTRL_SHIFT_M</v>
      </c>
      <c r="L39" t="s">
        <v>898</v>
      </c>
      <c r="M39" t="s">
        <v>146</v>
      </c>
      <c r="N39" t="s">
        <v>221</v>
      </c>
      <c r="O39" t="s">
        <v>467</v>
      </c>
      <c r="P39" t="s">
        <v>507</v>
      </c>
    </row>
    <row r="40" spans="1:16" x14ac:dyDescent="0.3">
      <c r="A40">
        <v>38</v>
      </c>
      <c r="B40" t="b">
        <v>0</v>
      </c>
      <c r="C40" t="b">
        <v>0</v>
      </c>
      <c r="D40" t="s">
        <v>1101</v>
      </c>
      <c r="E40" t="b">
        <v>1</v>
      </c>
      <c r="F40" s="6"/>
      <c r="G40" s="6"/>
      <c r="H40" s="6" t="s">
        <v>250</v>
      </c>
      <c r="I40" s="22">
        <f>IF(ISBLANK(H40), "", VLOOKUP(LOWER(H40), javascriptKeycodes!A:B, 2, FALSE))</f>
        <v>82</v>
      </c>
      <c r="J40" s="22" t="str">
        <f>IF(ISBLANK(H40), "", VLOOKUP(LOWER(H40), javascriptKeycodes!A:C, 3, FALSE))</f>
        <v>key_r</v>
      </c>
      <c r="K40" s="22" t="str">
        <f t="shared" si="2"/>
        <v>CTRL_R</v>
      </c>
      <c r="L40" t="s">
        <v>914</v>
      </c>
      <c r="M40" t="s">
        <v>905</v>
      </c>
      <c r="N40" t="s">
        <v>906</v>
      </c>
      <c r="O40" t="s">
        <v>909</v>
      </c>
      <c r="P40" t="s">
        <v>911</v>
      </c>
    </row>
    <row r="41" spans="1:16" x14ac:dyDescent="0.3">
      <c r="A41">
        <v>39</v>
      </c>
      <c r="B41" t="b">
        <v>0</v>
      </c>
      <c r="C41" t="b">
        <v>1</v>
      </c>
      <c r="D41" t="s">
        <v>1102</v>
      </c>
      <c r="E41" t="b">
        <v>1</v>
      </c>
      <c r="F41" s="6"/>
      <c r="G41" s="6" t="b">
        <v>1</v>
      </c>
      <c r="H41" s="6" t="s">
        <v>250</v>
      </c>
      <c r="I41" s="22">
        <f>IF(ISBLANK(H41), "", VLOOKUP(LOWER(H41), javascriptKeycodes!A:B, 2, FALSE))</f>
        <v>82</v>
      </c>
      <c r="J41" s="22" t="str">
        <f>IF(ISBLANK(H41), "", VLOOKUP(LOWER(H41), javascriptKeycodes!A:C, 3, FALSE))</f>
        <v>key_r</v>
      </c>
      <c r="K41" s="22" t="str">
        <f t="shared" si="2"/>
        <v>CTRL_SHIFT_R</v>
      </c>
      <c r="L41" t="s">
        <v>913</v>
      </c>
      <c r="M41" t="s">
        <v>908</v>
      </c>
      <c r="N41" t="s">
        <v>907</v>
      </c>
      <c r="O41" t="s">
        <v>910</v>
      </c>
      <c r="P41" t="s">
        <v>912</v>
      </c>
    </row>
    <row r="42" spans="1:16" x14ac:dyDescent="0.3">
      <c r="A42">
        <v>40</v>
      </c>
      <c r="B42" t="b">
        <v>0</v>
      </c>
      <c r="C42" t="b">
        <v>0</v>
      </c>
      <c r="D42" t="s">
        <v>165</v>
      </c>
      <c r="E42" t="b">
        <v>1</v>
      </c>
      <c r="F42" s="20"/>
      <c r="G42" s="20"/>
      <c r="H42" s="20" t="s">
        <v>261</v>
      </c>
      <c r="I42" s="22">
        <f>IF(ISBLANK(H42), "", VLOOKUP(LOWER(H42), javascriptKeycodes!A:B, 2, FALSE))</f>
        <v>70</v>
      </c>
      <c r="J42" s="22" t="str">
        <f>IF(ISBLANK(H42), "", VLOOKUP(LOWER(H42), javascriptKeycodes!A:C, 3, FALSE))</f>
        <v>key_f</v>
      </c>
      <c r="K42" s="22" t="str">
        <f t="shared" si="2"/>
        <v>CTRL_F</v>
      </c>
      <c r="L42" t="s">
        <v>936</v>
      </c>
      <c r="M42" t="s">
        <v>928</v>
      </c>
      <c r="N42" t="s">
        <v>932</v>
      </c>
      <c r="O42" t="s">
        <v>930</v>
      </c>
      <c r="P42" t="s">
        <v>934</v>
      </c>
    </row>
    <row r="43" spans="1:16" x14ac:dyDescent="0.3">
      <c r="A43">
        <v>41</v>
      </c>
      <c r="B43" t="b">
        <v>0</v>
      </c>
      <c r="C43" t="b">
        <v>0</v>
      </c>
      <c r="D43" t="s">
        <v>1113</v>
      </c>
      <c r="E43" t="b">
        <v>1</v>
      </c>
      <c r="F43" s="20"/>
      <c r="G43" s="20"/>
      <c r="H43" s="20" t="s">
        <v>265</v>
      </c>
      <c r="I43" s="22">
        <f>IF(ISBLANK(H43), "", VLOOKUP(LOWER(H43), javascriptKeycodes!A:B, 2, FALSE))</f>
        <v>66</v>
      </c>
      <c r="J43" s="22" t="str">
        <f>IF(ISBLANK(H43), "", VLOOKUP(LOWER(H43), javascriptKeycodes!A:C, 3, FALSE))</f>
        <v>key_b</v>
      </c>
      <c r="K43" s="22" t="str">
        <f t="shared" si="2"/>
        <v>CTRL_B</v>
      </c>
      <c r="L43" t="s">
        <v>937</v>
      </c>
      <c r="M43" t="s">
        <v>929</v>
      </c>
      <c r="N43" t="s">
        <v>933</v>
      </c>
      <c r="O43" t="s">
        <v>931</v>
      </c>
      <c r="P43" t="s">
        <v>935</v>
      </c>
    </row>
    <row r="44" spans="1:16" x14ac:dyDescent="0.3">
      <c r="A44">
        <v>42</v>
      </c>
      <c r="B44" t="b">
        <v>0</v>
      </c>
      <c r="C44" t="b">
        <v>0</v>
      </c>
      <c r="D44" t="s">
        <v>280</v>
      </c>
      <c r="F44" s="6"/>
      <c r="G44" s="6"/>
      <c r="H44" s="6"/>
      <c r="I44" s="22" t="str">
        <f>IF(ISBLANK(H44), "", VLOOKUP(LOWER(H44), javascriptKeycodes!A:B, 2, FALSE))</f>
        <v/>
      </c>
      <c r="J44" s="22" t="str">
        <f>IF(ISBLANK(H44), "", VLOOKUP(LOWER(H44), javascriptKeycodes!A:C, 3, FALSE))</f>
        <v/>
      </c>
      <c r="K44" s="22" t="str">
        <f t="shared" si="2"/>
        <v/>
      </c>
      <c r="L44" t="s">
        <v>1100</v>
      </c>
      <c r="M44" t="s">
        <v>279</v>
      </c>
      <c r="N44" t="s">
        <v>281</v>
      </c>
      <c r="O44" t="s">
        <v>468</v>
      </c>
      <c r="P44" t="s">
        <v>508</v>
      </c>
    </row>
    <row r="45" spans="1:16" x14ac:dyDescent="0.3">
      <c r="A45">
        <v>43</v>
      </c>
      <c r="B45" t="b">
        <v>1</v>
      </c>
      <c r="C45" t="b">
        <v>0</v>
      </c>
      <c r="D45" t="s">
        <v>180</v>
      </c>
      <c r="F45" s="7" t="b">
        <v>1</v>
      </c>
      <c r="G45" s="6"/>
      <c r="H45" s="6" t="s">
        <v>264</v>
      </c>
      <c r="I45" s="22">
        <f>IF(ISBLANK(H45), "", VLOOKUP(LOWER(H45), javascriptKeycodes!A:B, 2, FALSE))</f>
        <v>65</v>
      </c>
      <c r="J45" s="22" t="str">
        <f>IF(ISBLANK(H45), "", VLOOKUP(LOWER(H45), javascriptKeycodes!A:C, 3, FALSE))</f>
        <v>key_a</v>
      </c>
      <c r="K45" s="22" t="str">
        <f t="shared" si="2"/>
        <v>ALT_A</v>
      </c>
      <c r="L45" t="s">
        <v>272</v>
      </c>
      <c r="M45" t="s">
        <v>122</v>
      </c>
      <c r="N45" t="s">
        <v>227</v>
      </c>
      <c r="O45" t="s">
        <v>470</v>
      </c>
      <c r="P45" t="s">
        <v>510</v>
      </c>
    </row>
    <row r="46" spans="1:16" x14ac:dyDescent="0.3">
      <c r="A46">
        <v>44</v>
      </c>
      <c r="B46" t="b">
        <v>0</v>
      </c>
      <c r="C46" t="b">
        <v>0</v>
      </c>
      <c r="D46" t="s">
        <v>190</v>
      </c>
      <c r="F46" s="6"/>
      <c r="G46" s="6"/>
      <c r="H46" s="6"/>
      <c r="I46" s="22" t="str">
        <f>IF(ISBLANK(H46), "", VLOOKUP(LOWER(H46), javascriptKeycodes!A:B, 2, FALSE))</f>
        <v/>
      </c>
      <c r="J46" s="22" t="str">
        <f>IF(ISBLANK(H46), "", VLOOKUP(LOWER(H46), javascriptKeycodes!A:C, 3, FALSE))</f>
        <v/>
      </c>
      <c r="K46" s="22" t="str">
        <f t="shared" si="2"/>
        <v/>
      </c>
      <c r="L46" t="s">
        <v>272</v>
      </c>
      <c r="M46" t="s">
        <v>150</v>
      </c>
      <c r="N46" t="s">
        <v>228</v>
      </c>
      <c r="O46" t="s">
        <v>471</v>
      </c>
      <c r="P46" t="s">
        <v>511</v>
      </c>
    </row>
    <row r="47" spans="1:16" x14ac:dyDescent="0.3">
      <c r="A47">
        <v>45</v>
      </c>
      <c r="B47" t="b">
        <v>0</v>
      </c>
      <c r="C47" t="b">
        <v>0</v>
      </c>
      <c r="D47" t="s">
        <v>181</v>
      </c>
      <c r="E47" t="b">
        <v>1</v>
      </c>
      <c r="F47" s="6"/>
      <c r="G47" s="6" t="b">
        <v>1</v>
      </c>
      <c r="H47" s="6" t="s">
        <v>265</v>
      </c>
      <c r="I47" s="22">
        <f>IF(ISBLANK(H47), "", VLOOKUP(LOWER(H47), javascriptKeycodes!A:B, 2, FALSE))</f>
        <v>66</v>
      </c>
      <c r="J47" s="22" t="str">
        <f>IF(ISBLANK(H47), "", VLOOKUP(LOWER(H47), javascriptKeycodes!A:C, 3, FALSE))</f>
        <v>key_b</v>
      </c>
      <c r="K47" s="22" t="str">
        <f t="shared" si="2"/>
        <v>CTRL_SHIFT_B</v>
      </c>
      <c r="L47" t="s">
        <v>272</v>
      </c>
      <c r="M47" t="s">
        <v>121</v>
      </c>
      <c r="N47" t="s">
        <v>229</v>
      </c>
      <c r="O47" t="s">
        <v>472</v>
      </c>
      <c r="P47" t="s">
        <v>512</v>
      </c>
    </row>
    <row r="48" spans="1:16" x14ac:dyDescent="0.3">
      <c r="A48">
        <v>46</v>
      </c>
      <c r="B48" t="b">
        <v>0</v>
      </c>
      <c r="C48" t="b">
        <v>0</v>
      </c>
      <c r="D48" t="s">
        <v>182</v>
      </c>
      <c r="E48" t="b">
        <v>1</v>
      </c>
      <c r="F48" s="6"/>
      <c r="G48" s="6"/>
      <c r="H48" s="6" t="s">
        <v>266</v>
      </c>
      <c r="I48" s="22">
        <f>IF(ISBLANK(H48), "", VLOOKUP(LOWER(H48), javascriptKeycodes!A:B, 2, FALSE))</f>
        <v>87</v>
      </c>
      <c r="J48" s="22" t="str">
        <f>IF(ISBLANK(H48), "", VLOOKUP(LOWER(H48), javascriptKeycodes!A:C, 3, FALSE))</f>
        <v>key_w</v>
      </c>
      <c r="K48" s="22" t="str">
        <f t="shared" si="2"/>
        <v>CTRL_W</v>
      </c>
      <c r="L48" t="s">
        <v>272</v>
      </c>
      <c r="M48" t="s">
        <v>119</v>
      </c>
      <c r="N48" t="s">
        <v>230</v>
      </c>
      <c r="O48" t="s">
        <v>473</v>
      </c>
      <c r="P48" t="s">
        <v>513</v>
      </c>
    </row>
    <row r="49" spans="1:16" x14ac:dyDescent="0.3">
      <c r="A49">
        <v>47</v>
      </c>
      <c r="B49" t="b">
        <v>1</v>
      </c>
      <c r="C49" t="b">
        <v>0</v>
      </c>
      <c r="D49" t="s">
        <v>191</v>
      </c>
      <c r="F49" s="7" t="b">
        <v>1</v>
      </c>
      <c r="G49" s="6"/>
      <c r="H49" s="6" t="s">
        <v>267</v>
      </c>
      <c r="I49" s="22">
        <f>IF(ISBLANK(H49), "", VLOOKUP(LOWER(H49), javascriptKeycodes!A:B, 2, FALSE))</f>
        <v>72</v>
      </c>
      <c r="J49" s="22" t="str">
        <f>IF(ISBLANK(H49), "", VLOOKUP(LOWER(H49), javascriptKeycodes!A:C, 3, FALSE))</f>
        <v>key_h</v>
      </c>
      <c r="K49" s="22" t="str">
        <f t="shared" si="2"/>
        <v>ALT_H</v>
      </c>
      <c r="L49" t="s">
        <v>435</v>
      </c>
      <c r="M49" t="s">
        <v>147</v>
      </c>
      <c r="N49" t="s">
        <v>231</v>
      </c>
      <c r="O49" t="s">
        <v>474</v>
      </c>
      <c r="P49" t="s">
        <v>514</v>
      </c>
    </row>
    <row r="50" spans="1:16" x14ac:dyDescent="0.3">
      <c r="A50">
        <v>48</v>
      </c>
      <c r="B50" t="b">
        <v>0</v>
      </c>
      <c r="C50" t="b">
        <v>0</v>
      </c>
      <c r="D50" t="s">
        <v>183</v>
      </c>
      <c r="E50" t="b">
        <v>1</v>
      </c>
      <c r="F50" s="6"/>
      <c r="G50" s="6"/>
      <c r="H50" s="6" t="s">
        <v>245</v>
      </c>
      <c r="I50" s="22">
        <f>IF(ISBLANK(H50), "", VLOOKUP(LOWER(H50), javascriptKeycodes!A:B, 2, FALSE))</f>
        <v>68</v>
      </c>
      <c r="J50" s="22" t="str">
        <f>IF(ISBLANK(H50), "", VLOOKUP(LOWER(H50), javascriptKeycodes!A:C, 3, FALSE))</f>
        <v>key_d</v>
      </c>
      <c r="K50" s="22" t="str">
        <f t="shared" si="2"/>
        <v>CTRL_D</v>
      </c>
      <c r="L50" t="s">
        <v>272</v>
      </c>
      <c r="M50" t="s">
        <v>148</v>
      </c>
      <c r="N50" t="s">
        <v>232</v>
      </c>
      <c r="O50" t="s">
        <v>475</v>
      </c>
      <c r="P50" t="s">
        <v>515</v>
      </c>
    </row>
    <row r="51" spans="1:16" x14ac:dyDescent="0.3">
      <c r="A51">
        <v>49</v>
      </c>
      <c r="B51" t="b">
        <v>0</v>
      </c>
      <c r="C51" t="b">
        <v>1</v>
      </c>
      <c r="D51" t="s">
        <v>186</v>
      </c>
      <c r="E51" t="b">
        <v>1</v>
      </c>
      <c r="F51" s="6"/>
      <c r="G51" s="6"/>
      <c r="H51" s="6" t="s">
        <v>267</v>
      </c>
      <c r="I51" s="22">
        <f>IF(ISBLANK(H51), "", VLOOKUP(LOWER(H51), javascriptKeycodes!A:B, 2, FALSE))</f>
        <v>72</v>
      </c>
      <c r="J51" s="22" t="str">
        <f>IF(ISBLANK(H51), "", VLOOKUP(LOWER(H51), javascriptKeycodes!A:C, 3, FALSE))</f>
        <v>key_h</v>
      </c>
      <c r="K51" s="22" t="str">
        <f t="shared" si="2"/>
        <v>CTRL_H</v>
      </c>
      <c r="L51" t="s">
        <v>272</v>
      </c>
      <c r="M51" t="s">
        <v>184</v>
      </c>
      <c r="N51" t="s">
        <v>233</v>
      </c>
      <c r="O51" t="s">
        <v>476</v>
      </c>
      <c r="P51" t="s">
        <v>516</v>
      </c>
    </row>
    <row r="52" spans="1:16" x14ac:dyDescent="0.3">
      <c r="A52">
        <v>50</v>
      </c>
      <c r="B52" t="b">
        <v>0</v>
      </c>
      <c r="C52" t="b">
        <v>0</v>
      </c>
      <c r="D52" t="s">
        <v>185</v>
      </c>
      <c r="F52" s="6"/>
      <c r="G52" s="6"/>
      <c r="H52" s="6"/>
      <c r="I52" s="22" t="str">
        <f>IF(ISBLANK(H52), "", VLOOKUP(LOWER(H52), javascriptKeycodes!A:B, 2, FALSE))</f>
        <v/>
      </c>
      <c r="J52" s="22" t="str">
        <f>IF(ISBLANK(H52), "", VLOOKUP(LOWER(H52), javascriptKeycodes!A:C, 3, FALSE))</f>
        <v/>
      </c>
      <c r="K52" s="22" t="str">
        <f t="shared" si="2"/>
        <v/>
      </c>
      <c r="L52" t="s">
        <v>272</v>
      </c>
      <c r="M52" t="s">
        <v>149</v>
      </c>
      <c r="N52" t="s">
        <v>233</v>
      </c>
      <c r="O52" t="s">
        <v>477</v>
      </c>
      <c r="P52" t="s">
        <v>516</v>
      </c>
    </row>
    <row r="53" spans="1:16" x14ac:dyDescent="0.3">
      <c r="F53" s="6"/>
      <c r="G53" s="6"/>
      <c r="H53" s="6"/>
      <c r="I53" s="6"/>
      <c r="J53" s="7"/>
      <c r="K53" s="10"/>
    </row>
    <row r="54" spans="1:16" x14ac:dyDescent="0.3">
      <c r="F54" s="6"/>
      <c r="G54" s="6"/>
      <c r="H54" s="6"/>
      <c r="I54" s="6"/>
      <c r="J54" s="7"/>
      <c r="K54" s="10"/>
    </row>
  </sheetData>
  <mergeCells count="3">
    <mergeCell ref="M1:N1"/>
    <mergeCell ref="O1:P1"/>
    <mergeCell ref="E1:K1"/>
  </mergeCells>
  <conditionalFormatting sqref="G55:G1048576">
    <cfRule type="duplicateValues" dxfId="4" priority="4"/>
  </conditionalFormatting>
  <conditionalFormatting sqref="K1:K1048576">
    <cfRule type="duplicateValues" dxfId="3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L1" sqref="L1"/>
    </sheetView>
  </sheetViews>
  <sheetFormatPr defaultRowHeight="14.4" x14ac:dyDescent="0.3"/>
  <cols>
    <col min="1" max="7" width="8.88671875" style="1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675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901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902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899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900</v>
      </c>
      <c r="H5" s="13" t="str">
        <f t="shared" si="0"/>
        <v>CTRL_equal sign</v>
      </c>
      <c r="I5" s="13" t="str">
        <f>IF(ISBLANK(menu!K7),"",menu!K7)</f>
        <v>CTRL_S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1084</v>
      </c>
      <c r="H6" s="13" t="str">
        <f t="shared" si="0"/>
        <v>up arrow</v>
      </c>
      <c r="I6" s="13" t="str">
        <f>IF(ISBLANK(menu!K6),"",menu!K6)</f>
        <v>CTRL_O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1085</v>
      </c>
      <c r="H7" s="13" t="str">
        <f t="shared" si="0"/>
        <v>down arrow</v>
      </c>
      <c r="I7" s="13" t="str">
        <f>IF(ISBLANK(menu!K9),"",menu!K9)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1086</v>
      </c>
      <c r="H8" s="13" t="str">
        <f t="shared" si="0"/>
        <v>right arrow</v>
      </c>
      <c r="I8" s="13" t="str">
        <f>IF(ISBLANK(menu!K10),"",menu!K10)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1087</v>
      </c>
      <c r="H9" s="13" t="str">
        <f t="shared" si="0"/>
        <v>left arrow</v>
      </c>
      <c r="I9" s="13" t="str">
        <f>IF(ISBLANK(menu!K11),"",menu!K11)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IF(ISBLANK(menu!K12),"",menu!K12)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IF(ISBLANK(menu!K13),"",menu!K13)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IF(ISBLANK(menu!K14),"",menu!K14)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IF(ISBLANK(menu!K15),"",menu!K15)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IF(ISBLANK(menu!K16),"",menu!K16)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IF(ISBLANK(menu!K17),"",menu!K17)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IF(ISBLANK(menu!K18),"",menu!K18)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IF(ISBLANK(menu!K19),"",menu!K19)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IF(ISBLANK(menu!K21),"",menu!K21)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IF(ISBLANK(menu!K22),"",menu!K22)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IF(ISBLANK(menu!K23),"",menu!K23)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IF(ISBLANK(menu!K24),"",menu!K24)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IF(ISBLANK(menu!K25),"",menu!K25)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IF(ISBLANK(menu!K26),"",menu!K26)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IF(ISBLANK(menu!K27),"",menu!K27)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IF(ISBLANK(menu!K28),"",menu!K28)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IF(ISBLANK(menu!K29),"",menu!K29)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IF(ISBLANK(menu!K36),"",menu!K36)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IF(ISBLANK(menu!K37),"",menu!K37)</f>
        <v>CTRL_SHIFT_F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IF(ISBLANK(menu!K31),"",menu!K31)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IF(ISBLANK(menu!K32),"",menu!K32)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IF(ISBLANK(menu!K33),"",menu!K33)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IF(ISBLANK(menu!K34),"",menu!K34)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IF(ISBLANK(menu!K38),"",menu!K38)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IF(ISBLANK(menu!K39),"",menu!K39)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IF(ISBLANK(menu!K40),"",menu!K40)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IF(ISBLANK(menu!K41),"",menu!K41)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IF(ISBLANK(menu!K44),"",menu!K44)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IF(ISBLANK(menu!K35),"",menu!K35)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IF(ISBLANK(menu!K45),"",menu!K45)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IF(ISBLANK(menu!K46),"",menu!K46)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IF(ISBLANK(menu!K47),"",menu!K47)</f>
        <v>CTRL_SHIFT_B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IF(ISBLANK(menu!K48),"",menu!K48)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IF(ISBLANK(menu!K49),"",menu!K49)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IF(ISBLANK(menu!K50),"",menu!K50)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IF(ISBLANK(menu!K51),"",menu!K51)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IF(ISBLANK(menu!K52),"",menu!K52)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IF(ISBLANK(menu!K53),"",menu!K53)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IF(ISBLANK(menu!K54),"",menu!K54)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IF(ISBLANK(menu!K55),"",menu!K55)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IF(ISBLANK(menu!K56),"",menu!K56)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IF(ISBLANK(menu!K57),"",menu!K57)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IF(ISBLANK(menu!K58),"",menu!K58)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IF(ISBLANK(menu!K59),"",menu!K59)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IF(ISBLANK(menu!K60),"",menu!K60)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IF(ISBLANK(menu!K61),"",menu!K61)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IF(ISBLANK(menu!K62),"",menu!K62)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IF(ISBLANK(menu!K63),"",menu!K63)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IF(ISBLANK(menu!K64),"",menu!K64)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IF(ISBLANK(menu!K65),"",menu!K65)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IF(ISBLANK(menu!K66),"",menu!K66)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IF(ISBLANK(menu!K67),"",menu!K67)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IF(ISBLANK(menu!K68),"",menu!K68)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IF(ISBLANK(menu!K69),"",menu!K69)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IF(ISBLANK(menu!K70),"",menu!K70)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IF(ISBLANK(menu!K71),"",menu!K71)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IF(ISBLANK(menu!K72),"",menu!K72)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IF(ISBLANK(menu!K73),"",menu!K73)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IF(ISBLANK(menu!K74),"",menu!K74)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IF(ISBLANK(menu!K75),"",menu!K75)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IF(ISBLANK(menu!K76),"",menu!K76)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IF(ISBLANK(menu!K77),"",menu!K77)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IF(ISBLANK(menu!K78),"",menu!K78)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IF(ISBLANK(menu!K79),"",menu!K79)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IF(ISBLANK(menu!K80),"",menu!K80)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IF(ISBLANK(menu!K81),"",menu!K81)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IF(ISBLANK(menu!K82),"",menu!K82)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IF(ISBLANK(menu!K83),"",menu!K83)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IF(ISBLANK(menu!K84),"",menu!K84)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IF(ISBLANK(menu!K85),"",menu!K85)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IF(ISBLANK(menu!K86),"",menu!K86)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IF(ISBLANK(menu!K87),"",menu!K87)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IF(ISBLANK(menu!K88),"",menu!K88)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IF(ISBLANK(menu!K89),"",menu!K89)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IF(ISBLANK(menu!K90),"",menu!K90)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IF(ISBLANK(menu!K91),"",menu!K91)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IF(ISBLANK(menu!K92),"",menu!K92)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IF(ISBLANK(menu!K93),"",menu!K93)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IF(ISBLANK(menu!K94),"",menu!K94)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IF(ISBLANK(menu!K95),"",menu!K95)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IF(ISBLANK(menu!K96),"",menu!K96)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IF(ISBLANK(menu!K97),"",menu!K97)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IF(ISBLANK(menu!K98),"",menu!K98)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IF(ISBLANK(menu!K99),"",menu!K99)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IF(ISBLANK(menu!K100),"",menu!K100)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IF(ISBLANK(menu!K101),"",menu!K101)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IF(ISBLANK(menu!K102),"",menu!K102)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IF(ISBLANK(menu!K103),"",menu!K103)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IF(ISBLANK(menu!K104),"",menu!K104)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IF(ISBLANK(menu!K105),"",menu!K105)</f>
        <v/>
      </c>
      <c r="M100" s="11" t="str">
        <f t="shared" si="3"/>
        <v/>
      </c>
    </row>
  </sheetData>
  <conditionalFormatting sqref="H1:I1048576">
    <cfRule type="duplicateValues" dxfId="2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517</v>
      </c>
    </row>
    <row r="2" spans="1:3" x14ac:dyDescent="0.3">
      <c r="A2" t="s">
        <v>347</v>
      </c>
      <c r="B2">
        <v>8</v>
      </c>
      <c r="C2" t="s">
        <v>518</v>
      </c>
    </row>
    <row r="3" spans="1:3" x14ac:dyDescent="0.3">
      <c r="A3" t="s">
        <v>348</v>
      </c>
      <c r="B3">
        <v>9</v>
      </c>
      <c r="C3" t="s">
        <v>519</v>
      </c>
    </row>
    <row r="4" spans="1:3" x14ac:dyDescent="0.3">
      <c r="A4" t="s">
        <v>349</v>
      </c>
      <c r="B4">
        <v>13</v>
      </c>
      <c r="C4" t="s">
        <v>520</v>
      </c>
    </row>
    <row r="5" spans="1:3" x14ac:dyDescent="0.3">
      <c r="A5" t="s">
        <v>350</v>
      </c>
      <c r="B5">
        <v>16</v>
      </c>
      <c r="C5" t="s">
        <v>521</v>
      </c>
    </row>
    <row r="6" spans="1:3" x14ac:dyDescent="0.3">
      <c r="A6" t="s">
        <v>351</v>
      </c>
      <c r="B6">
        <v>17</v>
      </c>
      <c r="C6" t="s">
        <v>522</v>
      </c>
    </row>
    <row r="7" spans="1:3" x14ac:dyDescent="0.3">
      <c r="A7" t="s">
        <v>352</v>
      </c>
      <c r="B7">
        <v>18</v>
      </c>
      <c r="C7" t="s">
        <v>523</v>
      </c>
    </row>
    <row r="8" spans="1:3" x14ac:dyDescent="0.3">
      <c r="A8" t="s">
        <v>353</v>
      </c>
      <c r="B8">
        <v>19</v>
      </c>
      <c r="C8" t="s">
        <v>524</v>
      </c>
    </row>
    <row r="9" spans="1:3" x14ac:dyDescent="0.3">
      <c r="A9" t="s">
        <v>354</v>
      </c>
      <c r="B9">
        <v>20</v>
      </c>
      <c r="C9" t="s">
        <v>525</v>
      </c>
    </row>
    <row r="10" spans="1:3" x14ac:dyDescent="0.3">
      <c r="A10" t="s">
        <v>355</v>
      </c>
      <c r="B10">
        <v>27</v>
      </c>
      <c r="C10" t="s">
        <v>526</v>
      </c>
    </row>
    <row r="11" spans="1:3" x14ac:dyDescent="0.3">
      <c r="A11" t="s">
        <v>356</v>
      </c>
      <c r="B11">
        <v>33</v>
      </c>
      <c r="C11" t="s">
        <v>527</v>
      </c>
    </row>
    <row r="12" spans="1:3" x14ac:dyDescent="0.3">
      <c r="A12" t="s">
        <v>357</v>
      </c>
      <c r="B12">
        <v>34</v>
      </c>
      <c r="C12" t="s">
        <v>528</v>
      </c>
    </row>
    <row r="13" spans="1:3" x14ac:dyDescent="0.3">
      <c r="A13" t="s">
        <v>358</v>
      </c>
      <c r="B13">
        <v>35</v>
      </c>
      <c r="C13" t="s">
        <v>529</v>
      </c>
    </row>
    <row r="14" spans="1:3" x14ac:dyDescent="0.3">
      <c r="A14" t="s">
        <v>359</v>
      </c>
      <c r="B14">
        <v>36</v>
      </c>
      <c r="C14" t="s">
        <v>530</v>
      </c>
    </row>
    <row r="15" spans="1:3" x14ac:dyDescent="0.3">
      <c r="A15" t="s">
        <v>360</v>
      </c>
      <c r="B15">
        <v>37</v>
      </c>
      <c r="C15" t="s">
        <v>531</v>
      </c>
    </row>
    <row r="16" spans="1:3" x14ac:dyDescent="0.3">
      <c r="A16" t="s">
        <v>361</v>
      </c>
      <c r="B16">
        <v>38</v>
      </c>
      <c r="C16" t="s">
        <v>532</v>
      </c>
    </row>
    <row r="17" spans="1:3" x14ac:dyDescent="0.3">
      <c r="A17" t="s">
        <v>362</v>
      </c>
      <c r="B17">
        <v>39</v>
      </c>
      <c r="C17" t="s">
        <v>533</v>
      </c>
    </row>
    <row r="18" spans="1:3" x14ac:dyDescent="0.3">
      <c r="A18" t="s">
        <v>363</v>
      </c>
      <c r="B18">
        <v>40</v>
      </c>
      <c r="C18" t="s">
        <v>534</v>
      </c>
    </row>
    <row r="19" spans="1:3" x14ac:dyDescent="0.3">
      <c r="A19" t="s">
        <v>364</v>
      </c>
      <c r="B19">
        <v>45</v>
      </c>
      <c r="C19" t="s">
        <v>535</v>
      </c>
    </row>
    <row r="20" spans="1:3" x14ac:dyDescent="0.3">
      <c r="A20" t="s">
        <v>7</v>
      </c>
      <c r="B20">
        <v>46</v>
      </c>
      <c r="C20" t="s">
        <v>536</v>
      </c>
    </row>
    <row r="21" spans="1:3" x14ac:dyDescent="0.3">
      <c r="A21" t="s">
        <v>676</v>
      </c>
      <c r="B21">
        <v>48</v>
      </c>
      <c r="C21" t="s">
        <v>537</v>
      </c>
    </row>
    <row r="22" spans="1:3" x14ac:dyDescent="0.3">
      <c r="A22" t="s">
        <v>677</v>
      </c>
      <c r="B22">
        <v>49</v>
      </c>
      <c r="C22" t="s">
        <v>538</v>
      </c>
    </row>
    <row r="23" spans="1:3" x14ac:dyDescent="0.3">
      <c r="A23" t="s">
        <v>678</v>
      </c>
      <c r="B23">
        <v>50</v>
      </c>
      <c r="C23" t="s">
        <v>539</v>
      </c>
    </row>
    <row r="24" spans="1:3" x14ac:dyDescent="0.3">
      <c r="A24" t="s">
        <v>679</v>
      </c>
      <c r="B24">
        <v>51</v>
      </c>
      <c r="C24" t="s">
        <v>540</v>
      </c>
    </row>
    <row r="25" spans="1:3" x14ac:dyDescent="0.3">
      <c r="A25" t="s">
        <v>680</v>
      </c>
      <c r="B25">
        <v>52</v>
      </c>
      <c r="C25" t="s">
        <v>541</v>
      </c>
    </row>
    <row r="26" spans="1:3" x14ac:dyDescent="0.3">
      <c r="A26" t="s">
        <v>681</v>
      </c>
      <c r="B26">
        <v>53</v>
      </c>
      <c r="C26" t="s">
        <v>542</v>
      </c>
    </row>
    <row r="27" spans="1:3" x14ac:dyDescent="0.3">
      <c r="A27" t="s">
        <v>682</v>
      </c>
      <c r="B27">
        <v>54</v>
      </c>
      <c r="C27" t="s">
        <v>543</v>
      </c>
    </row>
    <row r="28" spans="1:3" x14ac:dyDescent="0.3">
      <c r="A28" t="s">
        <v>683</v>
      </c>
      <c r="B28">
        <v>55</v>
      </c>
      <c r="C28" t="s">
        <v>544</v>
      </c>
    </row>
    <row r="29" spans="1:3" x14ac:dyDescent="0.3">
      <c r="A29" t="s">
        <v>684</v>
      </c>
      <c r="B29">
        <v>56</v>
      </c>
      <c r="C29" t="s">
        <v>545</v>
      </c>
    </row>
    <row r="30" spans="1:3" x14ac:dyDescent="0.3">
      <c r="A30" t="s">
        <v>685</v>
      </c>
      <c r="B30">
        <v>57</v>
      </c>
      <c r="C30" t="s">
        <v>546</v>
      </c>
    </row>
    <row r="31" spans="1:3" x14ac:dyDescent="0.3">
      <c r="A31" t="s">
        <v>365</v>
      </c>
      <c r="B31">
        <v>65</v>
      </c>
      <c r="C31" t="s">
        <v>547</v>
      </c>
    </row>
    <row r="32" spans="1:3" x14ac:dyDescent="0.3">
      <c r="A32" t="s">
        <v>366</v>
      </c>
      <c r="B32">
        <v>66</v>
      </c>
      <c r="C32" t="s">
        <v>548</v>
      </c>
    </row>
    <row r="33" spans="1:3" x14ac:dyDescent="0.3">
      <c r="A33" t="s">
        <v>367</v>
      </c>
      <c r="B33">
        <v>67</v>
      </c>
      <c r="C33" t="s">
        <v>549</v>
      </c>
    </row>
    <row r="34" spans="1:3" x14ac:dyDescent="0.3">
      <c r="A34" t="s">
        <v>368</v>
      </c>
      <c r="B34">
        <v>68</v>
      </c>
      <c r="C34" t="s">
        <v>550</v>
      </c>
    </row>
    <row r="35" spans="1:3" x14ac:dyDescent="0.3">
      <c r="A35" t="s">
        <v>370</v>
      </c>
      <c r="B35">
        <v>69</v>
      </c>
      <c r="C35" t="s">
        <v>551</v>
      </c>
    </row>
    <row r="36" spans="1:3" x14ac:dyDescent="0.3">
      <c r="A36" t="s">
        <v>371</v>
      </c>
      <c r="B36">
        <v>70</v>
      </c>
      <c r="C36" t="s">
        <v>552</v>
      </c>
    </row>
    <row r="37" spans="1:3" x14ac:dyDescent="0.3">
      <c r="A37" t="s">
        <v>372</v>
      </c>
      <c r="B37">
        <v>71</v>
      </c>
      <c r="C37" t="s">
        <v>553</v>
      </c>
    </row>
    <row r="38" spans="1:3" x14ac:dyDescent="0.3">
      <c r="A38" t="s">
        <v>373</v>
      </c>
      <c r="B38">
        <v>72</v>
      </c>
      <c r="C38" t="s">
        <v>554</v>
      </c>
    </row>
    <row r="39" spans="1:3" x14ac:dyDescent="0.3">
      <c r="A39" t="s">
        <v>374</v>
      </c>
      <c r="B39">
        <v>73</v>
      </c>
      <c r="C39" t="s">
        <v>555</v>
      </c>
    </row>
    <row r="40" spans="1:3" x14ac:dyDescent="0.3">
      <c r="A40" t="s">
        <v>375</v>
      </c>
      <c r="B40">
        <v>74</v>
      </c>
      <c r="C40" t="s">
        <v>556</v>
      </c>
    </row>
    <row r="41" spans="1:3" x14ac:dyDescent="0.3">
      <c r="A41" t="s">
        <v>376</v>
      </c>
      <c r="B41">
        <v>75</v>
      </c>
      <c r="C41" t="s">
        <v>557</v>
      </c>
    </row>
    <row r="42" spans="1:3" x14ac:dyDescent="0.3">
      <c r="A42" t="s">
        <v>377</v>
      </c>
      <c r="B42">
        <v>76</v>
      </c>
      <c r="C42" t="s">
        <v>558</v>
      </c>
    </row>
    <row r="43" spans="1:3" x14ac:dyDescent="0.3">
      <c r="A43" t="s">
        <v>378</v>
      </c>
      <c r="B43">
        <v>77</v>
      </c>
      <c r="C43" t="s">
        <v>559</v>
      </c>
    </row>
    <row r="44" spans="1:3" x14ac:dyDescent="0.3">
      <c r="A44" t="s">
        <v>379</v>
      </c>
      <c r="B44">
        <v>78</v>
      </c>
      <c r="C44" t="s">
        <v>560</v>
      </c>
    </row>
    <row r="45" spans="1:3" x14ac:dyDescent="0.3">
      <c r="A45" t="s">
        <v>380</v>
      </c>
      <c r="B45">
        <v>79</v>
      </c>
      <c r="C45" t="s">
        <v>561</v>
      </c>
    </row>
    <row r="46" spans="1:3" x14ac:dyDescent="0.3">
      <c r="A46" t="s">
        <v>381</v>
      </c>
      <c r="B46">
        <v>80</v>
      </c>
      <c r="C46" t="s">
        <v>562</v>
      </c>
    </row>
    <row r="47" spans="1:3" x14ac:dyDescent="0.3">
      <c r="A47" t="s">
        <v>382</v>
      </c>
      <c r="B47">
        <v>81</v>
      </c>
      <c r="C47" t="s">
        <v>563</v>
      </c>
    </row>
    <row r="48" spans="1:3" x14ac:dyDescent="0.3">
      <c r="A48" t="s">
        <v>383</v>
      </c>
      <c r="B48">
        <v>82</v>
      </c>
      <c r="C48" t="s">
        <v>564</v>
      </c>
    </row>
    <row r="49" spans="1:3" x14ac:dyDescent="0.3">
      <c r="A49" t="s">
        <v>384</v>
      </c>
      <c r="B49">
        <v>83</v>
      </c>
      <c r="C49" t="s">
        <v>565</v>
      </c>
    </row>
    <row r="50" spans="1:3" x14ac:dyDescent="0.3">
      <c r="A50" t="s">
        <v>385</v>
      </c>
      <c r="B50">
        <v>84</v>
      </c>
      <c r="C50" t="s">
        <v>566</v>
      </c>
    </row>
    <row r="51" spans="1:3" x14ac:dyDescent="0.3">
      <c r="A51" t="s">
        <v>386</v>
      </c>
      <c r="B51">
        <v>85</v>
      </c>
      <c r="C51" t="s">
        <v>567</v>
      </c>
    </row>
    <row r="52" spans="1:3" x14ac:dyDescent="0.3">
      <c r="A52" t="s">
        <v>387</v>
      </c>
      <c r="B52">
        <v>86</v>
      </c>
      <c r="C52" t="s">
        <v>568</v>
      </c>
    </row>
    <row r="53" spans="1:3" x14ac:dyDescent="0.3">
      <c r="A53" t="s">
        <v>388</v>
      </c>
      <c r="B53">
        <v>87</v>
      </c>
      <c r="C53" t="s">
        <v>569</v>
      </c>
    </row>
    <row r="54" spans="1:3" x14ac:dyDescent="0.3">
      <c r="A54" t="s">
        <v>37</v>
      </c>
      <c r="B54">
        <v>88</v>
      </c>
      <c r="C54" t="s">
        <v>570</v>
      </c>
    </row>
    <row r="55" spans="1:3" x14ac:dyDescent="0.3">
      <c r="A55" t="s">
        <v>38</v>
      </c>
      <c r="B55">
        <v>89</v>
      </c>
      <c r="C55" t="s">
        <v>571</v>
      </c>
    </row>
    <row r="56" spans="1:3" x14ac:dyDescent="0.3">
      <c r="A56" t="s">
        <v>389</v>
      </c>
      <c r="B56">
        <v>90</v>
      </c>
      <c r="C56" t="s">
        <v>572</v>
      </c>
    </row>
    <row r="57" spans="1:3" x14ac:dyDescent="0.3">
      <c r="A57" t="s">
        <v>390</v>
      </c>
      <c r="B57">
        <v>91</v>
      </c>
      <c r="C57" t="s">
        <v>573</v>
      </c>
    </row>
    <row r="58" spans="1:3" x14ac:dyDescent="0.3">
      <c r="A58" t="s">
        <v>391</v>
      </c>
      <c r="B58">
        <v>92</v>
      </c>
      <c r="C58" t="s">
        <v>574</v>
      </c>
    </row>
    <row r="59" spans="1:3" x14ac:dyDescent="0.3">
      <c r="A59" t="s">
        <v>392</v>
      </c>
      <c r="B59">
        <v>93</v>
      </c>
      <c r="C59" t="s">
        <v>575</v>
      </c>
    </row>
    <row r="60" spans="1:3" x14ac:dyDescent="0.3">
      <c r="A60" t="s">
        <v>393</v>
      </c>
      <c r="B60">
        <v>96</v>
      </c>
      <c r="C60" t="s">
        <v>576</v>
      </c>
    </row>
    <row r="61" spans="1:3" x14ac:dyDescent="0.3">
      <c r="A61" t="s">
        <v>394</v>
      </c>
      <c r="B61">
        <v>97</v>
      </c>
      <c r="C61" t="s">
        <v>577</v>
      </c>
    </row>
    <row r="62" spans="1:3" x14ac:dyDescent="0.3">
      <c r="A62" t="s">
        <v>395</v>
      </c>
      <c r="B62">
        <v>98</v>
      </c>
      <c r="C62" t="s">
        <v>578</v>
      </c>
    </row>
    <row r="63" spans="1:3" x14ac:dyDescent="0.3">
      <c r="A63" t="s">
        <v>396</v>
      </c>
      <c r="B63">
        <v>99</v>
      </c>
      <c r="C63" t="s">
        <v>579</v>
      </c>
    </row>
    <row r="64" spans="1:3" x14ac:dyDescent="0.3">
      <c r="A64" t="s">
        <v>397</v>
      </c>
      <c r="B64">
        <v>100</v>
      </c>
      <c r="C64" t="s">
        <v>580</v>
      </c>
    </row>
    <row r="65" spans="1:3" x14ac:dyDescent="0.3">
      <c r="A65" t="s">
        <v>398</v>
      </c>
      <c r="B65">
        <v>101</v>
      </c>
      <c r="C65" t="s">
        <v>581</v>
      </c>
    </row>
    <row r="66" spans="1:3" x14ac:dyDescent="0.3">
      <c r="A66" t="s">
        <v>399</v>
      </c>
      <c r="B66">
        <v>102</v>
      </c>
      <c r="C66" t="s">
        <v>582</v>
      </c>
    </row>
    <row r="67" spans="1:3" x14ac:dyDescent="0.3">
      <c r="A67" t="s">
        <v>400</v>
      </c>
      <c r="B67">
        <v>103</v>
      </c>
      <c r="C67" t="s">
        <v>583</v>
      </c>
    </row>
    <row r="68" spans="1:3" x14ac:dyDescent="0.3">
      <c r="A68" t="s">
        <v>401</v>
      </c>
      <c r="B68">
        <v>104</v>
      </c>
      <c r="C68" t="s">
        <v>584</v>
      </c>
    </row>
    <row r="69" spans="1:3" x14ac:dyDescent="0.3">
      <c r="A69" t="s">
        <v>402</v>
      </c>
      <c r="B69">
        <v>105</v>
      </c>
      <c r="C69" t="s">
        <v>585</v>
      </c>
    </row>
    <row r="70" spans="1:3" x14ac:dyDescent="0.3">
      <c r="A70" t="s">
        <v>403</v>
      </c>
      <c r="B70">
        <v>106</v>
      </c>
      <c r="C70" t="s">
        <v>586</v>
      </c>
    </row>
    <row r="71" spans="1:3" x14ac:dyDescent="0.3">
      <c r="A71" t="s">
        <v>404</v>
      </c>
      <c r="B71">
        <v>107</v>
      </c>
      <c r="C71" t="s">
        <v>587</v>
      </c>
    </row>
    <row r="72" spans="1:3" x14ac:dyDescent="0.3">
      <c r="A72" t="s">
        <v>405</v>
      </c>
      <c r="B72">
        <v>109</v>
      </c>
      <c r="C72" t="s">
        <v>588</v>
      </c>
    </row>
    <row r="73" spans="1:3" x14ac:dyDescent="0.3">
      <c r="A73" t="s">
        <v>406</v>
      </c>
      <c r="B73">
        <v>110</v>
      </c>
      <c r="C73" t="s">
        <v>589</v>
      </c>
    </row>
    <row r="74" spans="1:3" x14ac:dyDescent="0.3">
      <c r="A74" t="s">
        <v>407</v>
      </c>
      <c r="B74">
        <v>111</v>
      </c>
      <c r="C74" t="s">
        <v>590</v>
      </c>
    </row>
    <row r="75" spans="1:3" x14ac:dyDescent="0.3">
      <c r="A75" t="s">
        <v>408</v>
      </c>
      <c r="B75">
        <v>112</v>
      </c>
      <c r="C75" t="s">
        <v>591</v>
      </c>
    </row>
    <row r="76" spans="1:3" x14ac:dyDescent="0.3">
      <c r="A76" t="s">
        <v>409</v>
      </c>
      <c r="B76">
        <v>113</v>
      </c>
      <c r="C76" t="s">
        <v>592</v>
      </c>
    </row>
    <row r="77" spans="1:3" x14ac:dyDescent="0.3">
      <c r="A77" t="s">
        <v>410</v>
      </c>
      <c r="B77">
        <v>114</v>
      </c>
      <c r="C77" t="s">
        <v>593</v>
      </c>
    </row>
    <row r="78" spans="1:3" x14ac:dyDescent="0.3">
      <c r="A78" t="s">
        <v>411</v>
      </c>
      <c r="B78">
        <v>115</v>
      </c>
      <c r="C78" t="s">
        <v>594</v>
      </c>
    </row>
    <row r="79" spans="1:3" x14ac:dyDescent="0.3">
      <c r="A79" t="s">
        <v>412</v>
      </c>
      <c r="B79">
        <v>116</v>
      </c>
      <c r="C79" t="s">
        <v>595</v>
      </c>
    </row>
    <row r="80" spans="1:3" x14ac:dyDescent="0.3">
      <c r="A80" t="s">
        <v>413</v>
      </c>
      <c r="B80">
        <v>117</v>
      </c>
      <c r="C80" t="s">
        <v>596</v>
      </c>
    </row>
    <row r="81" spans="1:3" x14ac:dyDescent="0.3">
      <c r="A81" t="s">
        <v>414</v>
      </c>
      <c r="B81">
        <v>118</v>
      </c>
      <c r="C81" t="s">
        <v>597</v>
      </c>
    </row>
    <row r="82" spans="1:3" x14ac:dyDescent="0.3">
      <c r="A82" t="s">
        <v>415</v>
      </c>
      <c r="B82">
        <v>119</v>
      </c>
      <c r="C82" t="s">
        <v>598</v>
      </c>
    </row>
    <row r="83" spans="1:3" x14ac:dyDescent="0.3">
      <c r="A83" t="s">
        <v>416</v>
      </c>
      <c r="B83">
        <v>120</v>
      </c>
      <c r="C83" t="s">
        <v>599</v>
      </c>
    </row>
    <row r="84" spans="1:3" x14ac:dyDescent="0.3">
      <c r="A84" t="s">
        <v>417</v>
      </c>
      <c r="B84">
        <v>121</v>
      </c>
      <c r="C84" t="s">
        <v>600</v>
      </c>
    </row>
    <row r="85" spans="1:3" x14ac:dyDescent="0.3">
      <c r="A85" t="s">
        <v>418</v>
      </c>
      <c r="B85">
        <v>122</v>
      </c>
      <c r="C85" t="s">
        <v>601</v>
      </c>
    </row>
    <row r="86" spans="1:3" x14ac:dyDescent="0.3">
      <c r="A86" t="s">
        <v>419</v>
      </c>
      <c r="B86">
        <v>123</v>
      </c>
      <c r="C86" t="s">
        <v>602</v>
      </c>
    </row>
    <row r="87" spans="1:3" x14ac:dyDescent="0.3">
      <c r="A87" t="s">
        <v>420</v>
      </c>
      <c r="B87">
        <v>144</v>
      </c>
      <c r="C87" t="s">
        <v>603</v>
      </c>
    </row>
    <row r="88" spans="1:3" x14ac:dyDescent="0.3">
      <c r="A88" t="s">
        <v>421</v>
      </c>
      <c r="B88">
        <v>145</v>
      </c>
      <c r="C88" t="s">
        <v>604</v>
      </c>
    </row>
    <row r="89" spans="1:3" x14ac:dyDescent="0.3">
      <c r="A89" t="s">
        <v>422</v>
      </c>
      <c r="B89">
        <v>186</v>
      </c>
      <c r="C89" t="s">
        <v>605</v>
      </c>
    </row>
    <row r="90" spans="1:3" x14ac:dyDescent="0.3">
      <c r="A90" t="s">
        <v>423</v>
      </c>
      <c r="B90">
        <v>187</v>
      </c>
      <c r="C90" t="s">
        <v>606</v>
      </c>
    </row>
    <row r="91" spans="1:3" x14ac:dyDescent="0.3">
      <c r="A91" t="s">
        <v>424</v>
      </c>
      <c r="B91">
        <v>188</v>
      </c>
      <c r="C91" t="s">
        <v>653</v>
      </c>
    </row>
    <row r="92" spans="1:3" x14ac:dyDescent="0.3">
      <c r="A92" t="s">
        <v>425</v>
      </c>
      <c r="B92">
        <v>189</v>
      </c>
      <c r="C92" t="s">
        <v>657</v>
      </c>
    </row>
    <row r="93" spans="1:3" x14ac:dyDescent="0.3">
      <c r="A93" t="s">
        <v>426</v>
      </c>
      <c r="B93">
        <v>190</v>
      </c>
      <c r="C93" t="s">
        <v>658</v>
      </c>
    </row>
    <row r="94" spans="1:3" x14ac:dyDescent="0.3">
      <c r="A94" t="s">
        <v>427</v>
      </c>
      <c r="B94">
        <v>191</v>
      </c>
      <c r="C94" t="s">
        <v>607</v>
      </c>
    </row>
    <row r="95" spans="1:3" x14ac:dyDescent="0.3">
      <c r="A95" t="s">
        <v>428</v>
      </c>
      <c r="B95">
        <v>192</v>
      </c>
      <c r="C95" t="s">
        <v>608</v>
      </c>
    </row>
    <row r="96" spans="1:3" x14ac:dyDescent="0.3">
      <c r="A96" t="s">
        <v>429</v>
      </c>
      <c r="B96">
        <v>219</v>
      </c>
      <c r="C96" t="s">
        <v>609</v>
      </c>
    </row>
    <row r="97" spans="1:3" x14ac:dyDescent="0.3">
      <c r="A97" t="s">
        <v>430</v>
      </c>
      <c r="B97">
        <v>220</v>
      </c>
      <c r="C97" t="s">
        <v>610</v>
      </c>
    </row>
    <row r="98" spans="1:3" x14ac:dyDescent="0.3">
      <c r="A98" t="s">
        <v>431</v>
      </c>
      <c r="B98">
        <v>221</v>
      </c>
      <c r="C98" t="s">
        <v>611</v>
      </c>
    </row>
    <row r="99" spans="1:3" x14ac:dyDescent="0.3">
      <c r="A99" t="s">
        <v>432</v>
      </c>
      <c r="B99">
        <v>222</v>
      </c>
      <c r="C99" t="s">
        <v>612</v>
      </c>
    </row>
  </sheetData>
  <phoneticPr fontId="1" type="noConversion"/>
  <conditionalFormatting sqref="C2:C99">
    <cfRule type="duplicateValues" dxfId="1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9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5" t="s">
        <v>329</v>
      </c>
      <c r="D1" s="25"/>
      <c r="E1" s="25" t="s">
        <v>330</v>
      </c>
      <c r="F1" s="25"/>
      <c r="M1" s="17" t="s">
        <v>744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C3" s="11" t="s">
        <v>46</v>
      </c>
      <c r="D3" s="11" t="s">
        <v>67</v>
      </c>
      <c r="E3" s="11" t="s">
        <v>710</v>
      </c>
      <c r="F3" s="11" t="s">
        <v>711</v>
      </c>
    </row>
    <row r="4" spans="1:13" x14ac:dyDescent="0.3">
      <c r="A4" s="11" t="s">
        <v>54</v>
      </c>
      <c r="C4" s="11" t="s">
        <v>53</v>
      </c>
      <c r="D4" s="11" t="s">
        <v>66</v>
      </c>
      <c r="E4" s="11" t="s">
        <v>712</v>
      </c>
      <c r="F4" s="11" t="s">
        <v>713</v>
      </c>
    </row>
    <row r="5" spans="1:13" x14ac:dyDescent="0.3">
      <c r="A5" s="11" t="s">
        <v>41</v>
      </c>
      <c r="C5" s="11" t="s">
        <v>47</v>
      </c>
      <c r="D5" s="11" t="s">
        <v>68</v>
      </c>
      <c r="E5" s="11" t="s">
        <v>714</v>
      </c>
      <c r="F5" s="11" t="s">
        <v>715</v>
      </c>
    </row>
    <row r="6" spans="1:13" x14ac:dyDescent="0.3">
      <c r="A6" s="11" t="s">
        <v>42</v>
      </c>
      <c r="C6" s="11" t="s">
        <v>48</v>
      </c>
      <c r="D6" s="11" t="s">
        <v>69</v>
      </c>
      <c r="E6" s="11" t="s">
        <v>716</v>
      </c>
      <c r="F6" s="11" t="s">
        <v>717</v>
      </c>
    </row>
    <row r="7" spans="1:13" x14ac:dyDescent="0.3">
      <c r="A7" s="11" t="s">
        <v>43</v>
      </c>
      <c r="C7" s="11" t="s">
        <v>49</v>
      </c>
      <c r="D7" s="11" t="s">
        <v>70</v>
      </c>
      <c r="E7" s="11" t="s">
        <v>718</v>
      </c>
      <c r="F7" s="11" t="s">
        <v>719</v>
      </c>
    </row>
    <row r="8" spans="1:13" x14ac:dyDescent="0.3">
      <c r="A8" s="11" t="s">
        <v>44</v>
      </c>
      <c r="C8" s="11" t="s">
        <v>50</v>
      </c>
      <c r="D8" s="11" t="s">
        <v>71</v>
      </c>
      <c r="E8" s="11" t="s">
        <v>720</v>
      </c>
      <c r="F8" s="11" t="s">
        <v>721</v>
      </c>
    </row>
    <row r="9" spans="1:13" x14ac:dyDescent="0.3">
      <c r="A9" s="11" t="s">
        <v>45</v>
      </c>
      <c r="C9" s="11" t="s">
        <v>51</v>
      </c>
      <c r="D9" s="11" t="s">
        <v>72</v>
      </c>
      <c r="E9" s="11" t="s">
        <v>722</v>
      </c>
      <c r="F9" s="11" t="s">
        <v>723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6"/>
  <sheetViews>
    <sheetView workbookViewId="0">
      <selection activeCell="R1" sqref="R1"/>
    </sheetView>
  </sheetViews>
  <sheetFormatPr defaultRowHeight="14.4" x14ac:dyDescent="0.3"/>
  <cols>
    <col min="1" max="1" width="22.109375" style="23" bestFit="1" customWidth="1"/>
    <col min="2" max="2" width="35.5546875" customWidth="1"/>
  </cols>
  <sheetData>
    <row r="1" spans="1:18" x14ac:dyDescent="0.3">
      <c r="I1" s="25" t="s">
        <v>329</v>
      </c>
      <c r="J1" s="25"/>
      <c r="K1" s="25" t="s">
        <v>330</v>
      </c>
      <c r="L1" s="25"/>
      <c r="R1" s="18" t="s">
        <v>1108</v>
      </c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737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</row>
    <row r="3" spans="1:18" x14ac:dyDescent="0.3">
      <c r="A3" s="23" t="s">
        <v>736</v>
      </c>
      <c r="B3" t="s">
        <v>741</v>
      </c>
      <c r="C3" t="s">
        <v>299</v>
      </c>
      <c r="D3" t="s">
        <v>735</v>
      </c>
      <c r="E3">
        <v>50</v>
      </c>
      <c r="F3">
        <v>50</v>
      </c>
      <c r="G3" t="s">
        <v>738</v>
      </c>
      <c r="H3" t="s">
        <v>743</v>
      </c>
      <c r="I3" t="s">
        <v>296</v>
      </c>
      <c r="J3" t="s">
        <v>742</v>
      </c>
      <c r="K3" t="s">
        <v>739</v>
      </c>
      <c r="L3" t="s">
        <v>740</v>
      </c>
    </row>
    <row r="4" spans="1:18" x14ac:dyDescent="0.3">
      <c r="A4" s="23" t="s">
        <v>843</v>
      </c>
      <c r="B4" t="s">
        <v>304</v>
      </c>
      <c r="C4" t="s">
        <v>299</v>
      </c>
      <c r="D4" t="s">
        <v>735</v>
      </c>
      <c r="E4">
        <v>50</v>
      </c>
      <c r="F4">
        <v>50</v>
      </c>
      <c r="G4" t="s">
        <v>844</v>
      </c>
      <c r="H4" t="s">
        <v>40</v>
      </c>
      <c r="I4" t="s">
        <v>302</v>
      </c>
      <c r="J4" t="s">
        <v>845</v>
      </c>
      <c r="K4" t="s">
        <v>846</v>
      </c>
      <c r="L4" t="s">
        <v>847</v>
      </c>
    </row>
    <row r="5" spans="1:18" x14ac:dyDescent="0.3">
      <c r="A5" s="23" t="s">
        <v>1103</v>
      </c>
      <c r="B5" t="s">
        <v>1107</v>
      </c>
      <c r="C5" t="s">
        <v>299</v>
      </c>
      <c r="D5" t="s">
        <v>735</v>
      </c>
      <c r="E5">
        <v>50</v>
      </c>
      <c r="F5">
        <v>50</v>
      </c>
      <c r="G5" t="s">
        <v>35</v>
      </c>
      <c r="H5" t="s">
        <v>54</v>
      </c>
      <c r="I5" t="s">
        <v>309</v>
      </c>
      <c r="J5" t="s">
        <v>1105</v>
      </c>
      <c r="K5" t="s">
        <v>1104</v>
      </c>
      <c r="L5" t="s">
        <v>1106</v>
      </c>
    </row>
    <row r="6" spans="1:18" x14ac:dyDescent="0.3">
      <c r="A6" s="23" t="s">
        <v>1057</v>
      </c>
      <c r="B6" t="s">
        <v>1056</v>
      </c>
      <c r="C6" t="s">
        <v>299</v>
      </c>
      <c r="D6" t="s">
        <v>735</v>
      </c>
      <c r="E6">
        <v>50</v>
      </c>
      <c r="F6">
        <v>50</v>
      </c>
      <c r="G6" t="s">
        <v>1058</v>
      </c>
      <c r="H6" t="s">
        <v>54</v>
      </c>
      <c r="I6" t="s">
        <v>1059</v>
      </c>
      <c r="J6" t="s">
        <v>1060</v>
      </c>
      <c r="K6" t="s">
        <v>1061</v>
      </c>
      <c r="L6" t="s">
        <v>1062</v>
      </c>
    </row>
  </sheetData>
  <mergeCells count="2">
    <mergeCell ref="I1:J1"/>
    <mergeCell ref="K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781</v>
      </c>
      <c r="B1" t="s">
        <v>782</v>
      </c>
      <c r="C1" t="s">
        <v>737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818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819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833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813</v>
      </c>
      <c r="C5" t="s">
        <v>826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814</v>
      </c>
      <c r="C6" t="s">
        <v>827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815</v>
      </c>
      <c r="C7" t="s">
        <v>828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816</v>
      </c>
      <c r="C8" t="s">
        <v>829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817</v>
      </c>
      <c r="C9" t="s">
        <v>830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820</v>
      </c>
      <c r="C10" t="s">
        <v>831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821</v>
      </c>
      <c r="C11" t="s">
        <v>832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822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823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824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825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dimension ref="A1:N50"/>
  <sheetViews>
    <sheetView workbookViewId="0">
      <selection activeCell="L2" sqref="L2"/>
    </sheetView>
  </sheetViews>
  <sheetFormatPr defaultRowHeight="14.4" x14ac:dyDescent="0.3"/>
  <sheetData>
    <row r="1" spans="1:14" x14ac:dyDescent="0.3">
      <c r="A1" t="s">
        <v>948</v>
      </c>
      <c r="B1" t="s">
        <v>949</v>
      </c>
      <c r="C1" t="s">
        <v>950</v>
      </c>
      <c r="D1" t="s">
        <v>951</v>
      </c>
      <c r="E1" t="s">
        <v>952</v>
      </c>
      <c r="F1" t="s">
        <v>953</v>
      </c>
      <c r="G1" t="s">
        <v>329</v>
      </c>
      <c r="H1" t="s">
        <v>330</v>
      </c>
      <c r="K1" s="15" t="s">
        <v>1014</v>
      </c>
      <c r="L1" s="15" t="str">
        <f>"""cThemes"":{"""&amp;G1&amp;""":{"&amp;_xlfn.CONCAT(M:M)&amp;"},"""&amp;H1&amp;""":{"&amp;_xlfn.CONCAT(N:N)&amp;"}},"</f>
        <v>"cThemes":{"en-us":{"theme-dark":"Dark theme","theme-light":"Cold regions","theme-CRIMSON":"Crimson","theme-theme1":"Theme 1","theme-theme2":"Theme 2","theme-theme3":"Theme 3","theme-theme4":"Theme 4","theme-theme5":"Theme 5","theme-theme6":"Theme 6","theme-theme7":"Theme 7","theme-theme8":"Theme 8","theme-theme9":"Theme 9","theme-theme10":"Theme 10"},"es-mx":{"theme-dark":"Tema oscuro","theme-light":"Regiones frías","theme-CRIMSON":"Crimson","theme-theme1":"Tema 1","theme-theme2":"Tema 2","theme-theme3":"Tema 3","theme-theme4":"Tema 4","theme-theme5":"Tema 5","theme-theme6":"Tema 6","theme-theme7":"Tema 7","theme-theme8":"Tema 8","theme-theme9":"Tema 9","theme-theme10":"Tema 10"}},</v>
      </c>
    </row>
    <row r="2" spans="1:14" x14ac:dyDescent="0.3">
      <c r="A2" t="s">
        <v>974</v>
      </c>
      <c r="B2" t="s">
        <v>954</v>
      </c>
      <c r="C2" t="s">
        <v>955</v>
      </c>
      <c r="D2" t="s">
        <v>956</v>
      </c>
      <c r="E2" t="s">
        <v>957</v>
      </c>
      <c r="F2" t="s">
        <v>958</v>
      </c>
      <c r="G2" t="s">
        <v>959</v>
      </c>
      <c r="H2" t="s">
        <v>960</v>
      </c>
      <c r="J2" t="str">
        <f t="shared" ref="J2:J33" si="0">IF(ISBLANK(A2),"",".theme-"&amp;A2&amp;"{--"&amp;$B$1&amp;":"&amp;B2&amp;";--"&amp;$C$1&amp;":"&amp;C2&amp;";--"&amp;$D$1&amp;":"&amp;D2&amp;";--"&amp;$E$1&amp;":"&amp;E2&amp;";--"&amp;$F$1&amp;":"&amp;F2&amp;";}")</f>
        <v>.theme-dark{--col-background-0:#2a2a2b;--col-background-1:#454a4d;--col-border:#2f7571;--col-text-0:#5a9470;--col-text-1:#81b071;}</v>
      </c>
      <c r="K2" s="15" t="s">
        <v>1015</v>
      </c>
      <c r="L2" s="15" t="str">
        <f>_xlfn.CONCAT(J:J)</f>
        <v>.theme-dark{--col-background-0:#2a2a2b;--col-background-1:#454a4d;--col-border:#2f7571;--col-text-0:#5a9470;--col-text-1:#81b071;}.theme-light{--col-background-0:#FFebf9ff;--col-background-1:#FFacd6f6;--col-border:#FF52a5de;--col-text-0:#FF18284a;--col-text-1:#FF070810;}.theme-CRIMSON{--col-background-0:#f3deba;--col-background-1:#e1674c;--col-border:#cb2233;--col-text-0:#941963;--col-text-1:#420e53;}.theme-theme1{--col-background-0:#DC8CFF;--col-background-1:#FFDE99;--col-border:#9380FF;--col-text-0:#D7FF66;--col-text-1:#73A8FF;}.theme-theme2{--col-background-0:#494080;--col-background-1:#D4CCFF;--col-border:#9380FF;--col-text-0:#6A6680;--col-text-1:#7566CC;}.theme-theme3{--col-background-0:#D473FF;--col-background-1:#9E68E8;--col-border:#9380FF;--col-text-0:#6878E8;--col-text-1:#73A8FF;}.theme-theme4{--col-background-0:#8a00d4;--col-background-1:#d527b7;--col-border:#f782c2;--col-text-0:#f9c46b;--col-text-1:#e3e3e3;}.theme-theme5{--col-background-0:#5200d4;--col-background-1:#390094;--col-border:#b800d4;--col-text-0:#1127d4;--col-text-1:#0c1c94;}.theme-theme6{--col-background-0:#320fd4;--col-background-1:#230b94;--col-border:#d44100;--col-text-0:#942d00;--col-text-1:#93d400;}.theme-theme7{--col-background-0:#051e3e;--col-background-1:#251e3e;--col-border:#451e3e;--col-text-0:#651e3e;--col-text-1:#851e3e;}.theme-theme8{--col-background-0:#dec3c3;--col-background-1:#e7d3d3;--col-border:#f0e4e4;--col-text-0:#f9f4f4;--col-text-1:#ffffff;}.theme-theme9{--col-background-0:#4a4e4d;--col-background-1:#0e9aa7;--col-border:#3da4ab;--col-text-0:#f6cd61;--col-text-1:#fe8a71;}.theme-theme10{--col-background-0:#ee4035;--col-background-1:#f37736;--col-border:#fdf498;--col-text-0:#7bc043;--col-text-1:#0392cf;}</v>
      </c>
      <c r="M2" t="str">
        <f>IF(ISBLANK($A2),"","""theme-"&amp;$A2&amp;""":"""&amp;G2&amp;""""&amp;IF(ISBLANK($A3),"",","))</f>
        <v>"theme-dark":"Dark theme",</v>
      </c>
      <c r="N2" t="str">
        <f>IF(ISBLANK($A2),"","""theme-"&amp;$A2&amp;""":"""&amp;H2&amp;""""&amp;IF(ISBLANK($A3),"",","))</f>
        <v>"theme-dark":"Tema oscuro",</v>
      </c>
    </row>
    <row r="3" spans="1:14" x14ac:dyDescent="0.3">
      <c r="A3" t="s">
        <v>1055</v>
      </c>
      <c r="B3" t="s">
        <v>962</v>
      </c>
      <c r="C3" t="s">
        <v>963</v>
      </c>
      <c r="D3" t="s">
        <v>964</v>
      </c>
      <c r="E3" t="s">
        <v>965</v>
      </c>
      <c r="F3" t="s">
        <v>966</v>
      </c>
      <c r="G3" t="s">
        <v>967</v>
      </c>
      <c r="H3" t="s">
        <v>968</v>
      </c>
      <c r="J3" t="str">
        <f t="shared" si="0"/>
        <v>.theme-light{--col-background-0:#FFebf9ff;--col-background-1:#FFacd6f6;--col-border:#FF52a5de;--col-text-0:#FF18284a;--col-text-1:#FF070810;}</v>
      </c>
      <c r="M3" t="str">
        <f t="shared" ref="M3:N50" si="1">IF(ISBLANK($A3),"","""theme-"&amp;$A3&amp;""":"""&amp;G3&amp;""""&amp;IF(ISBLANK($A4),"",","))</f>
        <v>"theme-light":"Cold regions",</v>
      </c>
      <c r="N3" t="str">
        <f t="shared" si="1"/>
        <v>"theme-light":"Regiones frías",</v>
      </c>
    </row>
    <row r="4" spans="1:14" x14ac:dyDescent="0.3">
      <c r="A4" t="s">
        <v>975</v>
      </c>
      <c r="B4" t="s">
        <v>969</v>
      </c>
      <c r="C4" t="s">
        <v>970</v>
      </c>
      <c r="D4" t="s">
        <v>971</v>
      </c>
      <c r="E4" t="s">
        <v>972</v>
      </c>
      <c r="F4" t="s">
        <v>973</v>
      </c>
      <c r="G4" t="s">
        <v>976</v>
      </c>
      <c r="H4" t="s">
        <v>976</v>
      </c>
      <c r="J4" t="str">
        <f t="shared" si="0"/>
        <v>.theme-CRIMSON{--col-background-0:#f3deba;--col-background-1:#e1674c;--col-border:#cb2233;--col-text-0:#941963;--col-text-1:#420e53;}</v>
      </c>
      <c r="M4" t="str">
        <f t="shared" si="1"/>
        <v>"theme-CRIMSON":"Crimson",</v>
      </c>
      <c r="N4" t="str">
        <f t="shared" si="1"/>
        <v>"theme-CRIMSON":"Crimson",</v>
      </c>
    </row>
    <row r="5" spans="1:14" x14ac:dyDescent="0.3">
      <c r="A5" t="s">
        <v>988</v>
      </c>
      <c r="B5" t="s">
        <v>977</v>
      </c>
      <c r="C5" t="s">
        <v>978</v>
      </c>
      <c r="D5" t="s">
        <v>979</v>
      </c>
      <c r="E5" t="s">
        <v>980</v>
      </c>
      <c r="F5" t="s">
        <v>981</v>
      </c>
      <c r="G5" t="s">
        <v>982</v>
      </c>
      <c r="H5" t="s">
        <v>983</v>
      </c>
      <c r="J5" t="str">
        <f t="shared" si="0"/>
        <v>.theme-theme1{--col-background-0:#DC8CFF;--col-background-1:#FFDE99;--col-border:#9380FF;--col-text-0:#D7FF66;--col-text-1:#73A8FF;}</v>
      </c>
      <c r="M5" t="str">
        <f t="shared" si="1"/>
        <v>"theme-theme1":"Theme 1",</v>
      </c>
      <c r="N5" t="str">
        <f t="shared" si="1"/>
        <v>"theme-theme1":"Tema 1",</v>
      </c>
    </row>
    <row r="6" spans="1:14" x14ac:dyDescent="0.3">
      <c r="A6" t="s">
        <v>989</v>
      </c>
      <c r="B6" t="s">
        <v>984</v>
      </c>
      <c r="C6" t="s">
        <v>985</v>
      </c>
      <c r="D6" t="s">
        <v>979</v>
      </c>
      <c r="E6" t="s">
        <v>986</v>
      </c>
      <c r="F6" t="s">
        <v>987</v>
      </c>
      <c r="G6" t="s">
        <v>990</v>
      </c>
      <c r="H6" t="s">
        <v>991</v>
      </c>
      <c r="J6" t="str">
        <f t="shared" si="0"/>
        <v>.theme-theme2{--col-background-0:#494080;--col-background-1:#D4CCFF;--col-border:#9380FF;--col-text-0:#6A6680;--col-text-1:#7566CC;}</v>
      </c>
      <c r="M6" t="str">
        <f t="shared" si="1"/>
        <v>"theme-theme2":"Theme 2",</v>
      </c>
      <c r="N6" t="str">
        <f t="shared" si="1"/>
        <v>"theme-theme2":"Tema 2",</v>
      </c>
    </row>
    <row r="7" spans="1:14" x14ac:dyDescent="0.3">
      <c r="A7" t="s">
        <v>995</v>
      </c>
      <c r="B7" t="s">
        <v>992</v>
      </c>
      <c r="C7" t="s">
        <v>993</v>
      </c>
      <c r="D7" t="s">
        <v>979</v>
      </c>
      <c r="E7" t="s">
        <v>994</v>
      </c>
      <c r="F7" t="s">
        <v>981</v>
      </c>
      <c r="G7" t="s">
        <v>996</v>
      </c>
      <c r="H7" t="s">
        <v>997</v>
      </c>
      <c r="J7" t="str">
        <f t="shared" si="0"/>
        <v>.theme-theme3{--col-background-0:#D473FF;--col-background-1:#9E68E8;--col-border:#9380FF;--col-text-0:#6878E8;--col-text-1:#73A8FF;}</v>
      </c>
      <c r="M7" t="str">
        <f t="shared" si="1"/>
        <v>"theme-theme3":"Theme 3",</v>
      </c>
      <c r="N7" t="str">
        <f t="shared" si="1"/>
        <v>"theme-theme3":"Tema 3",</v>
      </c>
    </row>
    <row r="8" spans="1:14" x14ac:dyDescent="0.3">
      <c r="A8" t="s">
        <v>1008</v>
      </c>
      <c r="B8" t="s">
        <v>998</v>
      </c>
      <c r="C8" t="s">
        <v>999</v>
      </c>
      <c r="D8" t="s">
        <v>1000</v>
      </c>
      <c r="E8" t="s">
        <v>1001</v>
      </c>
      <c r="F8" t="s">
        <v>1002</v>
      </c>
      <c r="G8" t="s">
        <v>1010</v>
      </c>
      <c r="H8" t="s">
        <v>1011</v>
      </c>
      <c r="J8" t="str">
        <f t="shared" si="0"/>
        <v>.theme-theme4{--col-background-0:#8a00d4;--col-background-1:#d527b7;--col-border:#f782c2;--col-text-0:#f9c46b;--col-text-1:#e3e3e3;}</v>
      </c>
      <c r="M8" t="str">
        <f t="shared" si="1"/>
        <v>"theme-theme4":"Theme 4",</v>
      </c>
      <c r="N8" t="str">
        <f t="shared" si="1"/>
        <v>"theme-theme4":"Tema 4",</v>
      </c>
    </row>
    <row r="9" spans="1:14" x14ac:dyDescent="0.3">
      <c r="A9" t="s">
        <v>1009</v>
      </c>
      <c r="B9" t="s">
        <v>1003</v>
      </c>
      <c r="C9" t="s">
        <v>1004</v>
      </c>
      <c r="D9" t="s">
        <v>1005</v>
      </c>
      <c r="E9" t="s">
        <v>1006</v>
      </c>
      <c r="F9" t="s">
        <v>1007</v>
      </c>
      <c r="G9" t="s">
        <v>1012</v>
      </c>
      <c r="H9" t="s">
        <v>1013</v>
      </c>
      <c r="J9" t="str">
        <f t="shared" si="0"/>
        <v>.theme-theme5{--col-background-0:#5200d4;--col-background-1:#390094;--col-border:#b800d4;--col-text-0:#1127d4;--col-text-1:#0c1c94;}</v>
      </c>
      <c r="M9" t="str">
        <f t="shared" si="1"/>
        <v>"theme-theme5":"Theme 5",</v>
      </c>
      <c r="N9" t="str">
        <f t="shared" si="1"/>
        <v>"theme-theme5":"Tema 5",</v>
      </c>
    </row>
    <row r="10" spans="1:14" x14ac:dyDescent="0.3">
      <c r="A10" t="s">
        <v>1035</v>
      </c>
      <c r="B10" t="s">
        <v>1016</v>
      </c>
      <c r="C10" t="s">
        <v>1017</v>
      </c>
      <c r="D10" t="s">
        <v>1018</v>
      </c>
      <c r="E10" t="s">
        <v>1019</v>
      </c>
      <c r="F10" t="s">
        <v>1020</v>
      </c>
      <c r="G10" t="s">
        <v>1039</v>
      </c>
      <c r="H10" t="s">
        <v>1040</v>
      </c>
      <c r="J10" t="str">
        <f t="shared" si="0"/>
        <v>.theme-theme6{--col-background-0:#320fd4;--col-background-1:#230b94;--col-border:#d44100;--col-text-0:#942d00;--col-text-1:#93d400;}</v>
      </c>
      <c r="M10" t="str">
        <f t="shared" si="1"/>
        <v>"theme-theme6":"Theme 6",</v>
      </c>
      <c r="N10" t="str">
        <f t="shared" si="1"/>
        <v>"theme-theme6":"Tema 6",</v>
      </c>
    </row>
    <row r="11" spans="1:14" x14ac:dyDescent="0.3">
      <c r="A11" t="s">
        <v>1036</v>
      </c>
      <c r="B11" t="s">
        <v>1021</v>
      </c>
      <c r="C11" t="s">
        <v>1022</v>
      </c>
      <c r="D11" t="s">
        <v>1023</v>
      </c>
      <c r="E11" t="s">
        <v>1024</v>
      </c>
      <c r="F11" t="s">
        <v>1025</v>
      </c>
      <c r="G11" t="s">
        <v>1041</v>
      </c>
      <c r="H11" t="s">
        <v>1042</v>
      </c>
      <c r="J11" t="str">
        <f t="shared" si="0"/>
        <v>.theme-theme7{--col-background-0:#051e3e;--col-background-1:#251e3e;--col-border:#451e3e;--col-text-0:#651e3e;--col-text-1:#851e3e;}</v>
      </c>
      <c r="M11" t="str">
        <f t="shared" si="1"/>
        <v>"theme-theme7":"Theme 7",</v>
      </c>
      <c r="N11" t="str">
        <f t="shared" si="1"/>
        <v>"theme-theme7":"Tema 7",</v>
      </c>
    </row>
    <row r="12" spans="1:14" x14ac:dyDescent="0.3">
      <c r="A12" t="s">
        <v>1037</v>
      </c>
      <c r="B12" t="s">
        <v>1026</v>
      </c>
      <c r="C12" t="s">
        <v>1027</v>
      </c>
      <c r="D12" t="s">
        <v>1028</v>
      </c>
      <c r="E12" t="s">
        <v>1029</v>
      </c>
      <c r="F12" t="s">
        <v>735</v>
      </c>
      <c r="G12" t="s">
        <v>1043</v>
      </c>
      <c r="H12" t="s">
        <v>1044</v>
      </c>
      <c r="J12" t="str">
        <f t="shared" si="0"/>
        <v>.theme-theme8{--col-background-0:#dec3c3;--col-background-1:#e7d3d3;--col-border:#f0e4e4;--col-text-0:#f9f4f4;--col-text-1:#ffffff;}</v>
      </c>
      <c r="M12" t="str">
        <f t="shared" si="1"/>
        <v>"theme-theme8":"Theme 8",</v>
      </c>
      <c r="N12" t="str">
        <f t="shared" si="1"/>
        <v>"theme-theme8":"Tema 8",</v>
      </c>
    </row>
    <row r="13" spans="1:14" x14ac:dyDescent="0.3">
      <c r="A13" t="s">
        <v>1038</v>
      </c>
      <c r="B13" t="s">
        <v>1030</v>
      </c>
      <c r="C13" t="s">
        <v>1031</v>
      </c>
      <c r="D13" t="s">
        <v>1032</v>
      </c>
      <c r="E13" t="s">
        <v>1033</v>
      </c>
      <c r="F13" t="s">
        <v>1034</v>
      </c>
      <c r="G13" t="s">
        <v>1045</v>
      </c>
      <c r="H13" t="s">
        <v>1046</v>
      </c>
      <c r="J13" t="str">
        <f t="shared" si="0"/>
        <v>.theme-theme9{--col-background-0:#4a4e4d;--col-background-1:#0e9aa7;--col-border:#3da4ab;--col-text-0:#f6cd61;--col-text-1:#fe8a71;}</v>
      </c>
      <c r="M13" t="str">
        <f t="shared" si="1"/>
        <v>"theme-theme9":"Theme 9",</v>
      </c>
      <c r="N13" t="str">
        <f t="shared" si="1"/>
        <v>"theme-theme9":"Tema 9",</v>
      </c>
    </row>
    <row r="14" spans="1:14" x14ac:dyDescent="0.3">
      <c r="A14" t="s">
        <v>1052</v>
      </c>
      <c r="B14" t="s">
        <v>1047</v>
      </c>
      <c r="C14" t="s">
        <v>1048</v>
      </c>
      <c r="D14" t="s">
        <v>1049</v>
      </c>
      <c r="E14" t="s">
        <v>1050</v>
      </c>
      <c r="F14" t="s">
        <v>1051</v>
      </c>
      <c r="G14" t="s">
        <v>1053</v>
      </c>
      <c r="H14" t="s">
        <v>1054</v>
      </c>
      <c r="J14" t="str">
        <f t="shared" si="0"/>
        <v>.theme-theme10{--col-background-0:#ee4035;--col-background-1:#f37736;--col-border:#fdf498;--col-text-0:#7bc043;--col-text-1:#0392cf;}</v>
      </c>
      <c r="M14" t="str">
        <f t="shared" si="1"/>
        <v>"theme-theme10":"Theme 10"</v>
      </c>
      <c r="N14" t="str">
        <f t="shared" si="1"/>
        <v>"theme-theme10":"Tema 10"</v>
      </c>
    </row>
    <row r="15" spans="1:14" x14ac:dyDescent="0.3">
      <c r="B15" t="s">
        <v>961</v>
      </c>
      <c r="C15" t="s">
        <v>961</v>
      </c>
      <c r="D15" t="s">
        <v>961</v>
      </c>
      <c r="E15" t="s">
        <v>961</v>
      </c>
      <c r="F15" t="s">
        <v>961</v>
      </c>
      <c r="J15" t="str">
        <f t="shared" si="0"/>
        <v/>
      </c>
      <c r="M15" t="str">
        <f t="shared" si="1"/>
        <v/>
      </c>
      <c r="N15" t="str">
        <f t="shared" si="1"/>
        <v/>
      </c>
    </row>
    <row r="16" spans="1:14" x14ac:dyDescent="0.3">
      <c r="B16" t="s">
        <v>961</v>
      </c>
      <c r="C16" t="s">
        <v>961</v>
      </c>
      <c r="D16" t="s">
        <v>961</v>
      </c>
      <c r="E16" t="s">
        <v>961</v>
      </c>
      <c r="F16" t="s">
        <v>961</v>
      </c>
      <c r="J16" t="str">
        <f t="shared" si="0"/>
        <v/>
      </c>
      <c r="M16" t="str">
        <f t="shared" si="1"/>
        <v/>
      </c>
      <c r="N16" t="str">
        <f t="shared" si="1"/>
        <v/>
      </c>
    </row>
    <row r="17" spans="2:14" x14ac:dyDescent="0.3">
      <c r="B17" t="s">
        <v>961</v>
      </c>
      <c r="C17" t="s">
        <v>961</v>
      </c>
      <c r="D17" t="s">
        <v>961</v>
      </c>
      <c r="E17" t="s">
        <v>961</v>
      </c>
      <c r="F17" t="s">
        <v>961</v>
      </c>
      <c r="J17" t="str">
        <f t="shared" si="0"/>
        <v/>
      </c>
      <c r="M17" t="str">
        <f t="shared" si="1"/>
        <v/>
      </c>
      <c r="N17" t="str">
        <f t="shared" si="1"/>
        <v/>
      </c>
    </row>
    <row r="18" spans="2:14" x14ac:dyDescent="0.3">
      <c r="J18" t="str">
        <f t="shared" si="0"/>
        <v/>
      </c>
      <c r="M18" t="str">
        <f t="shared" si="1"/>
        <v/>
      </c>
      <c r="N18" t="str">
        <f t="shared" si="1"/>
        <v/>
      </c>
    </row>
    <row r="19" spans="2:14" x14ac:dyDescent="0.3">
      <c r="J19" t="str">
        <f t="shared" si="0"/>
        <v/>
      </c>
      <c r="M19" t="str">
        <f t="shared" si="1"/>
        <v/>
      </c>
      <c r="N19" t="str">
        <f t="shared" si="1"/>
        <v/>
      </c>
    </row>
    <row r="20" spans="2:14" x14ac:dyDescent="0.3">
      <c r="J20" t="str">
        <f t="shared" si="0"/>
        <v/>
      </c>
      <c r="M20" t="str">
        <f t="shared" si="1"/>
        <v/>
      </c>
      <c r="N20" t="str">
        <f t="shared" si="1"/>
        <v/>
      </c>
    </row>
    <row r="21" spans="2:14" x14ac:dyDescent="0.3">
      <c r="J21" t="str">
        <f t="shared" si="0"/>
        <v/>
      </c>
      <c r="M21" t="str">
        <f t="shared" si="1"/>
        <v/>
      </c>
      <c r="N21" t="str">
        <f t="shared" si="1"/>
        <v/>
      </c>
    </row>
    <row r="22" spans="2:14" x14ac:dyDescent="0.3">
      <c r="J22" t="str">
        <f t="shared" si="0"/>
        <v/>
      </c>
      <c r="M22" t="str">
        <f t="shared" si="1"/>
        <v/>
      </c>
      <c r="N22" t="str">
        <f t="shared" si="1"/>
        <v/>
      </c>
    </row>
    <row r="23" spans="2:14" x14ac:dyDescent="0.3">
      <c r="J23" t="str">
        <f t="shared" si="0"/>
        <v/>
      </c>
      <c r="M23" t="str">
        <f t="shared" si="1"/>
        <v/>
      </c>
      <c r="N23" t="str">
        <f t="shared" si="1"/>
        <v/>
      </c>
    </row>
    <row r="24" spans="2:14" x14ac:dyDescent="0.3">
      <c r="J24" t="str">
        <f t="shared" si="0"/>
        <v/>
      </c>
      <c r="M24" t="str">
        <f t="shared" si="1"/>
        <v/>
      </c>
      <c r="N24" t="str">
        <f t="shared" si="1"/>
        <v/>
      </c>
    </row>
    <row r="25" spans="2:14" x14ac:dyDescent="0.3">
      <c r="J25" t="str">
        <f t="shared" si="0"/>
        <v/>
      </c>
      <c r="M25" t="str">
        <f t="shared" si="1"/>
        <v/>
      </c>
      <c r="N25" t="str">
        <f t="shared" si="1"/>
        <v/>
      </c>
    </row>
    <row r="26" spans="2:14" x14ac:dyDescent="0.3">
      <c r="J26" t="str">
        <f t="shared" si="0"/>
        <v/>
      </c>
      <c r="M26" t="str">
        <f t="shared" si="1"/>
        <v/>
      </c>
      <c r="N26" t="str">
        <f t="shared" si="1"/>
        <v/>
      </c>
    </row>
    <row r="27" spans="2:14" x14ac:dyDescent="0.3">
      <c r="J27" t="str">
        <f t="shared" si="0"/>
        <v/>
      </c>
      <c r="M27" t="str">
        <f t="shared" si="1"/>
        <v/>
      </c>
      <c r="N27" t="str">
        <f t="shared" si="1"/>
        <v/>
      </c>
    </row>
    <row r="28" spans="2:14" x14ac:dyDescent="0.3">
      <c r="J28" t="str">
        <f t="shared" si="0"/>
        <v/>
      </c>
      <c r="M28" t="str">
        <f t="shared" si="1"/>
        <v/>
      </c>
      <c r="N28" t="str">
        <f t="shared" si="1"/>
        <v/>
      </c>
    </row>
    <row r="29" spans="2:14" x14ac:dyDescent="0.3">
      <c r="J29" t="str">
        <f t="shared" si="0"/>
        <v/>
      </c>
      <c r="M29" t="str">
        <f t="shared" si="1"/>
        <v/>
      </c>
      <c r="N29" t="str">
        <f t="shared" si="1"/>
        <v/>
      </c>
    </row>
    <row r="30" spans="2:14" x14ac:dyDescent="0.3">
      <c r="J30" t="str">
        <f t="shared" si="0"/>
        <v/>
      </c>
      <c r="M30" t="str">
        <f t="shared" si="1"/>
        <v/>
      </c>
      <c r="N30" t="str">
        <f t="shared" si="1"/>
        <v/>
      </c>
    </row>
    <row r="31" spans="2:14" x14ac:dyDescent="0.3">
      <c r="J31" t="str">
        <f t="shared" si="0"/>
        <v/>
      </c>
      <c r="M31" t="str">
        <f t="shared" si="1"/>
        <v/>
      </c>
      <c r="N31" t="str">
        <f t="shared" si="1"/>
        <v/>
      </c>
    </row>
    <row r="32" spans="2:14" x14ac:dyDescent="0.3">
      <c r="J32" t="str">
        <f t="shared" si="0"/>
        <v/>
      </c>
      <c r="M32" t="str">
        <f t="shared" si="1"/>
        <v/>
      </c>
      <c r="N32" t="str">
        <f t="shared" si="1"/>
        <v/>
      </c>
    </row>
    <row r="33" spans="10:14" x14ac:dyDescent="0.3">
      <c r="J33" t="str">
        <f t="shared" si="0"/>
        <v/>
      </c>
      <c r="M33" t="str">
        <f t="shared" si="1"/>
        <v/>
      </c>
      <c r="N33" t="str">
        <f t="shared" si="1"/>
        <v/>
      </c>
    </row>
    <row r="34" spans="10:14" x14ac:dyDescent="0.3">
      <c r="J34" t="str">
        <f t="shared" ref="J34:J50" si="2">IF(ISBLANK(A34),"",".theme-"&amp;A34&amp;"{--"&amp;$B$1&amp;":"&amp;B34&amp;";--"&amp;$C$1&amp;":"&amp;C34&amp;";--"&amp;$D$1&amp;":"&amp;D34&amp;";--"&amp;$E$1&amp;":"&amp;E34&amp;";--"&amp;$F$1&amp;":"&amp;F34&amp;";}")</f>
        <v/>
      </c>
      <c r="M34" t="str">
        <f t="shared" si="1"/>
        <v/>
      </c>
      <c r="N34" t="str">
        <f t="shared" si="1"/>
        <v/>
      </c>
    </row>
    <row r="35" spans="10:14" x14ac:dyDescent="0.3">
      <c r="J35" t="str">
        <f t="shared" si="2"/>
        <v/>
      </c>
      <c r="M35" t="str">
        <f t="shared" si="1"/>
        <v/>
      </c>
      <c r="N35" t="str">
        <f t="shared" si="1"/>
        <v/>
      </c>
    </row>
    <row r="36" spans="10:14" x14ac:dyDescent="0.3">
      <c r="J36" t="str">
        <f t="shared" si="2"/>
        <v/>
      </c>
      <c r="M36" t="str">
        <f t="shared" si="1"/>
        <v/>
      </c>
      <c r="N36" t="str">
        <f t="shared" si="1"/>
        <v/>
      </c>
    </row>
    <row r="37" spans="10:14" x14ac:dyDescent="0.3">
      <c r="J37" t="str">
        <f t="shared" si="2"/>
        <v/>
      </c>
      <c r="M37" t="str">
        <f t="shared" si="1"/>
        <v/>
      </c>
      <c r="N37" t="str">
        <f t="shared" si="1"/>
        <v/>
      </c>
    </row>
    <row r="38" spans="10:14" x14ac:dyDescent="0.3">
      <c r="J38" t="str">
        <f t="shared" si="2"/>
        <v/>
      </c>
      <c r="M38" t="str">
        <f t="shared" si="1"/>
        <v/>
      </c>
      <c r="N38" t="str">
        <f t="shared" si="1"/>
        <v/>
      </c>
    </row>
    <row r="39" spans="10:14" x14ac:dyDescent="0.3">
      <c r="J39" t="str">
        <f t="shared" si="2"/>
        <v/>
      </c>
      <c r="M39" t="str">
        <f t="shared" si="1"/>
        <v/>
      </c>
      <c r="N39" t="str">
        <f t="shared" si="1"/>
        <v/>
      </c>
    </row>
    <row r="40" spans="10:14" x14ac:dyDescent="0.3">
      <c r="J40" t="str">
        <f t="shared" si="2"/>
        <v/>
      </c>
      <c r="M40" t="str">
        <f t="shared" si="1"/>
        <v/>
      </c>
      <c r="N40" t="str">
        <f t="shared" si="1"/>
        <v/>
      </c>
    </row>
    <row r="41" spans="10:14" x14ac:dyDescent="0.3">
      <c r="J41" t="str">
        <f t="shared" si="2"/>
        <v/>
      </c>
      <c r="M41" t="str">
        <f t="shared" si="1"/>
        <v/>
      </c>
      <c r="N41" t="str">
        <f t="shared" si="1"/>
        <v/>
      </c>
    </row>
    <row r="42" spans="10:14" x14ac:dyDescent="0.3">
      <c r="J42" t="str">
        <f t="shared" si="2"/>
        <v/>
      </c>
      <c r="M42" t="str">
        <f t="shared" si="1"/>
        <v/>
      </c>
      <c r="N42" t="str">
        <f t="shared" si="1"/>
        <v/>
      </c>
    </row>
    <row r="43" spans="10:14" x14ac:dyDescent="0.3">
      <c r="J43" t="str">
        <f t="shared" si="2"/>
        <v/>
      </c>
      <c r="M43" t="str">
        <f t="shared" si="1"/>
        <v/>
      </c>
      <c r="N43" t="str">
        <f t="shared" si="1"/>
        <v/>
      </c>
    </row>
    <row r="44" spans="10:14" x14ac:dyDescent="0.3">
      <c r="J44" t="str">
        <f t="shared" si="2"/>
        <v/>
      </c>
      <c r="M44" t="str">
        <f t="shared" si="1"/>
        <v/>
      </c>
      <c r="N44" t="str">
        <f t="shared" si="1"/>
        <v/>
      </c>
    </row>
    <row r="45" spans="10:14" x14ac:dyDescent="0.3">
      <c r="J45" t="str">
        <f t="shared" si="2"/>
        <v/>
      </c>
      <c r="M45" t="str">
        <f t="shared" si="1"/>
        <v/>
      </c>
      <c r="N45" t="str">
        <f t="shared" si="1"/>
        <v/>
      </c>
    </row>
    <row r="46" spans="10:14" x14ac:dyDescent="0.3">
      <c r="J46" t="str">
        <f t="shared" si="2"/>
        <v/>
      </c>
      <c r="M46" t="str">
        <f t="shared" si="1"/>
        <v/>
      </c>
      <c r="N46" t="str">
        <f t="shared" si="1"/>
        <v/>
      </c>
    </row>
    <row r="47" spans="10:14" x14ac:dyDescent="0.3">
      <c r="J47" t="str">
        <f t="shared" si="2"/>
        <v/>
      </c>
      <c r="M47" t="str">
        <f t="shared" si="1"/>
        <v/>
      </c>
      <c r="N47" t="str">
        <f t="shared" si="1"/>
        <v/>
      </c>
    </row>
    <row r="48" spans="10:14" x14ac:dyDescent="0.3">
      <c r="J48" t="str">
        <f t="shared" si="2"/>
        <v/>
      </c>
      <c r="M48" t="str">
        <f t="shared" si="1"/>
        <v/>
      </c>
      <c r="N48" t="str">
        <f t="shared" si="1"/>
        <v/>
      </c>
    </row>
    <row r="49" spans="10:14" x14ac:dyDescent="0.3">
      <c r="J49" t="str">
        <f t="shared" si="2"/>
        <v/>
      </c>
      <c r="M49" t="str">
        <f t="shared" si="1"/>
        <v/>
      </c>
      <c r="N49" t="str">
        <f t="shared" si="1"/>
        <v/>
      </c>
    </row>
    <row r="50" spans="10:14" x14ac:dyDescent="0.3">
      <c r="J50" t="str">
        <f t="shared" si="2"/>
        <v/>
      </c>
      <c r="M50" t="str">
        <f t="shared" si="1"/>
        <v/>
      </c>
      <c r="N50" t="str">
        <f t="shared" si="1"/>
        <v/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constsNvars</vt:lpstr>
      <vt:lpstr>themes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2020-04-15T10:18:03Z</dcterms:modified>
</cp:coreProperties>
</file>