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02BB370-07F8-43FB-A488-BF371341DBCD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" i="11" l="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K41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3" i="11"/>
  <c r="K44" i="11"/>
  <c r="K45" i="11"/>
  <c r="K46" i="11"/>
  <c r="K47" i="11"/>
  <c r="K48" i="11"/>
  <c r="K49" i="11"/>
  <c r="K50" i="11"/>
  <c r="K42" i="11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38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I6" i="13" s="1"/>
  <c r="K7" i="11"/>
  <c r="I7" i="13" s="1"/>
  <c r="K8" i="11"/>
  <c r="I8" i="13" s="1"/>
  <c r="K9" i="11"/>
  <c r="I9" i="13" s="1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9" i="13"/>
  <c r="I40" i="13"/>
  <c r="I41" i="13"/>
  <c r="I42" i="13"/>
  <c r="I43" i="13"/>
  <c r="I44" i="13"/>
  <c r="I45" i="13"/>
  <c r="I46" i="13"/>
  <c r="I47" i="13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J3" i="11" l="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<sst xmlns="http://schemas.openxmlformats.org/spreadsheetml/2006/main" count="1663" uniqueCount="945">
  <si>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</si>
  <si>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</si>
  <si>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</si>
  <si>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</si>
  <si>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</si>
  <si>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</si>
  <si>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</si>
  <si>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</si>
  <si>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</si>
  <si>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</si>
  <si>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</si>
  <si>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</si>
  <si>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</si>
  <si>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</si>
  <si>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</si>
  <si>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</si>
  <si>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</si>
  <si>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</si>
  <si>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</si>
  <si>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</si>
  <si>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</si>
  <si>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</si>
  <si>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</si>
  <si>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</si>
  <si>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</si>
  <si>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</si>
  <si>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</si>
  <si>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</si>
  <si>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</si>
  <si>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</si>
  <si>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</si>
  <si>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</si>
  <si>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</si>
  <si>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</si>
  <si>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</si>
  <si>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</si>
  <si>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</si>
  <si>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</si>
  <si>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</si>
  <si>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</si>
  <si>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</si>
  <si>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</si>
  <si>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</si>
  <si>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</si>
  <si>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</si>
  <si>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</si>
  <si>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</si>
  <si>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</si>
  <si>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</si>
  <si>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</si>
  <si>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</si>
  <si>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</si>
  <si>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</si>
  <si>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</si>
  <si>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</si>
  <si>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</si>
  <si>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</si>
  <si>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</si>
  <si>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</si>
  <si>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</si>
  <si>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</si>
  <si>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</si>
  <si>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</si>
  <si>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</si>
  <si>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</si>
  <si>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</si>
  <si>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</si>
  <si>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</si>
  <si>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</si>
  <si>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</si>
  <si>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</si>
  <si>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</si>
  <si>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</si>
  <si>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</si>
  <si>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</si>
  <si>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</si>
  <si>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</si>
  <si>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</si>
  <si>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</si>
  <si>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</si>
  <si>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</si>
  <si>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</si>
  <si>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</si>
  <si>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</si>
  <si>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</si>
  <si>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</si>
  <si>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</si>
  <si>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</si>
  <si>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</si>
  <si>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</si>
  <si>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</si>
  <si>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</si>
  <si>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</si>
  <si>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</si>
  <si>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</si>
  <si>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</si>
  <si>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</si>
  <si>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</si>
  <si>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</si>
  <si>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</si>
  <si>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</si>
  <si>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</si>
  <si>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</si>
  <si>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</si>
  <si>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</si>
  <si>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</si>
  <si>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</si>
  <si>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</si>
  <si>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</si>
  <si>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</si>
  <si>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</si>
  <si>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</si>
  <si>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</si>
  <si>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</si>
  <si>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</si>
  <si>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</si>
  <si>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</si>
  <si>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</si>
  <si>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</si>
  <si>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</si>
  <si>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</si>
  <si>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</si>
  <si>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</si>
  <si>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</si>
  <si>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</si>
  <si>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</si>
  <si>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</si>
  <si>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</si>
  <si>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</si>
  <si>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</si>
  <si>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</si>
  <si>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</si>
  <si>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</si>
  <si>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</si>
  <si>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</si>
  <si>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</si>
  <si>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</si>
  <si>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</si>
  <si>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</si>
  <si>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</si>
  <si>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</si>
  <si>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</si>
  <si>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</si>
  <si>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</si>
  <si>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</si>
  <si>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</si>
  <si>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</si>
  <si>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</si>
  <si>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</si>
  <si>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</si>
  <si>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</si>
  <si>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</si>
  <si>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</si>
  <si>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</si>
  <si>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</si>
  <si>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</si>
  <si>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</si>
  <si>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</si>
  <si>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</si>
  <si>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</si>
  <si>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</si>
  <si>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</si>
  <si>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</si>
  <si>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</si>
  <si>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</si>
  <si>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</si>
  <si>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</si>
  <si>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</si>
  <si>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</si>
  <si>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</si>
  <si>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</si>
  <si>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</si>
  <si>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</si>
  <si>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</si>
  <si>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</si>
  <si>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</si>
  <si>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</si>
  <si>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</si>
  <si>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</si>
  <si>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</si>
  <si>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</si>
  <si>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</si>
  <si>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</si>
  <si>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</si>
  <si>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</si>
  <si>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</si>
  <si>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</si>
  <si>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</si>
  <si>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</si>
  <si>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</si>
  <si>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</si>
  <si>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</si>
  <si>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</si>
  <si>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</si>
  <si>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</si>
  <si>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</si>
  <si>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</si>
  <si>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</si>
  <si>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</si>
  <si>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</si>
  <si>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</si>
  <si>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</si>
  <si>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</si>
  <si>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</si>
  <si>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</si>
  <si>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</si>
  <si>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</si>
  <si>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</si>
  <si>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</si>
  <si>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</si>
  <si>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</si>
  <si>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</si>
  <si>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</si>
  <si>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</si>
  <si>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</si>
  <si>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</si>
  <si>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</si>
  <si>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</si>
  <si>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</si>
  <si>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</si>
  <si>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</si>
  <si>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</si>
  <si>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</si>
  <si>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</si>
  <si>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</si>
  <si>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</si>
  <si>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</si>
  <si>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</si>
  <si>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</si>
  <si>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</si>
  <si>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</si>
  <si>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</si>
  <si>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</si>
  <si>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</si>
  <si>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</si>
  <si>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</si>
  <si>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</si>
  <si>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</si>
  <si>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</si>
  <si>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</si>
  <si>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</si>
  <si>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</si>
  <si>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</si>
  <si>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</si>
  <si>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</si>
  <si>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</si>
  <si>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</si>
  <si>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</si>
  <si>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</si>
  <si>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</si>
  <si>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</si>
  <si>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</si>
  <si>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</si>
  <si>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</si>
  <si>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</si>
  <si>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</si>
  <si>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</si>
  <si>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</si>
  <si>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</si>
  <si>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</si>
  <si>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</si>
  <si>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</si>
  <si>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</si>
  <si>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</si>
  <si>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</si>
  <si>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</si>
  <si>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</si>
  <si>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</si>
  <si>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</si>
  <si>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</si>
  <si>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</si>
  <si>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</si>
  <si>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</si>
  <si>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</si>
  <si>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</si>
  <si>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</si>
  <si>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</si>
  <si>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</si>
  <si>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</si>
  <si>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</si>
  <si>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</si>
  <si>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</si>
  <si>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</si>
  <si>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</si>
  <si>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</si>
  <si>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</si>
  <si>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</si>
  <si>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</si>
  <si>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</si>
  <si>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</si>
  <si>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</si>
  <si>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</si>
  <si>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</si>
  <si>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</si>
  <si>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</si>
  <si>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</si>
  <si>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</si>
  <si>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</si>
  <si>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</si>
  <si>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</si>
  <si>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</si>
  <si>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</si>
  <si>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</si>
  <si>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</si>
  <si>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</si>
  <si>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</si>
  <si>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</si>
  <si>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</si>
  <si>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</si>
  <si>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</si>
  <si>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</si>
  <si>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</si>
  <si>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</si>
  <si>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</si>
  <si>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</si>
  <si>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</si>
  <si>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</si>
  <si>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</si>
  <si>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</si>
  <si>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</si>
  <si>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</si>
  <si>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</si>
  <si>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</si>
  <si>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</si>
  <si>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</si>
  <si>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</si>
  <si>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</si>
  <si>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</si>
  <si>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</si>
  <si>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</si>
  <si>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</si>
  <si>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</si>
  <si>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</si>
  <si>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</si>
  <si>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</si>
  <si>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</si>
  <si>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</si>
  <si>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</si>
  <si>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</si>
  <si>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</si>
  <si>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</si>
  <si>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</si>
  <si>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</si>
  <si>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</si>
  <si>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</si>
  <si>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</si>
  <si>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</si>
  <si>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</si>
  <si>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</si>
  <si>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</si>
  <si>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</si>
  <si>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</si>
  <si>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</si>
  <si>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</si>
  <si>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</si>
  <si>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</si>
  <si>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</si>
  <si>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</si>
  <si>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</si>
  <si>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</si>
  <si>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</si>
  <si>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</si>
  <si>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</si>
  <si>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</si>
  <si>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</si>
  <si>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</si>
  <si>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</si>
  <si>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</si>
  <si>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</si>
  <si>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</si>
  <si>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</si>
  <si>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</si>
  <si>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</si>
  <si>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</si>
  <si>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</si>
  <si>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</si>
  <si>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</si>
  <si>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</si>
  <si>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</si>
  <si>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</si>
  <si>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</si>
  <si>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</si>
  <si>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</si>
  <si>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</si>
  <si>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</si>
  <si>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</si>
  <si>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</si>
  <si>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</si>
  <si>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</si>
  <si>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</si>
  <si>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</si>
  <si>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</si>
  <si>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</si>
  <si>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</si>
  <si>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</si>
  <si>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</si>
  <si>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</si>
  <si>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</si>
  <si>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</si>
  <si>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</si>
  <si>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</si>
  <si>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</si>
  <si>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</si>
  <si>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</si>
  <si>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</si>
  <si>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</si>
  <si>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</si>
  <si>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</si>
  <si>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</si>
  <si>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</si>
  <si>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</si>
  <si>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</si>
  <si>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</si>
  <si>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</si>
  <si>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</si>
  <si>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</si>
  <si>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</si>
  <si>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</si>
  <si>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</si>
  <si>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</si>
  <si>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</si>
  <si>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</si>
  <si>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</si>
  <si>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</si>
  <si>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</si>
  <si>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</si>
  <si>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</si>
  <si>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</si>
  <si>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</si>
  <si>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</si>
  <si>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</si>
  <si>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</si>
  <si>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</si>
  <si>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</si>
  <si>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</si>
  <si>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</si>
  <si>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</si>
  <si>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</si>
  <si>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</si>
  <si>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</si>
  <si>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</si>
  <si>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</si>
  <si>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</si>
  <si>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</si>
  <si>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</si>
  <si>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</si>
  <si>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</si>
  <si>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</si>
  <si>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</si>
  <si>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</si>
  <si>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</si>
  <si>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</si>
  <si>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</si>
  <si>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</si>
  <si>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</si>
  <si>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</si>
  <si>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</si>
  <si>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</si>
  <si>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</si>
  <si>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</si>
  <si>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</si>
  <si>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</si>
  <si>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</si>
  <si>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</si>
  <si>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</si>
  <si>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</si>
  <si>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</si>
  <si>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</si>
  <si>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</si>
  <si>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</si>
  <si>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</si>
  <si>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</si>
  <si>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</si>
  <si>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</si>
  <si>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</si>
  <si>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</si>
  <si>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</si>
  <si>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</si>
  <si>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</si>
  <si>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</si>
  <si>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</si>
  <si>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</si>
  <si>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</si>
  <si>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</si>
  <si>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</si>
  <si>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</si>
  <si>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</si>
  <si>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</si>
  <si>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</si>
  <si>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</si>
  <si>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</si>
  <si>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</si>
  <si>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</si>
  <si>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</si>
  <si>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</si>
  <si>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</si>
  <si>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</si>
  <si>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</si>
  <si>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</si>
  <si>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</si>
  <si>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</si>
  <si>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</si>
  <si>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</si>
  <si>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</si>
  <si>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</si>
  <si>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</si>
  <si>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</si>
  <si>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</si>
  <si>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</si>
  <si>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</si>
  <si>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</si>
  <si>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</si>
  <si>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</si>
  <si>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</si>
  <si>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</si>
  <si>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</si>
  <si>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</si>
  <si>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</si>
  <si>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</si>
  <si>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</si>
  <si>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</si>
  <si>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</si>
  <si>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</si>
  <si>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</si>
  <si>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</si>
  <si>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</si>
  <si>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</si>
  <si>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</si>
  <si>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</si>
  <si>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</si>
  <si>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</si>
  <si>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</si>
  <si>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</si>
  <si>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</si>
  <si>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</si>
  <si>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</si>
  <si>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</si>
  <si>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</si>
  <si>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</si>
  <si>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</si>
  <si>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</si>
  <si>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</si>
  <si>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</si>
  <si>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</si>
  <si>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</si>
  <si>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</si>
  <si>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</si>
  <si>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</si>
  <si>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</si>
  <si>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</si>
  <si>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</si>
  <si>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</si>
  <si>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</si>
  <si>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</si>
  <si>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</si>
  <si>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</si>
  <si>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</si>
  <si>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</si>
  <si>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</si>
  <si>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</si>
  <si>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</si>
  <si>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</si>
  <si>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</si>
  <si>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</si>
  <si>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</si>
  <si>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</si>
  <si>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</si>
  <si>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</si>
  <si>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</si>
  <si>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</si>
  <si>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</si>
  <si>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</si>
  <si>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</si>
  <si>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</si>
  <si>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</si>
  <si>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</si>
  <si>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</si>
  <si>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</si>
  <si>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</si>
  <si>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</si>
  <si>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</si>
  <si>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</si>
  <si>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</si>
  <si>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</si>
  <si>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</si>
  <si>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</si>
  <si>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</si>
  <si>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</si>
  <si>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</si>
  <si>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</si>
  <si>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</si>
  <si>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</si>
  <si>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</si>
  <si>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</si>
  <si>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</si>
  <si>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</si>
  <si>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</si>
  <si>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</si>
  <si>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</si>
  <si>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</si>
  <si>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</si>
  <si>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</si>
  <si>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</si>
  <si>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</si>
  <si>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</si>
  <si>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</si>
  <si>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</si>
  <si>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</si>
  <si>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</si>
  <si>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</si>
  <si>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</si>
  <si>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</si>
  <si>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</si>
  <si>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</si>
  <si>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</si>
  <si>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</si>
  <si>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</si>
  <si>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</si>
  <si>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</si>
  <si>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</si>
  <si>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</si>
  <si>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</si>
  <si>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</si>
  <si>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</si>
  <si>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</si>
  <si>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</si>
  <si>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</si>
  <si>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</si>
  <si>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</si>
  <si>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</si>
  <si>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</si>
  <si>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</si>
  <si>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</si>
  <si>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</si>
  <si>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</si>
  <si>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</si>
  <si>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</si>
  <si>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</si>
  <si>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</si>
  <si>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</si>
  <si>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</si>
  <si>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</si>
  <si>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</si>
  <si>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</si>
  <si>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</si>
  <si>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</si>
  <si>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</si>
  <si>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</si>
  <si>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</si>
  <si>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</si>
  <si>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</si>
  <si>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</si>
  <si>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</si>
  <si>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</si>
  <si>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</si>
  <si>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</si>
  <si>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</si>
  <si>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</si>
  <si>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</si>
  <si>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</si>
  <si>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</si>
  <si>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</si>
  <si>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</si>
  <si>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</si>
  <si>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</si>
  <si>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</si>
  <si>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</si>
  <si>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</si>
  <si>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</si>
  <si>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</si>
  <si>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</si>
  <si>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</si>
  <si>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</si>
  <si>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</si>
  <si>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</si>
  <si>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</si>
  <si>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</si>
  <si>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</si>
  <si>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</si>
  <si>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</si>
  <si>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</si>
  <si>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</si>
  <si>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</si>
  <si>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</si>
  <si>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</si>
  <si>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</si>
  <si>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</si>
  <si>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</si>
  <si>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</si>
  <si>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</si>
  <si>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</si>
  <si>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</si>
  <si>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</si>
  <si>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</si>
  <si>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</si>
  <si>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</si>
  <si>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</si>
  <si>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</si>
  <si>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</si>
  <si>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</si>
  <si>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</si>
  <si>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</si>
  <si>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</si>
  <si>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</si>
  <si>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</si>
  <si>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</si>
  <si>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</si>
  <si>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</si>
  <si>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</si>
  <si>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</si>
  <si>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</si>
  <si>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</si>
  <si>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</si>
  <si>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</si>
  <si>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</si>
  <si>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</si>
  <si>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</si>
  <si>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</si>
  <si>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</si>
  <si>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</si>
  <si>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</si>
  <si>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</si>
  <si>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</si>
  <si>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</si>
  <si>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</si>
  <si>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</si>
  <si>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</si>
  <si>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</si>
  <si>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</si>
  <si>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</si>
  <si>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</si>
  <si>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</si>
  <si>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</si>
  <si>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</si>
  <si>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</si>
  <si>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</si>
  <si>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</si>
  <si>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</si>
  <si>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</si>
  <si>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</si>
  <si>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</si>
  <si>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</si>
  <si>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</si>
  <si>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</si>
  <si>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</si>
  <si>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</si>
  <si>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</si>
  <si>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</si>
  <si>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</si>
  <si>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</si>
  <si>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</si>
  <si>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</si>
  <si>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</si>
  <si>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</si>
  <si>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</si>
  <si>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</si>
  <si>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</si>
  <si>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</si>
  <si>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</si>
  <si>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</si>
  <si>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</si>
  <si>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</si>
  <si>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</si>
  <si>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</si>
  <si>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</si>
  <si>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</si>
  <si>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</si>
  <si>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</si>
  <si>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</si>
  <si>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</si>
  <si>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</si>
  <si>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</si>
  <si>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</si>
  <si>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</si>
  <si>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</si>
  <si>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</si>
  <si>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</si>
  <si>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</si>
  <si>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</si>
  <si>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</si>
  <si>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</si>
  <si>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</si>
  <si>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</si>
  <si>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</si>
  <si>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</si>
  <si>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</si>
  <si>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</si>
  <si>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</si>
  <si>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</si>
  <si>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</si>
  <si>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</si>
  <si>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</si>
  <si>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</si>
  <si>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</si>
  <si>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</si>
  <si>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</si>
  <si>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</si>
  <si>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</si>
  <si>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</si>
  <si>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</si>
  <si>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</si>
  <si>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</si>
  <si>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</si>
  <si>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</si>
  <si>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</si>
  <si>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</si>
  <si>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</si>
  <si>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</si>
  <si>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</si>
  <si>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</si>
  <si>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</si>
  <si>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</si>
  <si>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</si>
  <si>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</si>
  <si>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</si>
  <si>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</si>
  <si>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</si>
  <si>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</si>
  <si>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</si>
  <si>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</si>
  <si>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</si>
  <si>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</si>
  <si>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</si>
  <si>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</si>
  <si>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</si>
  <si>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</si>
  <si>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</si>
  <si>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</si>
  <si>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</si>
  <si>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</si>
  <si>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</si>
  <si>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</si>
  <si>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</si>
  <si>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</si>
  <si>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</si>
  <si>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</si>
  <si>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</si>
  <si>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</si>
  <si>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</si>
  <si>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</si>
  <si>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</si>
  <si>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</si>
  <si>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</si>
  <si>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</si>
  <si>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</si>
  <si>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</si>
  <si>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</si>
  <si>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</si>
  <si>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</si>
  <si>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</si>
  <si>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</si>
  <si>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</si>
  <si>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</si>
  <si>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</si>
  <si>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</si>
  <si>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</si>
  <si>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</si>
  <si>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</si>
  <si>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</si>
  <si>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</si>
  <si>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</si>
  <si>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</si>
  <si>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</si>
  <si>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</si>
  <si>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</si>
  <si>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</si>
  <si>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</si>
  <si>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</si>
  <si>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</si>
  <si>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</si>
  <si>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</si>
  <si>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</si>
  <si>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</si>
  <si>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</si>
  <si>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</si>
  <si>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</si>
  <si>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</si>
  <si>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</si>
  <si>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</si>
  <si>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</si>
  <si>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</si>
  <si>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</si>
  <si>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</si>
  <si>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</si>
  <si>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</si>
  <si>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</si>
  <si>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</si>
  <si>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</si>
  <si>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</si>
  <si>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</si>
  <si>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</si>
  <si>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</si>
  <si>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</si>
  <si>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</si>
  <si>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</si>
  <si>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</si>
  <si>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</si>
  <si>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</si>
  <si>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</si>
  <si>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</si>
  <si>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</si>
  <si>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</si>
  <si>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</si>
  <si>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</si>
  <si>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</si>
  <si>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</si>
  <si>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</si>
  <si>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</si>
  <si>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</si>
  <si>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</si>
  <si>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</si>
  <si>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</si>
  <si>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</si>
  <si>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</si>
  <si>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</si>
  <si>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</si>
  <si>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mxClipboard.copy(mainSystem.graph)</t>
  </si>
  <si>
    <t>mxClipboard.cut(mainSystem.graph)</t>
  </si>
  <si>
    <t>mxClipboard.paste(mainSystem.graph)</t>
  </si>
  <si>
    <t>mxClipboard.copy(mainSystem.graph);mxClipboard.paste(mainSystem.graph);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</si>
  <si>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</si>
  <si>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</si>
  <si>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</si>
  <si>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</si>
  <si>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</si>
  <si>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</si>
  <si>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</si>
  <si>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</si>
  <si>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</si>
  <si>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</si>
  <si>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</si>
  <si>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</si>
  <si>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</si>
  <si>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</si>
  <si>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</si>
  <si>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</si>
  <si>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</si>
  <si>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</si>
  <si>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</si>
  <si>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</si>
  <si>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</si>
  <si>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far fa-clone</t>
  </si>
  <si>
    <t>mainSystem.graph.orderCells(false);mainSystem.refresh()</t>
  </si>
  <si>
    <t>mainSystem.graph.orderCells(true);mainSystem.refresh()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</si>
  <si>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local"},"prtBelow":true,"func":"uyamakFileManager.openLocal()"},{"icon":"fas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originales."},"prtBelow":false,"func":"mxClipboard.cut(mainSystem.graph)"},{"icon":"fas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portapapeles"},"prtBelow":false,"func":"mxClipboard.copy(mainSystem.graph)"},{"icon":"fas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actual"},"prtBelow":false,"func":"mxClipboard.paste(mainSystem.graph)"},{"icon":"fas fa-clone","kbShort":{"ctrl":true,"alt":true,"shift":true,"key":"c","keycode":"67","langCode":"key_c"},"text":{"en-us":"Clone","es-mx":"Clon"},"moreInfo":{"en-us":"Clones the selected Uyamak models","es-mx":"Clona los modelos Uyamak seleccionados"},"prtBelow":false,"func":"mxClipboard.copy(mainSystem.graph);mxClipboard.paste(mainSystem.graph);"},{"icon":"fas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fa-image","kbShort":{"ctrl":true,"alt":false,"shift":true,"key":"r","keycode":"82","langCode":"key_r"},"text":{"en-us":"Rotate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frente"},"prtBelow":false,"func":"mainSystem.graph.orderCells(false);mainSystem.refresh()"},{"icon":"far fa-clone","kbShort":{"ctrl":true,"alt":false,"shift":false,"key":"b","keycode":"66","langCode":"key_b"},"text":{"en-us":"Send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fa-magnet","kbShort":{"ctrl":true,"alt":false,"shift":false,"key":"t","keycode":"84","langCode":"key_t"},"text":{"en-us":"Execution order","es-mx":"Orden de ejecución"},"moreInfo":{"en-us":"Shows simulation order and errors","es-mx":"Muestra el orden de simulación y los errores."},"prtBelow":false,"func":"alert()"}]},{"icon":"fas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</si>
</sst>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53" workbookViewId="0">
      <selection activeCell="A154" sqref="A15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849</v>
      </c>
      <c r="B133" t="s">
        <v>850</v>
      </c>
      <c r="C133" t="s">
        <v>851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852</v>
      </c>
      <c r="B140" t="s">
        <v>98</v>
      </c>
      <c r="C140" t="s">
        <v>853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856</v>
      </c>
      <c r="B141" t="s">
        <v>854</v>
      </c>
      <c r="C141" t="s">
        <v>858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855</v>
      </c>
      <c r="B142" t="s">
        <v>857</v>
      </c>
      <c r="C142" t="s">
        <v>859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860</v>
      </c>
      <c r="B143" t="s">
        <v>861</v>
      </c>
      <c r="C143" t="s">
        <v>862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863</v>
      </c>
      <c r="B144" t="s">
        <v>94</v>
      </c>
      <c r="C144" t="s">
        <v>872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864</v>
      </c>
      <c r="B145" t="s">
        <v>865</v>
      </c>
      <c r="C145" t="s">
        <v>873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866</v>
      </c>
      <c r="B146" t="s">
        <v>868</v>
      </c>
      <c r="C146" t="s">
        <v>874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867</v>
      </c>
      <c r="B147" t="s">
        <v>871</v>
      </c>
      <c r="C147" t="s">
        <v>875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869</v>
      </c>
      <c r="B148" t="s">
        <v>870</v>
      </c>
      <c r="C148" t="s">
        <v>876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878</v>
      </c>
      <c r="B149" t="s">
        <v>877</v>
      </c>
      <c r="C149" t="s">
        <v>879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880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881</v>
      </c>
      <c r="B151" t="s">
        <v>882</v>
      </c>
      <c r="C151" t="s">
        <v>885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883</v>
      </c>
      <c r="B152" t="s">
        <v>884</v>
      </c>
      <c r="C152" t="s">
        <v>886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920</v>
      </c>
      <c r="B153" t="s">
        <v>924</v>
      </c>
      <c r="C153" t="s">
        <v>925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921</v>
      </c>
      <c r="B154" t="s">
        <v>922</v>
      </c>
      <c r="C154" t="s">
        <v>923</v>
      </c>
      <c r="K154" t="str">
        <f t="shared" si="6"/>
        <v>"myUmkModel":"myUyamakModel"}</v>
      </c>
      <c r="L154" t="str">
        <f t="shared" si="7"/>
        <v>"myUmkModel":"miModeloDeUyamak"}</v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abSelected="1" topLeftCell="G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2" t="s">
        <v>341</v>
      </c>
      <c r="F1" s="22"/>
      <c r="G1" s="22"/>
      <c r="H1" s="22"/>
      <c r="I1" s="22"/>
      <c r="J1" s="22"/>
      <c r="K1" s="22"/>
      <c r="M1" s="22" t="s">
        <v>329</v>
      </c>
      <c r="N1" s="22"/>
      <c r="O1" s="22" t="s">
        <v>330</v>
      </c>
      <c r="P1" s="22"/>
      <c r="T1" s="18" t="s">
        <v>944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21">
        <f>IF(ISBLANK(H4), "", VLOOKUP(LOWER(H4), javascriptKeycodes!A:B, 2, FALSE))</f>
        <v>76</v>
      </c>
      <c r="J4" s="21" t="str">
        <f>IF(ISBLANK(H4), "", VLOOKUP(LOWER(H4), javascriptKeycodes!A:C, 3, FALSE))</f>
        <v>key_l</v>
      </c>
      <c r="K4" s="10" t="str">
        <f t="shared" ref="K4:K3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439</v>
      </c>
      <c r="P4" t="s">
        <v>479</v>
      </c>
    </row>
    <row r="5" spans="1:20" x14ac:dyDescent="0.3">
      <c r="A5">
        <v>3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21">
        <f>IF(ISBLANK(H5), "", VLOOKUP(LOWER(H5), javascriptKeycodes!A:B, 2, FALSE))</f>
        <v>83</v>
      </c>
      <c r="J5" s="21" t="str">
        <f>IF(ISBLANK(H5), "", VLOOKUP(LOWER(H5), javascriptKeycodes!A:C, 3, FALSE))</f>
        <v>key_s</v>
      </c>
      <c r="K5" s="10" t="str">
        <f t="shared" si="0"/>
        <v>CTRL_S</v>
      </c>
      <c r="L5" t="s">
        <v>926</v>
      </c>
      <c r="M5" t="s">
        <v>137</v>
      </c>
      <c r="N5" t="s">
        <v>197</v>
      </c>
      <c r="O5" t="s">
        <v>440</v>
      </c>
      <c r="P5" t="s">
        <v>480</v>
      </c>
    </row>
    <row r="6" spans="1:20" x14ac:dyDescent="0.3">
      <c r="A6">
        <v>4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242</v>
      </c>
      <c r="I6" s="21">
        <f>IF(ISBLANK(H6), "", VLOOKUP(LOWER(H6), javascriptKeycodes!A:B, 2, FALSE))</f>
        <v>79</v>
      </c>
      <c r="J6" s="21" t="str">
        <f>IF(ISBLANK(H6), "", VLOOKUP(LOWER(H6), javascriptKeycodes!A:C, 3, FALSE))</f>
        <v>key_o</v>
      </c>
      <c r="K6" s="10" t="str">
        <f t="shared" si="0"/>
        <v>CTRL_O</v>
      </c>
      <c r="L6" t="s">
        <v>927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1">
        <f>IF(ISBLANK(H7), "", VLOOKUP(LOWER(H7), javascriptKeycodes!A:B, 2, FALSE))</f>
        <v>74</v>
      </c>
      <c r="J7" s="21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482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1">
        <f>IF(ISBLANK(H8), "", VLOOKUP(LOWER(H8), javascriptKeycodes!A:B, 2, FALSE))</f>
        <v>74</v>
      </c>
      <c r="J8" s="21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483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1">
        <f>IF(ISBLANK(H9), "", VLOOKUP(LOWER(H9), javascriptKeycodes!A:B, 2, FALSE))</f>
        <v>80</v>
      </c>
      <c r="J9" s="21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484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1">
        <f>IF(ISBLANK(H10), "", VLOOKUP(LOWER(H10), javascriptKeycodes!A:B, 2, FALSE))</f>
        <v>83</v>
      </c>
      <c r="J10" s="21" t="str">
        <f>IF(ISBLANK(H10), "", VLOOKUP(LOWER(H10), javascriptKeycodes!A:C, 3, FALSE))</f>
        <v>key_s</v>
      </c>
      <c r="K10" s="21" t="str">
        <f t="shared" ref="K10:K41" si="1">IF(E10,"CTRL_","")&amp;IF(F10,"ALT_","")&amp;IF(G10,"SHIFT_","")&amp;H10</f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485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1">
        <f>IF(ISBLANK(H11), "", VLOOKUP(LOWER(H11), javascriptKeycodes!A:B, 2, FALSE))</f>
        <v>85</v>
      </c>
      <c r="J11" s="21" t="str">
        <f>IF(ISBLANK(H11), "", VLOOKUP(LOWER(H11), javascriptKeycodes!A:C, 3, FALSE))</f>
        <v>key_u</v>
      </c>
      <c r="K11" s="21" t="str">
        <f t="shared" si="1"/>
        <v>CTRL_U</v>
      </c>
      <c r="L11" t="s">
        <v>888</v>
      </c>
      <c r="M11" t="s">
        <v>234</v>
      </c>
      <c r="N11" t="s">
        <v>235</v>
      </c>
      <c r="O11" t="s">
        <v>446</v>
      </c>
      <c r="P11" t="s">
        <v>486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1">
        <f>IF(ISBLANK(H12), "", VLOOKUP(LOWER(H12), javascriptKeycodes!A:B, 2, FALSE))</f>
        <v>69</v>
      </c>
      <c r="J12" s="21" t="str">
        <f>IF(ISBLANK(H12), "", VLOOKUP(LOWER(H12), javascriptKeycodes!A:C, 3, FALSE))</f>
        <v>key_e</v>
      </c>
      <c r="K12" s="21" t="str">
        <f t="shared" si="1"/>
        <v>CTRL_E</v>
      </c>
      <c r="L12" t="s">
        <v>887</v>
      </c>
      <c r="M12" t="s">
        <v>201</v>
      </c>
      <c r="N12" t="s">
        <v>203</v>
      </c>
      <c r="O12" t="s">
        <v>447</v>
      </c>
      <c r="P12" t="s">
        <v>487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1">
        <f>IF(ISBLANK(H13), "", VLOOKUP(LOWER(H13), javascriptKeycodes!A:B, 2, FALSE))</f>
        <v>83</v>
      </c>
      <c r="J13" s="21" t="str">
        <f>IF(ISBLANK(H13), "", VLOOKUP(LOWER(H13), javascriptKeycodes!A:C, 3, FALSE))</f>
        <v>key_s</v>
      </c>
      <c r="K13" s="21" t="str">
        <f t="shared" si="1"/>
        <v>CTRL_SHIFT_S</v>
      </c>
      <c r="L13" t="s">
        <v>272</v>
      </c>
      <c r="M13" t="s">
        <v>202</v>
      </c>
      <c r="N13" t="s">
        <v>204</v>
      </c>
      <c r="O13" t="s">
        <v>448</v>
      </c>
      <c r="P13" t="s">
        <v>488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1">
        <f>IF(ISBLANK(H14), "", VLOOKUP(LOWER(H14), javascriptKeycodes!A:B, 2, FALSE))</f>
        <v>86</v>
      </c>
      <c r="J14" s="21" t="str">
        <f>IF(ISBLANK(H14), "", VLOOKUP(LOWER(H14), javascriptKeycodes!A:C, 3, FALSE))</f>
        <v>key_v</v>
      </c>
      <c r="K14" s="21" t="str">
        <f t="shared" si="1"/>
        <v>CTRL_SHIFT_V</v>
      </c>
      <c r="L14" t="s">
        <v>779</v>
      </c>
      <c r="M14" t="s">
        <v>889</v>
      </c>
      <c r="N14" t="s">
        <v>890</v>
      </c>
      <c r="O14" t="s">
        <v>891</v>
      </c>
      <c r="P14" t="s">
        <v>892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1">
        <f>IF(ISBLANK(H15), "", VLOOKUP(LOWER(H15), javascriptKeycodes!A:B, 2, FALSE))</f>
        <v>75</v>
      </c>
      <c r="J15" s="21" t="str">
        <f>IF(ISBLANK(H15), "", VLOOKUP(LOWER(H15), javascriptKeycodes!A:C, 3, FALSE))</f>
        <v>key_k</v>
      </c>
      <c r="K15" s="21" t="str">
        <f t="shared" si="1"/>
        <v>CTRL_K</v>
      </c>
      <c r="L15" t="s">
        <v>893</v>
      </c>
      <c r="M15" t="s">
        <v>236</v>
      </c>
      <c r="N15" t="s">
        <v>205</v>
      </c>
      <c r="O15" t="s">
        <v>449</v>
      </c>
      <c r="P15" t="s">
        <v>489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1">
        <f>IF(ISBLANK(H16), "", VLOOKUP(LOWER(H16), javascriptKeycodes!A:B, 2, FALSE))</f>
        <v>75</v>
      </c>
      <c r="J16" s="21" t="str">
        <f>IF(ISBLANK(H16), "", VLOOKUP(LOWER(H16), javascriptKeycodes!A:C, 3, FALSE))</f>
        <v>key_k</v>
      </c>
      <c r="K16" s="21" t="str">
        <f t="shared" si="1"/>
        <v>CTRL_SHIFT_K</v>
      </c>
      <c r="L16" t="s">
        <v>894</v>
      </c>
      <c r="M16" t="s">
        <v>237</v>
      </c>
      <c r="N16" t="s">
        <v>206</v>
      </c>
      <c r="O16" t="s">
        <v>450</v>
      </c>
      <c r="P16" t="s">
        <v>490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1">
        <f>IF(ISBLANK(H17), "", VLOOKUP(LOWER(H17), javascriptKeycodes!A:B, 2, FALSE))</f>
        <v>69</v>
      </c>
      <c r="J17" s="21" t="str">
        <f>IF(ISBLANK(H17), "", VLOOKUP(LOWER(H17), javascriptKeycodes!A:C, 3, FALSE))</f>
        <v>key_e</v>
      </c>
      <c r="K17" s="21" t="str">
        <f t="shared" si="1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491</v>
      </c>
    </row>
    <row r="18" spans="1:16" x14ac:dyDescent="0.3">
      <c r="A18">
        <v>16</v>
      </c>
      <c r="B18" t="b">
        <v>0</v>
      </c>
      <c r="C18" t="b">
        <v>1</v>
      </c>
      <c r="D18" t="s">
        <v>726</v>
      </c>
      <c r="E18" t="b">
        <v>1</v>
      </c>
      <c r="F18" t="b">
        <v>1</v>
      </c>
      <c r="G18" t="b">
        <v>1</v>
      </c>
      <c r="H18" s="16" t="s">
        <v>243</v>
      </c>
      <c r="I18" s="21">
        <f>IF(ISBLANK(H18), "", VLOOKUP(LOWER(H18), javascriptKeycodes!A:B, 2, FALSE))</f>
        <v>83</v>
      </c>
      <c r="J18" s="21" t="str">
        <f>IF(ISBLANK(H18), "", VLOOKUP(LOWER(H18), javascriptKeycodes!A:C, 3, FALSE))</f>
        <v>key_s</v>
      </c>
      <c r="K18" s="21" t="str">
        <f t="shared" si="1"/>
        <v>CTRL_ALT_SHIFT_S</v>
      </c>
      <c r="L18" t="s">
        <v>727</v>
      </c>
      <c r="M18" t="s">
        <v>693</v>
      </c>
      <c r="N18" t="s">
        <v>724</v>
      </c>
      <c r="O18" t="s">
        <v>694</v>
      </c>
      <c r="P18" t="s">
        <v>725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1">
        <f>IF(ISBLANK(H19), "", VLOOKUP(LOWER(H19), javascriptKeycodes!A:B, 2, FALSE))</f>
        <v>65</v>
      </c>
      <c r="J19" s="21" t="str">
        <f>IF(ISBLANK(H19), "", VLOOKUP(LOWER(H19), javascriptKeycodes!A:C, 3, FALSE))</f>
        <v>key_a</v>
      </c>
      <c r="K19" s="21" t="str">
        <f t="shared" si="1"/>
        <v>CTRL_A</v>
      </c>
      <c r="L19" t="s">
        <v>895</v>
      </c>
      <c r="M19" t="s">
        <v>268</v>
      </c>
      <c r="N19" t="s">
        <v>436</v>
      </c>
      <c r="O19" t="s">
        <v>452</v>
      </c>
      <c r="P19" t="s">
        <v>492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1">
        <f>IF(ISBLANK(H20), "", VLOOKUP(LOWER(H20), javascriptKeycodes!A:B, 2, FALSE))</f>
        <v>65</v>
      </c>
      <c r="J20" s="21" t="str">
        <f>IF(ISBLANK(H20), "", VLOOKUP(LOWER(H20), javascriptKeycodes!A:C, 3, FALSE))</f>
        <v>key_a</v>
      </c>
      <c r="K20" s="21" t="str">
        <f t="shared" si="1"/>
        <v>CTRL_SHIFT_A</v>
      </c>
      <c r="L20" t="s">
        <v>896</v>
      </c>
      <c r="M20" t="s">
        <v>269</v>
      </c>
      <c r="N20" t="s">
        <v>437</v>
      </c>
      <c r="O20" t="s">
        <v>453</v>
      </c>
      <c r="P20" t="s">
        <v>493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21">
        <f>IF(ISBLANK(H21), "", VLOOKUP(LOWER(H21), javascriptKeycodes!A:B, 2, FALSE))</f>
        <v>88</v>
      </c>
      <c r="J21" s="21" t="str">
        <f>IF(ISBLANK(H21), "", VLOOKUP(LOWER(H21), javascriptKeycodes!A:C, 3, FALSE))</f>
        <v>key_x</v>
      </c>
      <c r="K21" s="21" t="str">
        <f t="shared" si="1"/>
        <v>CTRL_X</v>
      </c>
      <c r="L21" t="s">
        <v>917</v>
      </c>
      <c r="M21" t="s">
        <v>124</v>
      </c>
      <c r="N21" t="s">
        <v>208</v>
      </c>
      <c r="O21" t="s">
        <v>454</v>
      </c>
      <c r="P21" t="s">
        <v>494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21">
        <f>IF(ISBLANK(H22), "", VLOOKUP(LOWER(H22), javascriptKeycodes!A:B, 2, FALSE))</f>
        <v>67</v>
      </c>
      <c r="J22" s="21" t="str">
        <f>IF(ISBLANK(H22), "", VLOOKUP(LOWER(H22), javascriptKeycodes!A:C, 3, FALSE))</f>
        <v>key_c</v>
      </c>
      <c r="K22" s="21" t="str">
        <f t="shared" si="1"/>
        <v>CTRL_C</v>
      </c>
      <c r="L22" t="s">
        <v>916</v>
      </c>
      <c r="M22" t="s">
        <v>125</v>
      </c>
      <c r="N22" t="s">
        <v>207</v>
      </c>
      <c r="O22" t="s">
        <v>455</v>
      </c>
      <c r="P22" t="s">
        <v>495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21">
        <f>IF(ISBLANK(H23), "", VLOOKUP(LOWER(H23), javascriptKeycodes!A:B, 2, FALSE))</f>
        <v>86</v>
      </c>
      <c r="J23" s="21" t="str">
        <f>IF(ISBLANK(H23), "", VLOOKUP(LOWER(H23), javascriptKeycodes!A:C, 3, FALSE))</f>
        <v>key_v</v>
      </c>
      <c r="K23" s="21" t="str">
        <f t="shared" si="1"/>
        <v>CTRL_V</v>
      </c>
      <c r="L23" t="s">
        <v>918</v>
      </c>
      <c r="M23" t="s">
        <v>126</v>
      </c>
      <c r="N23" t="s">
        <v>209</v>
      </c>
      <c r="O23" t="s">
        <v>456</v>
      </c>
      <c r="P23" t="s">
        <v>496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 t="b">
        <v>1</v>
      </c>
      <c r="G24" s="7" t="b">
        <v>1</v>
      </c>
      <c r="H24" s="6" t="s">
        <v>244</v>
      </c>
      <c r="I24" s="21">
        <f>IF(ISBLANK(H24), "", VLOOKUP(LOWER(H24), javascriptKeycodes!A:B, 2, FALSE))</f>
        <v>67</v>
      </c>
      <c r="J24" s="21" t="str">
        <f>IF(ISBLANK(H24), "", VLOOKUP(LOWER(H24), javascriptKeycodes!A:C, 3, FALSE))</f>
        <v>key_c</v>
      </c>
      <c r="K24" s="21" t="str">
        <f t="shared" si="1"/>
        <v>CTRL_ALT_SHIFT_C</v>
      </c>
      <c r="L24" t="s">
        <v>919</v>
      </c>
      <c r="M24" t="s">
        <v>164</v>
      </c>
      <c r="N24" t="s">
        <v>210</v>
      </c>
      <c r="O24" t="s">
        <v>457</v>
      </c>
      <c r="P24" t="s">
        <v>497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1">
        <f>IF(ISBLANK(H25), "", VLOOKUP(LOWER(H25), javascriptKeycodes!A:B, 2, FALSE))</f>
        <v>46</v>
      </c>
      <c r="J25" s="21" t="str">
        <f>IF(ISBLANK(H25), "", VLOOKUP(LOWER(H25), javascriptKeycodes!A:C, 3, FALSE))</f>
        <v>key_delete</v>
      </c>
      <c r="K25" s="21" t="str">
        <f t="shared" si="1"/>
        <v>delete</v>
      </c>
      <c r="L25" t="s">
        <v>897</v>
      </c>
      <c r="M25" t="s">
        <v>33</v>
      </c>
      <c r="N25" t="s">
        <v>211</v>
      </c>
      <c r="O25" t="s">
        <v>458</v>
      </c>
      <c r="P25" t="s">
        <v>498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1">
        <f>IF(ISBLANK(H26), "", VLOOKUP(LOWER(H26), javascriptKeycodes!A:B, 2, FALSE))</f>
        <v>90</v>
      </c>
      <c r="J26" s="21" t="str">
        <f>IF(ISBLANK(H26), "", VLOOKUP(LOWER(H26), javascriptKeycodes!A:C, 3, FALSE))</f>
        <v>key_z</v>
      </c>
      <c r="K26" s="21" t="str">
        <f t="shared" si="1"/>
        <v>CTRL_Z</v>
      </c>
      <c r="L26" t="s">
        <v>905</v>
      </c>
      <c r="M26" t="s">
        <v>143</v>
      </c>
      <c r="N26" t="s">
        <v>212</v>
      </c>
      <c r="O26" t="s">
        <v>459</v>
      </c>
      <c r="P26" t="s">
        <v>499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1">
        <f>IF(ISBLANK(H27), "", VLOOKUP(LOWER(H27), javascriptKeycodes!A:B, 2, FALSE))</f>
        <v>90</v>
      </c>
      <c r="J27" s="21" t="str">
        <f>IF(ISBLANK(H27), "", VLOOKUP(LOWER(H27), javascriptKeycodes!A:C, 3, FALSE))</f>
        <v>key_z</v>
      </c>
      <c r="K27" s="21" t="str">
        <f t="shared" si="1"/>
        <v>CTRL_SHIFT_Z</v>
      </c>
      <c r="L27" t="s">
        <v>904</v>
      </c>
      <c r="M27" t="s">
        <v>144</v>
      </c>
      <c r="N27" t="s">
        <v>213</v>
      </c>
      <c r="O27" t="s">
        <v>460</v>
      </c>
      <c r="P27" t="s">
        <v>500</v>
      </c>
    </row>
    <row r="28" spans="1:16" x14ac:dyDescent="0.3">
      <c r="A28">
        <v>26</v>
      </c>
      <c r="B28" t="b">
        <v>1</v>
      </c>
      <c r="C28" t="b">
        <v>0</v>
      </c>
      <c r="D28" t="s">
        <v>928</v>
      </c>
      <c r="F28" s="21" t="b">
        <v>1</v>
      </c>
      <c r="G28" s="21"/>
      <c r="H28" s="21" t="s">
        <v>621</v>
      </c>
      <c r="I28" s="21">
        <f>IF(ISBLANK(H28), "", VLOOKUP(LOWER(H28), javascriptKeycodes!A:B, 2, FALSE))</f>
        <v>78</v>
      </c>
      <c r="J28" s="21" t="str">
        <f>IF(ISBLANK(H28), "", VLOOKUP(LOWER(H28), javascriptKeycodes!A:C, 3, FALSE))</f>
        <v>key_n</v>
      </c>
      <c r="K28" s="21" t="str">
        <f t="shared" si="1"/>
        <v>ALT_N</v>
      </c>
      <c r="M28" t="s">
        <v>929</v>
      </c>
      <c r="N28" t="s">
        <v>931</v>
      </c>
      <c r="O28" t="s">
        <v>930</v>
      </c>
      <c r="P28" t="s">
        <v>932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1">
        <f>IF(ISBLANK(H29), "", VLOOKUP(LOWER(H29), javascriptKeycodes!A:B, 2, FALSE))</f>
        <v>107</v>
      </c>
      <c r="J29" s="21" t="str">
        <f>IF(ISBLANK(H29), "", VLOOKUP(LOWER(H29), javascriptKeycodes!A:C, 3, FALSE))</f>
        <v>key_add</v>
      </c>
      <c r="K29" s="21" t="str">
        <f t="shared" si="1"/>
        <v>CTRL_add</v>
      </c>
      <c r="L29" t="s">
        <v>901</v>
      </c>
      <c r="M29" t="s">
        <v>129</v>
      </c>
      <c r="N29" t="s">
        <v>216</v>
      </c>
      <c r="O29" t="s">
        <v>462</v>
      </c>
      <c r="P29" t="s">
        <v>502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1">
        <f>IF(ISBLANK(H30), "", VLOOKUP(LOWER(H30), javascriptKeycodes!A:B, 2, FALSE))</f>
        <v>109</v>
      </c>
      <c r="J30" s="21" t="str">
        <f>IF(ISBLANK(H30), "", VLOOKUP(LOWER(H30), javascriptKeycodes!A:C, 3, FALSE))</f>
        <v>key_sub</v>
      </c>
      <c r="K30" s="21" t="str">
        <f t="shared" si="1"/>
        <v>CTRL_subtract</v>
      </c>
      <c r="L30" t="s">
        <v>900</v>
      </c>
      <c r="M30" t="s">
        <v>128</v>
      </c>
      <c r="N30" t="s">
        <v>217</v>
      </c>
      <c r="O30" t="s">
        <v>463</v>
      </c>
      <c r="P30" t="s">
        <v>503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676</v>
      </c>
      <c r="I31" s="21">
        <f>IF(ISBLANK(H31), "", VLOOKUP(LOWER(H31), javascriptKeycodes!A:B, 2, FALSE))</f>
        <v>48</v>
      </c>
      <c r="J31" s="21" t="str">
        <f>IF(ISBLANK(H31), "", VLOOKUP(LOWER(H31), javascriptKeycodes!A:C, 3, FALSE))</f>
        <v>key_0</v>
      </c>
      <c r="K31" s="21" t="str">
        <f t="shared" si="1"/>
        <v>CTRL_K_0</v>
      </c>
      <c r="L31" t="s">
        <v>902</v>
      </c>
      <c r="M31" t="s">
        <v>131</v>
      </c>
      <c r="N31" t="s">
        <v>218</v>
      </c>
      <c r="O31" t="s">
        <v>464</v>
      </c>
      <c r="P31" t="s">
        <v>504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676</v>
      </c>
      <c r="I32" s="21">
        <f>IF(ISBLANK(H32), "", VLOOKUP(LOWER(H32), javascriptKeycodes!A:B, 2, FALSE))</f>
        <v>48</v>
      </c>
      <c r="J32" s="21" t="str">
        <f>IF(ISBLANK(H32), "", VLOOKUP(LOWER(H32), javascriptKeycodes!A:C, 3, FALSE))</f>
        <v>key_0</v>
      </c>
      <c r="K32" s="21" t="str">
        <f t="shared" si="1"/>
        <v>CTRL_SHIFT_K_0</v>
      </c>
      <c r="L32" t="s">
        <v>903</v>
      </c>
      <c r="M32" t="s">
        <v>130</v>
      </c>
      <c r="N32" t="s">
        <v>219</v>
      </c>
      <c r="O32" t="s">
        <v>465</v>
      </c>
      <c r="P32" t="s">
        <v>505</v>
      </c>
    </row>
    <row r="33" spans="1:16" x14ac:dyDescent="0.3">
      <c r="A33">
        <v>31</v>
      </c>
      <c r="B33" t="b">
        <v>0</v>
      </c>
      <c r="C33" t="b">
        <v>0</v>
      </c>
      <c r="D33" t="s">
        <v>777</v>
      </c>
      <c r="E33" t="b">
        <v>1</v>
      </c>
      <c r="F33" s="6" t="b">
        <v>1</v>
      </c>
      <c r="G33" s="19" t="b">
        <v>1</v>
      </c>
      <c r="H33" s="6" t="s">
        <v>264</v>
      </c>
      <c r="I33" s="21">
        <f>IF(ISBLANK(H33), "", VLOOKUP(LOWER(H33), javascriptKeycodes!A:B, 2, FALSE))</f>
        <v>65</v>
      </c>
      <c r="J33" s="21" t="str">
        <f>IF(ISBLANK(H33), "", VLOOKUP(LOWER(H33), javascriptKeycodes!A:C, 3, FALSE))</f>
        <v>key_a</v>
      </c>
      <c r="K33" s="21" t="str">
        <f t="shared" si="1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509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1">
        <f>IF(ISBLANK(H34), "", VLOOKUP(LOWER(H34), javascriptKeycodes!A:B, 2, FALSE))</f>
        <v>86</v>
      </c>
      <c r="J34" s="21" t="str">
        <f>IF(ISBLANK(H34), "", VLOOKUP(LOWER(H34), javascriptKeycodes!A:C, 3, FALSE))</f>
        <v>key_v</v>
      </c>
      <c r="K34" s="21" t="str">
        <f t="shared" si="1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501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/>
      <c r="G35" s="9" t="b">
        <v>1</v>
      </c>
      <c r="H35" s="9" t="s">
        <v>261</v>
      </c>
      <c r="I35" s="21">
        <f>IF(ISBLANK(H35), "", VLOOKUP(LOWER(H35), javascriptKeycodes!A:B, 2, FALSE))</f>
        <v>70</v>
      </c>
      <c r="J35" s="21" t="str">
        <f>IF(ISBLANK(H35), "", VLOOKUP(LOWER(H35), javascriptKeycodes!A:C, 3, FALSE))</f>
        <v>key_f</v>
      </c>
      <c r="K35" s="21" t="str">
        <f t="shared" si="1"/>
        <v>CTRL_SHIFT_F</v>
      </c>
      <c r="L35" t="s">
        <v>690</v>
      </c>
      <c r="M35" t="s">
        <v>686</v>
      </c>
      <c r="N35" t="s">
        <v>687</v>
      </c>
      <c r="O35" t="s">
        <v>688</v>
      </c>
      <c r="P35" t="s">
        <v>689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1">
        <f>IF(ISBLANK(H36), "", VLOOKUP(LOWER(H36), javascriptKeycodes!A:B, 2, FALSE))</f>
        <v>77</v>
      </c>
      <c r="J36" s="21" t="str">
        <f>IF(ISBLANK(H36), "", VLOOKUP(LOWER(H36), javascriptKeycodes!A:C, 3, FALSE))</f>
        <v>key_m</v>
      </c>
      <c r="K36" s="21" t="str">
        <f t="shared" si="1"/>
        <v>CTRL_M</v>
      </c>
      <c r="L36" t="s">
        <v>898</v>
      </c>
      <c r="M36" t="s">
        <v>145</v>
      </c>
      <c r="N36" t="s">
        <v>220</v>
      </c>
      <c r="O36" t="s">
        <v>466</v>
      </c>
      <c r="P36" t="s">
        <v>506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1">
        <f>IF(ISBLANK(H37), "", VLOOKUP(LOWER(H37), javascriptKeycodes!A:B, 2, FALSE))</f>
        <v>77</v>
      </c>
      <c r="J37" s="21" t="str">
        <f>IF(ISBLANK(H37), "", VLOOKUP(LOWER(H37), javascriptKeycodes!A:C, 3, FALSE))</f>
        <v>key_m</v>
      </c>
      <c r="K37" s="21" t="str">
        <f t="shared" si="1"/>
        <v>CTRL_SHIFT_M</v>
      </c>
      <c r="L37" t="s">
        <v>899</v>
      </c>
      <c r="M37" t="s">
        <v>146</v>
      </c>
      <c r="N37" t="s">
        <v>221</v>
      </c>
      <c r="O37" t="s">
        <v>467</v>
      </c>
      <c r="P37" t="s">
        <v>507</v>
      </c>
    </row>
    <row r="38" spans="1:16" x14ac:dyDescent="0.3">
      <c r="A38">
        <v>36</v>
      </c>
      <c r="B38" t="b">
        <v>0</v>
      </c>
      <c r="C38" t="b">
        <v>0</v>
      </c>
      <c r="D38" t="s">
        <v>280</v>
      </c>
      <c r="E38" t="b">
        <v>1</v>
      </c>
      <c r="F38" s="6"/>
      <c r="G38" s="6"/>
      <c r="H38" s="6" t="s">
        <v>250</v>
      </c>
      <c r="I38" s="21">
        <f>IF(ISBLANK(H38), "", VLOOKUP(LOWER(H38), javascriptKeycodes!A:B, 2, FALSE))</f>
        <v>82</v>
      </c>
      <c r="J38" s="21" t="str">
        <f>IF(ISBLANK(H38), "", VLOOKUP(LOWER(H38), javascriptKeycodes!A:C, 3, FALSE))</f>
        <v>key_r</v>
      </c>
      <c r="K38" s="21" t="str">
        <f t="shared" si="1"/>
        <v>CTRL_R</v>
      </c>
      <c r="L38" t="s">
        <v>915</v>
      </c>
      <c r="M38" t="s">
        <v>906</v>
      </c>
      <c r="N38" t="s">
        <v>907</v>
      </c>
      <c r="O38" t="s">
        <v>910</v>
      </c>
      <c r="P38" t="s">
        <v>912</v>
      </c>
    </row>
    <row r="39" spans="1:16" x14ac:dyDescent="0.3">
      <c r="A39">
        <v>37</v>
      </c>
      <c r="B39" t="b">
        <v>0</v>
      </c>
      <c r="C39" t="b">
        <v>1</v>
      </c>
      <c r="D39" t="s">
        <v>177</v>
      </c>
      <c r="E39" t="b">
        <v>1</v>
      </c>
      <c r="F39" s="6"/>
      <c r="G39" s="6" t="b">
        <v>1</v>
      </c>
      <c r="H39" s="6" t="s">
        <v>250</v>
      </c>
      <c r="I39" s="21">
        <f>IF(ISBLANK(H39), "", VLOOKUP(LOWER(H39), javascriptKeycodes!A:B, 2, FALSE))</f>
        <v>82</v>
      </c>
      <c r="J39" s="21" t="str">
        <f>IF(ISBLANK(H39), "", VLOOKUP(LOWER(H39), javascriptKeycodes!A:C, 3, FALSE))</f>
        <v>key_r</v>
      </c>
      <c r="K39" s="21" t="str">
        <f t="shared" si="1"/>
        <v>CTRL_SHIFT_R</v>
      </c>
      <c r="L39" t="s">
        <v>914</v>
      </c>
      <c r="M39" t="s">
        <v>909</v>
      </c>
      <c r="N39" t="s">
        <v>908</v>
      </c>
      <c r="O39" t="s">
        <v>911</v>
      </c>
      <c r="P39" t="s">
        <v>913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1"/>
      <c r="G40" s="21"/>
      <c r="H40" s="21" t="s">
        <v>261</v>
      </c>
      <c r="I40" s="21">
        <f>IF(ISBLANK(H40), "", VLOOKUP(LOWER(H40), javascriptKeycodes!A:B, 2, FALSE))</f>
        <v>70</v>
      </c>
      <c r="J40" s="21" t="str">
        <f>IF(ISBLANK(H40), "", VLOOKUP(LOWER(H40), javascriptKeycodes!A:C, 3, FALSE))</f>
        <v>key_f</v>
      </c>
      <c r="K40" s="21" t="str">
        <f t="shared" si="1"/>
        <v>CTRL_F</v>
      </c>
      <c r="L40" t="s">
        <v>942</v>
      </c>
      <c r="M40" t="s">
        <v>933</v>
      </c>
      <c r="N40" t="s">
        <v>937</v>
      </c>
      <c r="O40" t="s">
        <v>935</v>
      </c>
      <c r="P40" t="s">
        <v>939</v>
      </c>
    </row>
    <row r="41" spans="1:16" x14ac:dyDescent="0.3">
      <c r="A41">
        <v>39</v>
      </c>
      <c r="B41" t="b">
        <v>0</v>
      </c>
      <c r="C41" t="b">
        <v>0</v>
      </c>
      <c r="D41" t="s">
        <v>941</v>
      </c>
      <c r="E41" t="b">
        <v>1</v>
      </c>
      <c r="F41" s="21"/>
      <c r="G41" s="21"/>
      <c r="H41" s="21" t="s">
        <v>265</v>
      </c>
      <c r="I41" s="21">
        <f>IF(ISBLANK(H41), "", VLOOKUP(LOWER(H41), javascriptKeycodes!A:B, 2, FALSE))</f>
        <v>66</v>
      </c>
      <c r="J41" s="21" t="str">
        <f>IF(ISBLANK(H41), "", VLOOKUP(LOWER(H41), javascriptKeycodes!A:C, 3, FALSE))</f>
        <v>key_b</v>
      </c>
      <c r="K41" s="21" t="str">
        <f t="shared" si="1"/>
        <v>CTRL_B</v>
      </c>
      <c r="L41" t="s">
        <v>943</v>
      </c>
      <c r="M41" t="s">
        <v>934</v>
      </c>
      <c r="N41" t="s">
        <v>938</v>
      </c>
      <c r="O41" t="s">
        <v>936</v>
      </c>
      <c r="P41" t="s">
        <v>940</v>
      </c>
    </row>
    <row r="42" spans="1:16" x14ac:dyDescent="0.3">
      <c r="A42">
        <v>40</v>
      </c>
      <c r="B42" t="b">
        <v>0</v>
      </c>
      <c r="C42" t="b">
        <v>0</v>
      </c>
      <c r="D42" t="s">
        <v>178</v>
      </c>
      <c r="E42" t="b">
        <v>1</v>
      </c>
      <c r="F42" s="6"/>
      <c r="G42" s="6"/>
      <c r="H42" s="6" t="s">
        <v>262</v>
      </c>
      <c r="I42" s="21">
        <f>IF(ISBLANK(H42), "", VLOOKUP(LOWER(H42), javascriptKeycodes!A:B, 2, FALSE))</f>
        <v>84</v>
      </c>
      <c r="J42" s="21" t="str">
        <f>IF(ISBLANK(H42), "", VLOOKUP(LOWER(H42), javascriptKeycodes!A:C, 3, FALSE))</f>
        <v>key_t</v>
      </c>
      <c r="K42" s="20" t="str">
        <f t="shared" ref="K39:K50" si="2">IF(E42,"CTRL_","")&amp;IF(F42,"ALT_","")&amp;IF(G42,"SHIFT_","")&amp;H42</f>
        <v>CTRL_T</v>
      </c>
      <c r="L42" t="s">
        <v>272</v>
      </c>
      <c r="M42" t="s">
        <v>279</v>
      </c>
      <c r="N42" t="s">
        <v>281</v>
      </c>
      <c r="O42" t="s">
        <v>468</v>
      </c>
      <c r="P42" t="s">
        <v>508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1">
        <f>IF(ISBLANK(H43), "", VLOOKUP(LOWER(H43), javascriptKeycodes!A:B, 2, FALSE))</f>
        <v>65</v>
      </c>
      <c r="J43" s="21" t="str">
        <f>IF(ISBLANK(H43), "", VLOOKUP(LOWER(H43), javascriptKeycodes!A:C, 3, FALSE))</f>
        <v>key_a</v>
      </c>
      <c r="K43" s="21" t="str">
        <f t="shared" ref="K43:K50" si="3">IF(E43,"CTRL_","")&amp;IF(F43,"ALT_","")&amp;IF(G43,"SHIFT_","")&amp;H43</f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510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1" t="str">
        <f>IF(ISBLANK(H44), "", VLOOKUP(LOWER(H44), javascriptKeycodes!A:B, 2, FALSE))</f>
        <v/>
      </c>
      <c r="J44" s="21" t="str">
        <f>IF(ISBLANK(H44), "", VLOOKUP(LOWER(H44), javascriptKeycodes!A:C, 3, FALSE))</f>
        <v/>
      </c>
      <c r="K44" s="21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511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1">
        <f>IF(ISBLANK(H45), "", VLOOKUP(LOWER(H45), javascriptKeycodes!A:B, 2, FALSE))</f>
        <v>66</v>
      </c>
      <c r="J45" s="21" t="str">
        <f>IF(ISBLANK(H45), "", VLOOKUP(LOWER(H45), javascriptKeycodes!A:C, 3, FALSE))</f>
        <v>key_b</v>
      </c>
      <c r="K45" s="21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512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1">
        <f>IF(ISBLANK(H46), "", VLOOKUP(LOWER(H46), javascriptKeycodes!A:B, 2, FALSE))</f>
        <v>87</v>
      </c>
      <c r="J46" s="21" t="str">
        <f>IF(ISBLANK(H46), "", VLOOKUP(LOWER(H46), javascriptKeycodes!A:C, 3, FALSE))</f>
        <v>key_w</v>
      </c>
      <c r="K46" s="21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513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1">
        <f>IF(ISBLANK(H47), "", VLOOKUP(LOWER(H47), javascriptKeycodes!A:B, 2, FALSE))</f>
        <v>72</v>
      </c>
      <c r="J47" s="21" t="str">
        <f>IF(ISBLANK(H47), "", VLOOKUP(LOWER(H47), javascriptKeycodes!A:C, 3, FALSE))</f>
        <v>key_h</v>
      </c>
      <c r="K47" s="21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514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1">
        <f>IF(ISBLANK(H48), "", VLOOKUP(LOWER(H48), javascriptKeycodes!A:B, 2, FALSE))</f>
        <v>68</v>
      </c>
      <c r="J48" s="21" t="str">
        <f>IF(ISBLANK(H48), "", VLOOKUP(LOWER(H48), javascriptKeycodes!A:C, 3, FALSE))</f>
        <v>key_d</v>
      </c>
      <c r="K48" s="21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515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1">
        <f>IF(ISBLANK(H49), "", VLOOKUP(LOWER(H49), javascriptKeycodes!A:B, 2, FALSE))</f>
        <v>72</v>
      </c>
      <c r="J49" s="21" t="str">
        <f>IF(ISBLANK(H49), "", VLOOKUP(LOWER(H49), javascriptKeycodes!A:C, 3, FALSE))</f>
        <v>key_h</v>
      </c>
      <c r="K49" s="21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516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1" t="str">
        <f>IF(ISBLANK(H50), "", VLOOKUP(LOWER(H50), javascriptKeycodes!A:B, 2, FALSE))</f>
        <v/>
      </c>
      <c r="J50" s="21" t="str">
        <f>IF(ISBLANK(H50), "", VLOOKUP(LOWER(H50), javascriptKeycodes!A:C, 3, FALSE))</f>
        <v/>
      </c>
      <c r="K50" s="21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516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3" priority="4"/>
  </conditionalFormatting>
  <conditionalFormatting sqref="K1:K1048576">
    <cfRule type="duplicateValues" dxfId="2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D2" sqref="D2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CTRL_O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CTRL_ALT_SHIFT_C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B6" sqref="B6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3" t="s">
        <v>329</v>
      </c>
      <c r="D1" s="23"/>
      <c r="E1" s="23" t="s">
        <v>330</v>
      </c>
      <c r="F1" s="23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3" t="s">
        <v>329</v>
      </c>
      <c r="J1" s="23"/>
      <c r="K1" s="23" t="s">
        <v>330</v>
      </c>
      <c r="L1" s="23"/>
      <c r="R1" s="18" t="s">
        <v>848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2020-04-10T11:41:44Z</dcterms:modified>
</cp:coreProperties>
</file>