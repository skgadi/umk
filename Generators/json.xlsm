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C4DD35A-DDB9-4D39-85E8-08EECCF8BF04}" xr6:coauthVersionLast="44" xr6:coauthVersionMax="44" xr10:uidLastSave="{00000000-0000-0000-0000-000000000000}"/>
  <bookViews>
    <workbookView xWindow="-108" yWindow="-108" windowWidth="23256" windowHeight="12576" firstSheet="4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</sheets>
  <definedNames>
    <definedName name="_xlnm._FilterDatabase" localSheetId="9" hidden="1">menu!$A$49:$Q$105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3" i="11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3" i="11"/>
  <c r="T3" i="11" l="1"/>
  <c r="S3" i="11"/>
  <c r="P105" i="11"/>
  <c r="P104" i="11"/>
  <c r="P103" i="11"/>
  <c r="P102" i="11"/>
  <c r="P101" i="11"/>
  <c r="P100" i="11"/>
  <c r="P99" i="11"/>
  <c r="P98" i="11"/>
  <c r="P97" i="11"/>
  <c r="P96" i="11"/>
  <c r="H96" i="11"/>
  <c r="G96" i="11"/>
  <c r="P95" i="11"/>
  <c r="H95" i="11"/>
  <c r="G95" i="11"/>
  <c r="P94" i="11"/>
  <c r="G94" i="11"/>
  <c r="H94" i="11" s="1"/>
  <c r="P93" i="11"/>
  <c r="G93" i="11"/>
  <c r="H93" i="11" s="1"/>
  <c r="P92" i="11"/>
  <c r="G92" i="11"/>
  <c r="H92" i="11" s="1"/>
  <c r="P91" i="11"/>
  <c r="G91" i="11"/>
  <c r="H91" i="11" s="1"/>
  <c r="P90" i="11"/>
  <c r="G90" i="11"/>
  <c r="H90" i="11" s="1"/>
  <c r="P89" i="11"/>
  <c r="G89" i="11"/>
  <c r="H89" i="11" s="1"/>
  <c r="P88" i="11"/>
  <c r="G88" i="11"/>
  <c r="H88" i="11" s="1"/>
  <c r="P87" i="11"/>
  <c r="G87" i="11"/>
  <c r="H87" i="11" s="1"/>
  <c r="P86" i="11"/>
  <c r="G86" i="11"/>
  <c r="H86" i="11" s="1"/>
  <c r="P85" i="11"/>
  <c r="G85" i="11"/>
  <c r="H85" i="11" s="1"/>
  <c r="P84" i="11"/>
  <c r="G84" i="11"/>
  <c r="H84" i="11" s="1"/>
  <c r="P83" i="11"/>
  <c r="G83" i="11"/>
  <c r="H83" i="11" s="1"/>
  <c r="P82" i="11"/>
  <c r="G82" i="11"/>
  <c r="H82" i="11" s="1"/>
  <c r="P81" i="11"/>
  <c r="G81" i="11"/>
  <c r="H81" i="11" s="1"/>
  <c r="P80" i="11"/>
  <c r="G80" i="11"/>
  <c r="H80" i="11" s="1"/>
  <c r="P79" i="11"/>
  <c r="G79" i="11"/>
  <c r="H79" i="11" s="1"/>
  <c r="P78" i="11"/>
  <c r="G78" i="11"/>
  <c r="H78" i="11" s="1"/>
  <c r="P77" i="11"/>
  <c r="G77" i="11"/>
  <c r="H77" i="11" s="1"/>
  <c r="P76" i="11"/>
  <c r="G76" i="11"/>
  <c r="H76" i="11" s="1"/>
  <c r="P75" i="11"/>
  <c r="G75" i="11"/>
  <c r="H75" i="11" s="1"/>
  <c r="P74" i="11"/>
  <c r="G74" i="11"/>
  <c r="H74" i="11" s="1"/>
  <c r="P73" i="11"/>
  <c r="G73" i="11"/>
  <c r="H73" i="11" s="1"/>
  <c r="P72" i="11"/>
  <c r="G72" i="11"/>
  <c r="H72" i="11" s="1"/>
  <c r="P71" i="11"/>
  <c r="G71" i="11"/>
  <c r="H71" i="11" s="1"/>
  <c r="P70" i="11"/>
  <c r="G70" i="11"/>
  <c r="H70" i="11" s="1"/>
  <c r="P69" i="11"/>
  <c r="G69" i="11"/>
  <c r="H69" i="11" s="1"/>
  <c r="P68" i="11"/>
  <c r="G68" i="11"/>
  <c r="H68" i="11" s="1"/>
  <c r="P67" i="11"/>
  <c r="G67" i="11"/>
  <c r="H67" i="11" s="1"/>
  <c r="P66" i="11"/>
  <c r="G66" i="11"/>
  <c r="H66" i="11" s="1"/>
  <c r="P65" i="11"/>
  <c r="G65" i="11"/>
  <c r="H65" i="11" s="1"/>
  <c r="P64" i="11"/>
  <c r="G64" i="11"/>
  <c r="H64" i="11" s="1"/>
  <c r="P63" i="11"/>
  <c r="G63" i="11"/>
  <c r="H63" i="11" s="1"/>
  <c r="P62" i="11"/>
  <c r="G62" i="11"/>
  <c r="H62" i="11" s="1"/>
  <c r="P61" i="11"/>
  <c r="G61" i="11"/>
  <c r="H61" i="11" s="1"/>
  <c r="P60" i="11"/>
  <c r="G60" i="11"/>
  <c r="H60" i="11" s="1"/>
  <c r="P59" i="11"/>
  <c r="G59" i="11"/>
  <c r="H59" i="11" s="1"/>
  <c r="P58" i="11"/>
  <c r="G58" i="11"/>
  <c r="H58" i="11" s="1"/>
  <c r="P57" i="11"/>
  <c r="G57" i="11"/>
  <c r="H57" i="11" s="1"/>
  <c r="P56" i="11"/>
  <c r="G56" i="11"/>
  <c r="H56" i="11" s="1"/>
  <c r="P55" i="11"/>
  <c r="G55" i="11"/>
  <c r="H55" i="11" s="1"/>
  <c r="P54" i="11"/>
  <c r="G54" i="11"/>
  <c r="H54" i="11" s="1"/>
  <c r="P53" i="11"/>
  <c r="G53" i="11"/>
  <c r="H53" i="11" s="1"/>
  <c r="L1" i="10"/>
  <c r="L2" i="10"/>
  <c r="L3" i="10"/>
  <c r="L4" i="10"/>
  <c r="L5" i="10"/>
  <c r="J1" i="10" s="1"/>
  <c r="L6" i="10"/>
  <c r="K1" i="10"/>
  <c r="K3" i="10"/>
  <c r="K4" i="10"/>
  <c r="K5" i="10"/>
  <c r="K6" i="10"/>
  <c r="K2" i="10"/>
  <c r="Q52" i="11" l="1"/>
  <c r="I52" i="11"/>
  <c r="H1" i="7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<sst xmlns="http://schemas.openxmlformats.org/spreadsheetml/2006/main" count="1674" uniqueCount="736">
  <si>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</si>
  <si>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</si>
  <si>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</si>
  <si>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</si>
  <si>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</si>
  <si>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</si>
  <si>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</si>
  <si>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</si>
  <si>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</si>
  <si>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</si>
  <si>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</si>
  <si>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</si>
  <si>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</si>
  <si>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</si>
  <si>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</si>
  <si>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</si>
  <si>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</si>
  <si>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</si>
  <si>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</si>
  <si>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</si>
  <si>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</si>
  <si>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</si>
  <si>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</si>
  <si>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</si>
  <si>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</si>
  <si>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</si>
  <si>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</si>
  <si>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</si>
  <si>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</si>
  <si>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</si>
  <si>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</si>
  <si>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</si>
  <si>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</si>
  <si>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</si>
  <si>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</si>
  <si>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</si>
  <si>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</si>
  <si>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</si>
  <si>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</si>
  <si>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</si>
  <si>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</si>
  <si>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</si>
  <si>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</si>
  <si>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</si>
  <si>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</si>
  <si>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</si>
  <si>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</si>
  <si>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</si>
  <si>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</si>
  <si>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</si>
  <si>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</si>
  <si>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</si>
  <si>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</si>
  <si>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</si>
  <si>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</si>
  <si>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</si>
  <si>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</si>
  <si>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</si>
  <si>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</si>
  <si>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</si>
  <si>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</si>
  <si>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</si>
  <si>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</si>
  <si>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</si>
  <si>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</si>
  <si>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</si>
  <si>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</si>
  <si>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</si>
  <si>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</si>
  <si>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</si>
  <si>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</si>
  <si>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</si>
  <si>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</si>
  <si>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</si>
  <si>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</si>
  <si>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</si>
  <si>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</si>
  <si>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</si>
  <si>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</si>
  <si>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</si>
  <si>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</si>
  <si>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</si>
  <si>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</si>
  <si>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</si>
  <si>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</si>
  <si>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</si>
  <si>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</si>
  <si>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</si>
  <si>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</si>
  <si>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</si>
  <si>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</si>
  <si>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</si>
  <si>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</si>
  <si>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</si>
  <si>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</si>
  <si>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</si>
  <si>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</si>
  <si>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</si>
  <si>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</si>
  <si>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</si>
  <si>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</si>
  <si>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</si>
  <si>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</si>
  <si>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</si>
  <si>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</si>
  <si>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</si>
  <si>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</si>
  <si>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</si>
  <si>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</si>
  <si>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</si>
  <si>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</si>
  <si>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</si>
  <si>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</si>
  <si>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</si>
  <si>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</si>
  <si>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</si>
  <si>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</si>
  <si>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</si>
  <si>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</si>
  <si>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</si>
  <si>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</si>
  <si>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</si>
  <si>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</si>
  <si>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</si>
  <si>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</si>
  <si>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</si>
  <si>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</si>
  <si>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</si>
  <si>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</si>
  <si>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</si>
  <si>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</si>
  <si>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</si>
  <si>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</si>
  <si>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</si>
  <si>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</si>
  <si>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</si>
  <si>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</si>
  <si>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</si>
  <si>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</si>
  <si>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</si>
  <si>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</si>
  <si>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</si>
  <si>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</si>
  <si>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</si>
  <si>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</si>
  <si>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</si>
  <si>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</si>
  <si>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</si>
  <si>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</si>
  <si>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</si>
  <si>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</si>
  <si>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</si>
  <si>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</si>
  <si>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</si>
  <si>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</si>
  <si>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</si>
  <si>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</si>
  <si>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</si>
  <si>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</si>
  <si>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</si>
  <si>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</si>
  <si>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</si>
  <si>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</si>
  <si>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</si>
  <si>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</si>
  <si>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</si>
  <si>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</si>
  <si>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</si>
  <si>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</si>
  <si>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</si>
  <si>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</si>
  <si>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</si>
  <si>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</si>
  <si>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</si>
  <si>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</si>
  <si>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</si>
  <si>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</si>
  <si>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</si>
  <si>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</si>
  <si>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</si>
  <si>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</si>
  <si>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</si>
  <si>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</si>
  <si>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</si>
  <si>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</si>
  <si>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</si>
  <si>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</si>
  <si>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</si>
  <si>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</si>
  <si>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</si>
  <si>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</si>
  <si>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</si>
  <si>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</si>
  <si>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</si>
  <si>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</si>
  <si>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</si>
  <si>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</si>
  <si>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</si>
  <si>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</si>
  <si>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</si>
  <si>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</si>
  <si>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</si>
  <si>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</si>
  <si>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</si>
  <si>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</si>
  <si>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</si>
  <si>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</si>
  <si>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</si>
  <si>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</si>
  <si>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</si>
  <si>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</si>
  <si>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</si>
  <si>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</si>
  <si>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</si>
  <si>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</si>
  <si>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</si>
  <si>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</si>
  <si>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</si>
  <si>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</si>
  <si>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</si>
  <si>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</si>
  <si>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</si>
  <si>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</si>
  <si>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</si>
  <si>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</si>
  <si>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</si>
  <si>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</si>
  <si>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</si>
  <si>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</si>
  <si>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</si>
  <si>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</si>
  <si>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</si>
  <si>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</si>
  <si>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</si>
  <si>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</si>
  <si>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</si>
  <si>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</si>
  <si>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</si>
  <si>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</si>
  <si>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</si>
  <si>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</si>
  <si>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</si>
  <si>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</si>
  <si>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</si>
  <si>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</si>
  <si>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</si>
  <si>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</si>
  <si>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</si>
  <si>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</si>
  <si>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</si>
  <si>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</si>
  <si>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</si>
  <si>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</si>
  <si>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</si>
  <si>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</si>
  <si>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</si>
  <si>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</si>
  <si>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</si>
  <si>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</si>
  <si>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</si>
  <si>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</si>
  <si>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</si>
  <si>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</si>
  <si>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</si>
  <si>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</si>
  <si>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</si>
  <si>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</si>
  <si>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</si>
  <si>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</si>
  <si>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</si>
  <si>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</si>
  <si>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</si>
  <si>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</si>
  <si>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</si>
  <si>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</si>
  <si>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</si>
  <si>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</si>
  <si>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</si>
  <si>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</si>
  <si>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</si>
  <si>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</si>
  <si>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</si>
  <si>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</si>
  <si>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</si>
  <si>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</si>
  <si>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</si>
  <si>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</si>
  <si>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</si>
  <si>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</si>
  <si>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</si>
  <si>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</si>
  <si>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</si>
  <si>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</si>
  <si>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</si>
  <si>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</si>
  <si>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</si>
  <si>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</si>
  <si>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</si>
  <si>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</si>
  <si>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</si>
  <si>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</si>
  <si>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</si>
  <si>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</si>
  <si>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</si>
  <si>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</si>
  <si>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</si>
  <si>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</si>
  <si>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</si>
  <si>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</si>
  <si>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</si>
  <si>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</si>
  <si>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</si>
  <si>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</si>
  <si>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</si>
  <si>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</si>
  <si>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</si>
  <si>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</si>
  <si>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</si>
  <si>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</si>
  <si>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</si>
  <si>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</si>
  <si>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</si>
  <si>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</si>
  <si>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</si>
  <si>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</si>
  <si>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</si>
  <si>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</si>
  <si>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</si>
  <si>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</si>
  <si>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</si>
  <si>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</si>
  <si>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</si>
  <si>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</si>
  <si>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</si>
  <si>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</si>
  <si>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</si>
  <si>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</si>
  <si>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</si>
  <si>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</si>
  <si>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</si>
  <si>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</si>
  <si>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</si>
  <si>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</si>
  <si>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</si>
  <si>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</si>
  <si>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</si>
  <si>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</si>
  <si>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</si>
  <si>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</si>
  <si>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</si>
  <si>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</si>
  <si>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</si>
  <si>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</si>
  <si>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</si>
  <si>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</si>
  <si>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</si>
  <si>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</si>
  <si>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</si>
  <si>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</si>
  <si>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</si>
  <si>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</si>
  <si>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</si>
  <si>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</si>
  <si>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</si>
  <si>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</si>
  <si>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</si>
  <si>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</si>
  <si>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</si>
  <si>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</si>
  <si>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</si>
  <si>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</si>
  <si>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</si>
  <si>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</si>
  <si>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</si>
  <si>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</si>
  <si>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</si>
  <si>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</si>
  <si>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</si>
  <si>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</si>
  <si>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</si>
  <si>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</si>
  <si>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</si>
  <si>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</si>
  <si>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</si>
  <si>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</si>
  <si>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</si>
  <si>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</si>
  <si>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</si>
  <si>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</si>
  <si>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</si>
  <si>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</si>
  <si>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</si>
  <si>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</si>
  <si>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</si>
  <si>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</si>
  <si>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</si>
  <si>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</si>
  <si>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</si>
  <si>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</si>
  <si>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</si>
  <si>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</si>
  <si>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</si>
  <si>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</si>
  <si>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</si>
  <si>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</si>
  <si>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</si>
  <si>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</si>
  <si>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</si>
  <si>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</si>
  <si>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</si>
  <si>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</si>
  <si>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</si>
  <si>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</si>
  <si>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</si>
  <si>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</si>
  <si>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</si>
  <si>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</si>
  <si>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</si>
  <si>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</si>
  <si>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</si>
  <si>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</si>
  <si>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</si>
  <si>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</si>
  <si>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</si>
  <si>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</si>
  <si>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</si>
  <si>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</si>
  <si>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</si>
  <si>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</si>
  <si>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</si>
  <si>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</si>
  <si>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</si>
  <si>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</si>
  <si>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</si>
  <si>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</si>
  <si>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</si>
  <si>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</si>
  <si>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</si>
  <si>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</si>
  <si>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</si>
  <si>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</si>
  <si>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</si>
  <si>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</si>
  <si>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</si>
  <si>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</si>
  <si>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</si>
  <si>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</si>
  <si>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</si>
  <si>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</si>
  <si>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</si>
  <si>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</si>
  <si>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</si>
  <si>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</si>
  <si>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</si>
  <si>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</si>
  <si>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</si>
  <si>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</si>
  <si>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</si>
  <si>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</si>
  <si>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</si>
  <si>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</si>
  <si>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</si>
  <si>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</si>
  <si>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</si>
  <si>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</si>
  <si>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</si>
  <si>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</si>
  <si>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</si>
  <si>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</si>
  <si>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</si>
  <si>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</si>
  <si>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</si>
  <si>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</si>
  <si>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</si>
  <si>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</si>
  <si>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</si>
  <si>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</si>
  <si>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</si>
  <si>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</si>
  <si>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</si>
  <si>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</si>
  <si>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</si>
  <si>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</si>
  <si>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</si>
  <si>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</si>
  <si>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</si>
  <si>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</si>
  <si>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</si>
  <si>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</si>
  <si>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</si>
  <si>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</si>
  <si>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</si>
  <si>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</si>
  <si>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</si>
  <si>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</si>
  <si>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</si>
  <si>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</si>
  <si>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</si>
  <si>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</si>
  <si>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</si>
  <si>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</si>
  <si>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</si>
  <si>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</si>
  <si>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</si>
  <si>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</si>
  <si>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</si>
  <si>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</si>
  <si>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</si>
  <si>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</si>
  <si>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</si>
  <si>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</si>
  <si>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</si>
  <si>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</si>
  <si>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</si>
  <si>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</si>
  <si>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</si>
  <si>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</si>
  <si>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</si>
  <si>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</si>
  <si>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</si>
  <si>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</si>
  <si>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</si>
  <si>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</si>
  <si>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</si>
  <si>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</si>
  <si>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</si>
  <si>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</si>
  <si>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</si>
  <si>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</si>
  <si>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</si>
  <si>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</si>
  <si>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</si>
  <si>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</si>
  <si>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</si>
  <si>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</si>
  <si>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</si>
  <si>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</si>
  <si>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</si>
  <si>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</si>
  <si>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</si>
  <si>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</si>
  <si>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</si>
  <si>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</si>
  <si>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</si>
  <si>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</si>
  <si>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</si>
  <si>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</si>
  <si>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</si>
  <si>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</si>
  <si>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</si>
  <si>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</si>
  <si>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</si>
  <si>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</si>
  <si>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</si>
  <si>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</si>
  <si>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</si>
  <si>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</si>
  <si>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</si>
  <si>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</si>
  <si>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</si>
  <si>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</si>
  <si>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</si>
  <si>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</si>
  <si>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</si>
  <si>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</si>
  <si>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</si>
  <si>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</si>
  <si>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</si>
  <si>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</si>
  <si>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</si>
  <si>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</si>
  <si>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</si>
  <si>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</si>
  <si>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</si>
  <si>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</si>
  <si>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</si>
  <si>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</si>
  <si>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</si>
  <si>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</si>
  <si>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</si>
  <si>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</si>
  <si>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</si>
  <si>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</si>
  <si>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</si>
  <si>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</si>
  <si>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</si>
  <si>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</si>
  <si>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</si>
  <si>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</si>
  <si>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</si>
  <si>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</si>
  <si>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</si>
  <si>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</si>
  <si>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</si>
  <si>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</si>
  <si>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</si>
  <si>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</si>
  <si>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</si>
  <si>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</si>
  <si>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</si>
  <si>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</si>
  <si>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</si>
  <si>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</si>
  <si>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</si>
  <si>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</si>
  <si>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</si>
  <si>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</si>
  <si>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</si>
  <si>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</si>
  <si>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</si>
  <si>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</si>
  <si>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</si>
  <si>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</si>
  <si>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</si>
  <si>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</si>
  <si>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</si>
  <si>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</si>
  <si>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</si>
  <si>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</si>
  <si>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</si>
  <si>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</si>
  <si>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</si>
  <si>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</si>
  <si>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</si>
  <si>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</si>
  <si>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</si>
  <si>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</si>
  <si>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</si>
  <si>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</si>
  <si>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</si>
  <si>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</si>
  <si>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</si>
  <si>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</si>
  <si>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</si>
  <si>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</si>
  <si>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</si>
  <si>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</si>
  <si>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</si>
  <si>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</si>
  <si>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</si>
  <si>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</si>
  <si>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</si>
  <si>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</si>
  <si>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</si>
  <si>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</si>
  <si>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</si>
  <si>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</si>
  <si>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</si>
  <si>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</si>
  <si>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</si>
  <si>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</si>
  <si>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</si>
  <si>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</si>
  <si>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</si>
  <si>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</si>
  <si>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</si>
  <si>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</si>
  <si>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</si>
  <si>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</si>
  <si>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</si>
  <si>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</si>
  <si>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</si>
  <si>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</si>
  <si>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</si>
  <si>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</si>
  <si>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</si>
  <si>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</si>
  <si>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</si>
  <si>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</si>
  <si>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</si>
  <si>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</si>
  <si>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</si>
  <si>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</si>
  <si>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</si>
  <si>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</si>
  <si>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</si>
  <si>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</si>
  <si>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</si>
  <si>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</si>
  <si>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</si>
  <si>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</si>
  <si>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</si>
  <si>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</si>
  <si>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</si>
  <si>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</si>
  <si>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</si>
  <si>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</si>
  <si>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</si>
  <si>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</si>
  <si>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</si>
  <si>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</si>
  <si>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</si>
  <si>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</si>
  <si>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</si>
  <si>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</si>
  <si>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</si>
  <si>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</si>
  <si>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</si>
  <si>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</si>
  <si>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</si>
  <si>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</si>
  <si>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</si>
  <si>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</si>
  <si>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</si>
  <si>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</si>
  <si>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</si>
  <si>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</si>
  <si>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</si>
  <si>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</si>
  <si>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</si>
  <si>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</si>
  <si>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</si>
  <si>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</si>
  <si>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</si>
  <si>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</si>
  <si>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</si>
  <si>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</si>
  <si>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</si>
  <si>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</si>
  <si>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</si>
  <si>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</si>
  <si>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</si>
  <si>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</si>
  <si>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</si>
  <si>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</si>
  <si>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</si>
  <si>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</si>
  <si>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</si>
  <si>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</si>
  <si>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</si>
  <si>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</si>
  <si>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</si>
  <si>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</si>
  <si>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</si>
  <si>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</si>
  <si>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const menuText = [{"icon":"fas fa-file-alt","kbShort":{"ctrl":"","alt":"true","shift":"","key":"f","keycode":"70","langCode":"key_f"},"text":{"en-us":"File","es-mx":"Archivo"},"moreInfo":{"en-us":"Menu gives options to manage your files","es-mx":"El menú ofrece opciones para administrar sus archivos"},"subMenu":[{"icon":"far fa-folder","kbShort":{"ctrl":"true","alt":"","shift":"","key":"c","keycode":"67","langCode":"key_c"},"text":{"en-us":"Cloud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fa-download","kbShort":{"ctrl":"true","alt":"","shift":"","key":"s","keycode":"83","langCode":"key_s"},"text":{"en-us":"Save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fa-upload","kbShort":{"ctrl":"true","alt":"","shift":"","key":"l","keycode":"76","langCode":"key_l"},"text":{"en-us":"Load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fa-share-alt-square","kbShort":{"ctrl":"true","alt":"","shift":"","key":"j","keycode":"74","langCode":"key_j"},"text":{"en-us":"Share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fa-share-alt","kbShort":{"ctrl":"true","alt":"","shift":"true","key":"j","keycode":"74","langCode":"key_j"},"text":{"en-us":"Make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fa-print","kbShort":{"ctrl":"true","alt":"","shift":"","key":"p","keycode":"80","langCode":"key_p"},"text":{"en-us":"Print","es-mx":"Impresión"},"moreInfo":{"en-us":"Print the Uyamak system","es-mx":"Imprime el sistema Uyamak"},"prtBelow":false,"func":"alert()"}]},{"icon":"fas fa-project-diagram","kbShort":{"ctrl":"","alt":"true","shift":"","key":"s","keycode":"83","langCode":"key_s"},"text":{"en-us":"System","es-mx":"Sistema"},"moreInfo":{"en-us":"Menu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fa-puzzle-piece","kbShort":{"ctrl":"true","alt":"","shift":"","key":"u","keycode":"85","langCode":"key_u"},"text":{"en-us":"Show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fa-edit","kbShort":{"ctrl":"true","alt":"","shift":"","key":"e","keycode":"69","langCode":"key_e"},"text":{"en-us":"Show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fa-play","kbShort":{"ctrl":"true","alt":"","shift":"true","key":"s","keycode":"83","langCode":"key_s"},"text":{"en-us":"Show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fa-equals","kbShort":{"ctrl":"true","alt":"","shift":"true","key":"v","keycode":"86","langCode":"key_v"},"text":{"en-us":"Show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fa-object-group","kbShort":{"ctrl":"true","alt":"","shift":"","key":"k","keycode":"75","langCode":"key_k"},"text":{"en-us":"Create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fa-object-ungroup","kbShort":{"ctrl":"true","alt":"","shift":"true","key":"k","keycode":"75","langCode":"key_k"},"text":{"en-us":"Dismantle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fa-pen","kbShort":{"ctrl":"","alt":"true","shift":"","key":"e","keycode":"69","langCode":"key_e"},"text":{"en-us":"Edit","es-mx":"Editar"},"moreInfo":{"en-us":"Menu gives options to manipulate the Uyamak system","es-mx":"Menú da opciones para manipular el sistema Uyamak"},"subMenu":[{"icon":"far fa-check-square","kbShort":{"ctrl":"true","alt":"","shift":"","key":"a","keycode":"65","langCode":"key_a"},"text":{"en-us":"Select all","es-mx":"Seleccionar todo"},"moreInfo":{"en-us":"Select all the blocks","es-mx":"Selecciona todos los bloques"},"prtBelow":false,"func":"alert()"},{"icon":"far fa-square","kbShort":{"ctrl":"true","alt":"","shift":"true","key":"a","keycode":"65","langCode":"key_a"},"text":{"en-us":"Select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fa-cut","kbShort":{"ctrl":"true","alt":"","shift":"","key":"x","keycode":"88","langCode":"key_x"},"text":{"en-us":"Cut","es-mx":"Cortar"},"moreInfo":{"en-us":"Copies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fa-copy","kbShort":{"ctrl":"true","alt":"","shift":"","key":"c","keycode":"67","langCode":"key_c"},"text":{"en-us":"Copy","es-mx":"Copiar"},"moreInfo":{"en-us":"Copies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fa-paste","kbShort":{"ctrl":"true","alt":"","shift":"","key":"v","keycode":"86","langCode":"key_v"},"text":{"en-us":"Paste","es-mx":"Pegar"},"moreInfo":{"en-us":"Pastes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fa-clone","kbShort":{"ctrl":"true","alt":"","shift":"true","key":"c","keycode":"67","langCode":"key_c"},"text":{"en-us":"Clone","es-mx":"Clon"},"moreInfo":{"en-us":"Clones the selected Uyamak models","es-mx":"Clona los modelos Uyamak seleccionados"},"prtBelow":false,"func":"alert()"},{"icon":"fas fa-trash-alt","kbShort":{"ctrl":"","alt":"","shift":"","key":"delete","keycode":"46","langCode":"key_delete"},"text":{"en-us":"Delete","es-mx":"Eliminar"},"moreInfo":{"en-us":"Delete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fa-undo","kbShort":{"ctrl":"true","alt":"","shift":"","key":"z","keycode":"90","langCode":"key_z"},"text":{"en-us":"Undo","es-mx":"Deshacer"},"moreInfo":{"en-us":"Undo the recent changes","es-mx":"Deshacer los cambios recientes"},"prtBelow":false,"func":"alert()"},{"icon":"fas fa-redo","kbShort":{"ctrl":"true","alt":"","shift":"true","key":"z","keycode":"90","langCode":"key_z"},"text":{"en-us":"Redo","es-mx":"Rehacer"},"moreInfo":{"en-us":"Redo the recent changes","es-mx":"Rehacer los cambios recientes"},"prtBelow":false,"func":"alert()"}]},{"icon":"fas fa-desktop","kbShort":{"ctrl":"","alt":"true","shift":"","key":"v","keycode":"86","langCode":"key_v"},"text":{"en-us":"View","es-mx":"Ver"},"moreInfo":{"en-us":"Menu gives different options to visualize the Uyamak system","es-mx":"El menú ofrece diferentes opciones para visualizar el sistema Uyamak"},"subMenu":[{"icon":"fas fa-search-plus","kbShort":{"ctrl":"true","alt":"","shift":"","key":"add","keycode":"107","langCode":"key_add"},"text":{"en-us":"Zoom in","es-mx":"Acercarse"},"moreInfo":{"en-us":"Zooms in","es-mx":"Se acerca"},"prtBelow":false,"func":"alert()"},{"icon":"fas fa-search-minus","kbShort":{"ctrl":"true","alt":"","shift":"","key":"subtract","keycode":"109","langCode":"key_sub"},"text":{"en-us":"Zoom out","es-mx":"Disminuir el zoom"},"moreInfo":{"en-us":"Zooms out","es-mx":"Se aleja"},"prtBelow":false,"func":"alert()"},{"icon":"fas fa-compress","kbShort":{"ctrl":"true","alt":"","shift":"","key":"k_0","keycode":"48","langCode":"key_0"},"text":{"en-us":"Original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fa-expand","kbShort":{"ctrl":"true","alt":"","shift":"true","key":"k_0","keycode":"48","langCode":"key_0"},"text":{"en-us":"Fit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fa-window-minimize","kbShort":{"ctrl":"true","alt":"","shift":"","key":"m","keycode":"77","langCode":"key_m"},"text":{"en-us":"Minimize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fa-window-maximize","kbShort":{"ctrl":"true","alt":"","shift":"true","key":"m","keycode":"77","langCode":"key_m"},"text":{"en-us":"Maximize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fa-sort-numeric-up-alt","kbShort":{"ctrl":"true","alt":"","shift":"","key":"r","keycode":"82","langCode":"key_r"},"text":{"en-us":"Execution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fa-image","kbShort":{"ctrl":"true","alt":"","shift":"","key":"f","keycode":"70","langCode":"key_f"},"text":{"en-us":"System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fa-border-all","kbShort":{"ctrl":"true","alt":"","shift":"","key":"g","keycode":"71","langCode":"key_g"},"text":{"en-us":"Show/Hide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fa-magnet","kbShort":{"ctrl":"true","alt":"","shift":"","key":"t","keycode":"84","langCode":"key_t"},"text":{"en-us":"Toggle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fa-sun","kbShort":{"ctrl":"true","alt":"","shift":"","key":"y","keycode":"89","langCode":"key_y"},"text":{"en-us":"Change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fa-user-alt","kbShort":{"ctrl":"","alt":"true","shift":"","key":"a","keycode":"65","langCode":"key_a"},"text":{"en-us":"Account","es-mx":"Cuenta"},"moreInfo":{"en-us":"Menu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fa-user-cog","kbShort":{"ctrl":"","alt":"","shift":"","key":"","keycode":"","langCode":""},"text":{"en-us":"Profile","es-mx":"Perfil"},"moreInfo":{"en-us":"Opens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fa-ticket-alt","kbShort":{"ctrl":"true","alt":"","shift":"","key":"b","keycode":"66","langCode":"key_b"},"text":{"en-us":"Extend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fa-door-open","kbShort":{"ctrl":"true","alt":"","shift":"","key":"w","keycode":"87","langCode":"key_w"},"text":{"en-us":"Sign out","es-mx":"desconectar"},"moreInfo":{"en-us":"Signing out","es-mx":"Cerrando sesión"},"prtBelow":false,"func":"alert()"}]},{"icon":"far fa-life-ring","kbShort":{"ctrl":"","alt":"true","shift":"","key":"h","keycode":"72","langCode":"key_h"},"text":{"en-us":"Help","es-mx":"Ayuda"},"moreInfo":{"en-us":"Menu gives access to documentation and help","es-mx":"El menú da acceso a la documentación y ayuda"},"subMenu":[{"icon":"fas fa-book","kbShort":{"ctrl":"true","alt":"","shift":"","key":"d","keycode":"68","langCode":"key_d"},"text":{"en-us":"Documentation","es-mx":"Documentación"},"moreInfo":{"en-us":"Takes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fa-question-circle","kbShort":{"ctrl":"true","alt":"","shift":"","key":"h","keycode":"72","langCode":"key_h"},"text":{"en-us":"Context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fa-info","kbShort":{"ctrl":"","alt":"","shift":"","key":"","keycode":"","langCode":""},"text":{"en-us":"About","es-mx":"Acerca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</si>
</sst>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3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J5" sqref="J5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3"/>
  <sheetViews>
    <sheetView tabSelected="1" workbookViewId="0">
      <selection activeCell="A3" sqref="A3"/>
    </sheetView>
  </sheetViews>
  <sheetFormatPr defaultRowHeight="14.4" x14ac:dyDescent="0.3"/>
  <cols>
    <col min="1" max="1" width="14.77734375" bestFit="1" customWidth="1"/>
  </cols>
  <sheetData>
    <row r="1" spans="1:12" x14ac:dyDescent="0.3">
      <c r="A1" t="s">
        <v>241</v>
      </c>
      <c r="B1" t="s">
        <v>329</v>
      </c>
      <c r="C1" t="s">
        <v>330</v>
      </c>
      <c r="J1" t="str">
        <f ca="1">"const "&amp; MID(CELL("filename",A1),FIND("]",CELL("filename",A1))+1,255)&amp;"={"&amp;_xlfn.CONCAT(K:K)&amp;","&amp;_xlfn.CONCAT(L:L)&amp;"}"</f>
        <v>const GUIText={"en-us":{"hide":"Hide","errorShortWidth":"Your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,"es-mx":{"hide":"Esconder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333</v>
      </c>
      <c r="B3" t="s">
        <v>335</v>
      </c>
      <c r="C3" t="s">
        <v>337</v>
      </c>
      <c r="K3" t="str">
        <f t="shared" ref="K3:L6" si="0">IF(ISBLANK($A3),"",""""&amp;$A3&amp;""":"""&amp;B3&amp;""""&amp;IF(ISBLANK(A4),"}",","))</f>
        <v>"errorShortWidth":"Your screen's width is too small to run this app. ",</v>
      </c>
      <c r="L3" t="str">
        <f t="shared" si="0"/>
        <v>"errorShortWidth":"El ancho de su pantalla es demasiado pequeño para ejecutar esta aplicación.",</v>
      </c>
    </row>
    <row r="4" spans="1:12" x14ac:dyDescent="0.3">
      <c r="A4" t="s">
        <v>334</v>
      </c>
      <c r="B4" t="s">
        <v>336</v>
      </c>
      <c r="C4" t="s">
        <v>338</v>
      </c>
      <c r="K4" t="str">
        <f t="shared" si="0"/>
        <v>"errorShortHeight":"Your screen's height is too small to run this app. ",</v>
      </c>
      <c r="L4" t="str">
        <f t="shared" si="0"/>
        <v>"errorShortHeight":"La altura de su pantalla es demasiado pequeña para ejecutar esta aplicación.",</v>
      </c>
    </row>
    <row r="5" spans="1:12" x14ac:dyDescent="0.3">
      <c r="A5" t="s">
        <v>561</v>
      </c>
      <c r="B5" t="s">
        <v>656</v>
      </c>
      <c r="C5" t="s">
        <v>656</v>
      </c>
      <c r="K5" t="str">
        <f t="shared" si="0"/>
        <v>"key_backspace":"Backspace",</v>
      </c>
      <c r="L5" t="str">
        <f t="shared" si="0"/>
        <v>"key_backspace":"Backspace",</v>
      </c>
    </row>
    <row r="6" spans="1:12" x14ac:dyDescent="0.3">
      <c r="A6" t="s">
        <v>562</v>
      </c>
      <c r="B6" t="s">
        <v>657</v>
      </c>
      <c r="C6" t="s">
        <v>657</v>
      </c>
      <c r="K6" t="str">
        <f t="shared" si="0"/>
        <v>"key_tab":"Tab",</v>
      </c>
      <c r="L6" t="str">
        <f t="shared" si="0"/>
        <v>"key_tab":"Tab",</v>
      </c>
    </row>
    <row r="7" spans="1:12" x14ac:dyDescent="0.3">
      <c r="A7" t="s">
        <v>563</v>
      </c>
      <c r="B7" t="s">
        <v>658</v>
      </c>
      <c r="C7" t="s">
        <v>658</v>
      </c>
      <c r="K7" t="str">
        <f t="shared" ref="K7:K70" si="1">IF(ISBLANK($A7),"",""""&amp;$A7&amp;""":"""&amp;B7&amp;""""&amp;IF(ISBLANK(A8),"}",","))</f>
        <v>"key_enter":"Enter",</v>
      </c>
      <c r="L7" t="str">
        <f t="shared" ref="L7:L70" si="2">IF(ISBLANK($A7),"",""""&amp;$A7&amp;""":"""&amp;C7&amp;""""&amp;IF(ISBLANK(B8),"}",","))</f>
        <v>"key_enter":"Enter",</v>
      </c>
    </row>
    <row r="8" spans="1:12" x14ac:dyDescent="0.3">
      <c r="A8" t="s">
        <v>564</v>
      </c>
      <c r="B8" t="s">
        <v>240</v>
      </c>
      <c r="C8" t="s">
        <v>240</v>
      </c>
      <c r="K8" t="str">
        <f t="shared" si="1"/>
        <v>"key_shift":"Shift",</v>
      </c>
      <c r="L8" t="str">
        <f t="shared" si="2"/>
        <v>"key_shift":"Shift",</v>
      </c>
    </row>
    <row r="9" spans="1:12" x14ac:dyDescent="0.3">
      <c r="A9" t="s">
        <v>565</v>
      </c>
      <c r="B9" t="s">
        <v>239</v>
      </c>
      <c r="C9" t="s">
        <v>239</v>
      </c>
      <c r="K9" t="str">
        <f t="shared" si="1"/>
        <v>"key_ctrl":"Ctrl",</v>
      </c>
      <c r="L9" t="str">
        <f t="shared" si="2"/>
        <v>"key_ctrl":"Ctrl",</v>
      </c>
    </row>
    <row r="10" spans="1:12" x14ac:dyDescent="0.3">
      <c r="A10" t="s">
        <v>566</v>
      </c>
      <c r="B10" t="s">
        <v>342</v>
      </c>
      <c r="C10" t="s">
        <v>342</v>
      </c>
      <c r="K10" t="str">
        <f t="shared" si="1"/>
        <v>"key_alt":"Alt",</v>
      </c>
      <c r="L10" t="str">
        <f t="shared" si="2"/>
        <v>"key_alt":"Alt",</v>
      </c>
    </row>
    <row r="11" spans="1:12" x14ac:dyDescent="0.3">
      <c r="A11" t="s">
        <v>567</v>
      </c>
      <c r="B11" t="s">
        <v>659</v>
      </c>
      <c r="C11" t="s">
        <v>659</v>
      </c>
      <c r="K11" t="str">
        <f t="shared" si="1"/>
        <v>"key_pause":"Pause",</v>
      </c>
      <c r="L11" t="str">
        <f t="shared" si="2"/>
        <v>"key_pause":"Pause",</v>
      </c>
    </row>
    <row r="12" spans="1:12" x14ac:dyDescent="0.3">
      <c r="A12" t="s">
        <v>568</v>
      </c>
      <c r="B12" t="s">
        <v>680</v>
      </c>
      <c r="C12" t="s">
        <v>680</v>
      </c>
      <c r="K12" t="str">
        <f t="shared" si="1"/>
        <v>"key_caps_lock":"Caps lock",</v>
      </c>
      <c r="L12" t="str">
        <f t="shared" si="2"/>
        <v>"key_caps_lock":"Caps lock",</v>
      </c>
    </row>
    <row r="13" spans="1:12" x14ac:dyDescent="0.3">
      <c r="A13" t="s">
        <v>569</v>
      </c>
      <c r="B13" t="s">
        <v>660</v>
      </c>
      <c r="C13" t="s">
        <v>660</v>
      </c>
      <c r="K13" t="str">
        <f t="shared" si="1"/>
        <v>"key_escape":"Escape",</v>
      </c>
      <c r="L13" t="str">
        <f t="shared" si="2"/>
        <v>"key_escape":"Escape",</v>
      </c>
    </row>
    <row r="14" spans="1:12" x14ac:dyDescent="0.3">
      <c r="A14" t="s">
        <v>570</v>
      </c>
      <c r="B14" t="s">
        <v>679</v>
      </c>
      <c r="C14" t="s">
        <v>679</v>
      </c>
      <c r="K14" t="str">
        <f t="shared" si="1"/>
        <v>"key_page_up":"Page up",</v>
      </c>
      <c r="L14" t="str">
        <f t="shared" si="2"/>
        <v>"key_page_up":"Page up",</v>
      </c>
    </row>
    <row r="15" spans="1:12" x14ac:dyDescent="0.3">
      <c r="A15" t="s">
        <v>571</v>
      </c>
      <c r="B15" t="s">
        <v>681</v>
      </c>
      <c r="C15" t="s">
        <v>681</v>
      </c>
      <c r="K15" t="str">
        <f t="shared" si="1"/>
        <v>"key_page_down":"Page down",</v>
      </c>
      <c r="L15" t="str">
        <f t="shared" si="2"/>
        <v>"key_page_down":"Page down",</v>
      </c>
    </row>
    <row r="16" spans="1:12" x14ac:dyDescent="0.3">
      <c r="A16" t="s">
        <v>572</v>
      </c>
      <c r="B16" t="s">
        <v>101</v>
      </c>
      <c r="C16" t="s">
        <v>101</v>
      </c>
      <c r="K16" t="str">
        <f t="shared" si="1"/>
        <v>"key_end":"End",</v>
      </c>
      <c r="L16" t="str">
        <f t="shared" si="2"/>
        <v>"key_end":"End",</v>
      </c>
    </row>
    <row r="17" spans="1:12" x14ac:dyDescent="0.3">
      <c r="A17" t="s">
        <v>573</v>
      </c>
      <c r="B17" t="s">
        <v>661</v>
      </c>
      <c r="C17" t="s">
        <v>661</v>
      </c>
      <c r="K17" t="str">
        <f t="shared" si="1"/>
        <v>"key_home":"Home",</v>
      </c>
      <c r="L17" t="str">
        <f t="shared" si="2"/>
        <v>"key_home":"Home",</v>
      </c>
    </row>
    <row r="18" spans="1:12" x14ac:dyDescent="0.3">
      <c r="A18" t="s">
        <v>574</v>
      </c>
      <c r="B18" t="s">
        <v>682</v>
      </c>
      <c r="C18" t="s">
        <v>682</v>
      </c>
      <c r="K18" t="str">
        <f t="shared" si="1"/>
        <v>"key_left_arrow":"Left arrow",</v>
      </c>
      <c r="L18" t="str">
        <f t="shared" si="2"/>
        <v>"key_left_arrow":"Left arrow",</v>
      </c>
    </row>
    <row r="19" spans="1:12" x14ac:dyDescent="0.3">
      <c r="A19" t="s">
        <v>575</v>
      </c>
      <c r="B19" t="s">
        <v>683</v>
      </c>
      <c r="C19" t="s">
        <v>683</v>
      </c>
      <c r="K19" t="str">
        <f t="shared" si="1"/>
        <v>"key_up_arrow":"Up arrow",</v>
      </c>
      <c r="L19" t="str">
        <f t="shared" si="2"/>
        <v>"key_up_arrow":"Up arrow",</v>
      </c>
    </row>
    <row r="20" spans="1:12" x14ac:dyDescent="0.3">
      <c r="A20" t="s">
        <v>576</v>
      </c>
      <c r="B20" t="s">
        <v>684</v>
      </c>
      <c r="C20" t="s">
        <v>684</v>
      </c>
      <c r="K20" t="str">
        <f t="shared" si="1"/>
        <v>"key_right_arrow":"Right arrow",</v>
      </c>
      <c r="L20" t="str">
        <f t="shared" si="2"/>
        <v>"key_right_arrow":"Right arrow",</v>
      </c>
    </row>
    <row r="21" spans="1:12" x14ac:dyDescent="0.3">
      <c r="A21" t="s">
        <v>577</v>
      </c>
      <c r="B21" t="s">
        <v>685</v>
      </c>
      <c r="C21" t="s">
        <v>685</v>
      </c>
      <c r="K21" t="str">
        <f t="shared" si="1"/>
        <v>"key_down_arrow":"Down arrow",</v>
      </c>
      <c r="L21" t="str">
        <f t="shared" si="2"/>
        <v>"key_down_arrow":"Down arrow",</v>
      </c>
    </row>
    <row r="22" spans="1:12" x14ac:dyDescent="0.3">
      <c r="A22" t="s">
        <v>578</v>
      </c>
      <c r="B22" t="s">
        <v>662</v>
      </c>
      <c r="C22" t="s">
        <v>662</v>
      </c>
      <c r="K22" t="str">
        <f t="shared" si="1"/>
        <v>"key_insert":"Insert",</v>
      </c>
      <c r="L22" t="str">
        <f t="shared" si="2"/>
        <v>"key_insert":"Insert",</v>
      </c>
    </row>
    <row r="23" spans="1:12" x14ac:dyDescent="0.3">
      <c r="A23" t="s">
        <v>579</v>
      </c>
      <c r="B23" t="s">
        <v>33</v>
      </c>
      <c r="C23" t="s">
        <v>33</v>
      </c>
      <c r="K23" t="str">
        <f t="shared" si="1"/>
        <v>"key_delete":"Delete",</v>
      </c>
      <c r="L23" t="str">
        <f t="shared" si="2"/>
        <v>"key_delete":"Delete",</v>
      </c>
    </row>
    <row r="24" spans="1:12" x14ac:dyDescent="0.3">
      <c r="A24" t="s">
        <v>580</v>
      </c>
      <c r="B24">
        <v>0</v>
      </c>
      <c r="C24">
        <v>0</v>
      </c>
      <c r="K24" t="str">
        <f t="shared" si="1"/>
        <v>"key_0":"0",</v>
      </c>
      <c r="L24" t="str">
        <f t="shared" si="2"/>
        <v>"key_0":"0",</v>
      </c>
    </row>
    <row r="25" spans="1:12" x14ac:dyDescent="0.3">
      <c r="A25" t="s">
        <v>581</v>
      </c>
      <c r="B25">
        <v>1</v>
      </c>
      <c r="C25">
        <v>1</v>
      </c>
      <c r="K25" t="str">
        <f t="shared" si="1"/>
        <v>"key_1":"1",</v>
      </c>
      <c r="L25" t="str">
        <f t="shared" si="2"/>
        <v>"key_1":"1",</v>
      </c>
    </row>
    <row r="26" spans="1:12" x14ac:dyDescent="0.3">
      <c r="A26" t="s">
        <v>582</v>
      </c>
      <c r="B26">
        <v>2</v>
      </c>
      <c r="C26">
        <v>2</v>
      </c>
      <c r="K26" t="str">
        <f t="shared" si="1"/>
        <v>"key_2":"2",</v>
      </c>
      <c r="L26" t="str">
        <f t="shared" si="2"/>
        <v>"key_2":"2",</v>
      </c>
    </row>
    <row r="27" spans="1:12" x14ac:dyDescent="0.3">
      <c r="A27" t="s">
        <v>583</v>
      </c>
      <c r="B27">
        <v>3</v>
      </c>
      <c r="C27">
        <v>3</v>
      </c>
      <c r="K27" t="str">
        <f t="shared" si="1"/>
        <v>"key_3":"3",</v>
      </c>
      <c r="L27" t="str">
        <f t="shared" si="2"/>
        <v>"key_3":"3",</v>
      </c>
    </row>
    <row r="28" spans="1:12" x14ac:dyDescent="0.3">
      <c r="A28" t="s">
        <v>584</v>
      </c>
      <c r="B28">
        <v>4</v>
      </c>
      <c r="C28">
        <v>4</v>
      </c>
      <c r="K28" t="str">
        <f t="shared" si="1"/>
        <v>"key_4":"4",</v>
      </c>
      <c r="L28" t="str">
        <f t="shared" si="2"/>
        <v>"key_4":"4",</v>
      </c>
    </row>
    <row r="29" spans="1:12" x14ac:dyDescent="0.3">
      <c r="A29" t="s">
        <v>585</v>
      </c>
      <c r="B29">
        <v>5</v>
      </c>
      <c r="C29">
        <v>5</v>
      </c>
      <c r="K29" t="str">
        <f t="shared" si="1"/>
        <v>"key_5":"5",</v>
      </c>
      <c r="L29" t="str">
        <f t="shared" si="2"/>
        <v>"key_5":"5",</v>
      </c>
    </row>
    <row r="30" spans="1:12" x14ac:dyDescent="0.3">
      <c r="A30" t="s">
        <v>586</v>
      </c>
      <c r="B30">
        <v>6</v>
      </c>
      <c r="C30">
        <v>6</v>
      </c>
      <c r="K30" t="str">
        <f t="shared" si="1"/>
        <v>"key_6":"6",</v>
      </c>
      <c r="L30" t="str">
        <f t="shared" si="2"/>
        <v>"key_6":"6",</v>
      </c>
    </row>
    <row r="31" spans="1:12" x14ac:dyDescent="0.3">
      <c r="A31" t="s">
        <v>587</v>
      </c>
      <c r="B31">
        <v>7</v>
      </c>
      <c r="C31">
        <v>7</v>
      </c>
      <c r="K31" t="str">
        <f t="shared" si="1"/>
        <v>"key_7":"7",</v>
      </c>
      <c r="L31" t="str">
        <f t="shared" si="2"/>
        <v>"key_7":"7",</v>
      </c>
    </row>
    <row r="32" spans="1:12" x14ac:dyDescent="0.3">
      <c r="A32" t="s">
        <v>588</v>
      </c>
      <c r="B32">
        <v>8</v>
      </c>
      <c r="C32">
        <v>8</v>
      </c>
      <c r="K32" t="str">
        <f t="shared" si="1"/>
        <v>"key_8":"8",</v>
      </c>
      <c r="L32" t="str">
        <f t="shared" si="2"/>
        <v>"key_8":"8",</v>
      </c>
    </row>
    <row r="33" spans="1:12" x14ac:dyDescent="0.3">
      <c r="A33" t="s">
        <v>589</v>
      </c>
      <c r="B33">
        <v>9</v>
      </c>
      <c r="C33">
        <v>9</v>
      </c>
      <c r="K33" t="str">
        <f t="shared" si="1"/>
        <v>"key_9":"9",</v>
      </c>
      <c r="L33" t="str">
        <f t="shared" si="2"/>
        <v>"key_9":"9",</v>
      </c>
    </row>
    <row r="34" spans="1:12" x14ac:dyDescent="0.3">
      <c r="A34" t="s">
        <v>590</v>
      </c>
      <c r="B34" t="s">
        <v>264</v>
      </c>
      <c r="C34" t="s">
        <v>264</v>
      </c>
      <c r="K34" t="str">
        <f t="shared" si="1"/>
        <v>"key_a":"A",</v>
      </c>
      <c r="L34" t="str">
        <f t="shared" si="2"/>
        <v>"key_a":"A",</v>
      </c>
    </row>
    <row r="35" spans="1:12" x14ac:dyDescent="0.3">
      <c r="A35" t="s">
        <v>591</v>
      </c>
      <c r="B35" t="s">
        <v>265</v>
      </c>
      <c r="C35" t="s">
        <v>265</v>
      </c>
      <c r="K35" t="str">
        <f t="shared" si="1"/>
        <v>"key_b":"B",</v>
      </c>
      <c r="L35" t="str">
        <f t="shared" si="2"/>
        <v>"key_b":"B",</v>
      </c>
    </row>
    <row r="36" spans="1:12" x14ac:dyDescent="0.3">
      <c r="A36" t="s">
        <v>592</v>
      </c>
      <c r="B36" t="s">
        <v>244</v>
      </c>
      <c r="C36" t="s">
        <v>244</v>
      </c>
      <c r="K36" t="str">
        <f t="shared" si="1"/>
        <v>"key_c":"C",</v>
      </c>
      <c r="L36" t="str">
        <f t="shared" si="2"/>
        <v>"key_c":"C",</v>
      </c>
    </row>
    <row r="37" spans="1:12" x14ac:dyDescent="0.3">
      <c r="A37" t="s">
        <v>593</v>
      </c>
      <c r="B37" t="s">
        <v>245</v>
      </c>
      <c r="C37" t="s">
        <v>245</v>
      </c>
      <c r="K37" t="str">
        <f t="shared" si="1"/>
        <v>"key_d":"D",</v>
      </c>
      <c r="L37" t="str">
        <f t="shared" si="2"/>
        <v>"key_d":"D",</v>
      </c>
    </row>
    <row r="38" spans="1:12" x14ac:dyDescent="0.3">
      <c r="A38" t="s">
        <v>594</v>
      </c>
      <c r="B38" t="s">
        <v>254</v>
      </c>
      <c r="C38" t="s">
        <v>254</v>
      </c>
      <c r="K38" t="str">
        <f t="shared" si="1"/>
        <v>"key_e":"E",</v>
      </c>
      <c r="L38" t="str">
        <f t="shared" si="2"/>
        <v>"key_e":"E",</v>
      </c>
    </row>
    <row r="39" spans="1:12" x14ac:dyDescent="0.3">
      <c r="A39" t="s">
        <v>595</v>
      </c>
      <c r="B39" t="s">
        <v>261</v>
      </c>
      <c r="C39" t="s">
        <v>261</v>
      </c>
      <c r="K39" t="str">
        <f t="shared" si="1"/>
        <v>"key_f":"F",</v>
      </c>
      <c r="L39" t="str">
        <f t="shared" si="2"/>
        <v>"key_f":"F",</v>
      </c>
    </row>
    <row r="40" spans="1:12" x14ac:dyDescent="0.3">
      <c r="A40" t="s">
        <v>596</v>
      </c>
      <c r="B40" t="s">
        <v>252</v>
      </c>
      <c r="C40" t="s">
        <v>252</v>
      </c>
      <c r="K40" t="str">
        <f t="shared" si="1"/>
        <v>"key_g":"G",</v>
      </c>
      <c r="L40" t="str">
        <f t="shared" si="2"/>
        <v>"key_g":"G",</v>
      </c>
    </row>
    <row r="41" spans="1:12" x14ac:dyDescent="0.3">
      <c r="A41" t="s">
        <v>597</v>
      </c>
      <c r="B41" t="s">
        <v>267</v>
      </c>
      <c r="C41" t="s">
        <v>267</v>
      </c>
      <c r="K41" t="str">
        <f t="shared" si="1"/>
        <v>"key_h":"H",</v>
      </c>
      <c r="L41" t="str">
        <f t="shared" si="2"/>
        <v>"key_h":"H",</v>
      </c>
    </row>
    <row r="42" spans="1:12" x14ac:dyDescent="0.3">
      <c r="A42" t="s">
        <v>598</v>
      </c>
      <c r="B42" t="s">
        <v>663</v>
      </c>
      <c r="C42" t="s">
        <v>663</v>
      </c>
      <c r="K42" t="str">
        <f t="shared" si="1"/>
        <v>"key_i":"I",</v>
      </c>
      <c r="L42" t="str">
        <f t="shared" si="2"/>
        <v>"key_i":"I",</v>
      </c>
    </row>
    <row r="43" spans="1:12" x14ac:dyDescent="0.3">
      <c r="A43" t="s">
        <v>599</v>
      </c>
      <c r="B43" t="s">
        <v>251</v>
      </c>
      <c r="C43" t="s">
        <v>251</v>
      </c>
      <c r="K43" t="str">
        <f t="shared" si="1"/>
        <v>"key_j":"J",</v>
      </c>
      <c r="L43" t="str">
        <f t="shared" si="2"/>
        <v>"key_j":"J",</v>
      </c>
    </row>
    <row r="44" spans="1:12" x14ac:dyDescent="0.3">
      <c r="A44" t="s">
        <v>600</v>
      </c>
      <c r="B44" t="s">
        <v>255</v>
      </c>
      <c r="C44" t="s">
        <v>255</v>
      </c>
      <c r="K44" t="str">
        <f t="shared" si="1"/>
        <v>"key_k":"K",</v>
      </c>
      <c r="L44" t="str">
        <f t="shared" si="2"/>
        <v>"key_k":"K",</v>
      </c>
    </row>
    <row r="45" spans="1:12" x14ac:dyDescent="0.3">
      <c r="A45" t="s">
        <v>601</v>
      </c>
      <c r="B45" t="s">
        <v>246</v>
      </c>
      <c r="C45" t="s">
        <v>246</v>
      </c>
      <c r="K45" t="str">
        <f t="shared" si="1"/>
        <v>"key_l":"L",</v>
      </c>
      <c r="L45" t="str">
        <f t="shared" si="2"/>
        <v>"key_l":"L",</v>
      </c>
    </row>
    <row r="46" spans="1:12" x14ac:dyDescent="0.3">
      <c r="A46" t="s">
        <v>602</v>
      </c>
      <c r="B46" t="s">
        <v>247</v>
      </c>
      <c r="C46" t="s">
        <v>247</v>
      </c>
      <c r="K46" t="str">
        <f t="shared" si="1"/>
        <v>"key_m":"M",</v>
      </c>
      <c r="L46" t="str">
        <f t="shared" si="2"/>
        <v>"key_m":"M",</v>
      </c>
    </row>
    <row r="47" spans="1:12" x14ac:dyDescent="0.3">
      <c r="A47" t="s">
        <v>603</v>
      </c>
      <c r="B47" t="s">
        <v>664</v>
      </c>
      <c r="C47" t="s">
        <v>664</v>
      </c>
      <c r="K47" t="str">
        <f t="shared" si="1"/>
        <v>"key_n":"N",</v>
      </c>
      <c r="L47" t="str">
        <f t="shared" si="2"/>
        <v>"key_n":"N",</v>
      </c>
    </row>
    <row r="48" spans="1:12" x14ac:dyDescent="0.3">
      <c r="A48" t="s">
        <v>604</v>
      </c>
      <c r="B48" t="s">
        <v>242</v>
      </c>
      <c r="C48" t="s">
        <v>242</v>
      </c>
      <c r="K48" t="str">
        <f t="shared" si="1"/>
        <v>"key_o":"O",</v>
      </c>
      <c r="L48" t="str">
        <f t="shared" si="2"/>
        <v>"key_o":"O",</v>
      </c>
    </row>
    <row r="49" spans="1:12" x14ac:dyDescent="0.3">
      <c r="A49" t="s">
        <v>605</v>
      </c>
      <c r="B49" t="s">
        <v>248</v>
      </c>
      <c r="C49" t="s">
        <v>248</v>
      </c>
      <c r="K49" t="str">
        <f t="shared" si="1"/>
        <v>"key_p":"P",</v>
      </c>
      <c r="L49" t="str">
        <f t="shared" si="2"/>
        <v>"key_p":"P",</v>
      </c>
    </row>
    <row r="50" spans="1:12" x14ac:dyDescent="0.3">
      <c r="A50" t="s">
        <v>606</v>
      </c>
      <c r="B50" t="s">
        <v>665</v>
      </c>
      <c r="C50" t="s">
        <v>665</v>
      </c>
      <c r="K50" t="str">
        <f t="shared" si="1"/>
        <v>"key_q":"Q",</v>
      </c>
      <c r="L50" t="str">
        <f t="shared" si="2"/>
        <v>"key_q":"Q",</v>
      </c>
    </row>
    <row r="51" spans="1:12" x14ac:dyDescent="0.3">
      <c r="A51" t="s">
        <v>607</v>
      </c>
      <c r="B51" t="s">
        <v>250</v>
      </c>
      <c r="C51" t="s">
        <v>250</v>
      </c>
      <c r="K51" t="str">
        <f t="shared" si="1"/>
        <v>"key_r":"R",</v>
      </c>
      <c r="L51" t="str">
        <f t="shared" si="2"/>
        <v>"key_r":"R",</v>
      </c>
    </row>
    <row r="52" spans="1:12" x14ac:dyDescent="0.3">
      <c r="A52" t="s">
        <v>608</v>
      </c>
      <c r="B52" t="s">
        <v>243</v>
      </c>
      <c r="C52" t="s">
        <v>243</v>
      </c>
      <c r="K52" t="str">
        <f t="shared" si="1"/>
        <v>"key_s":"S",</v>
      </c>
      <c r="L52" t="str">
        <f t="shared" si="2"/>
        <v>"key_s":"S",</v>
      </c>
    </row>
    <row r="53" spans="1:12" x14ac:dyDescent="0.3">
      <c r="A53" t="s">
        <v>609</v>
      </c>
      <c r="B53" t="s">
        <v>262</v>
      </c>
      <c r="C53" t="s">
        <v>262</v>
      </c>
      <c r="K53" t="str">
        <f t="shared" si="1"/>
        <v>"key_t":"T",</v>
      </c>
      <c r="L53" t="str">
        <f t="shared" si="2"/>
        <v>"key_t":"T",</v>
      </c>
    </row>
    <row r="54" spans="1:12" x14ac:dyDescent="0.3">
      <c r="A54" t="s">
        <v>610</v>
      </c>
      <c r="B54" t="s">
        <v>249</v>
      </c>
      <c r="C54" t="s">
        <v>249</v>
      </c>
      <c r="K54" t="str">
        <f t="shared" si="1"/>
        <v>"key_u":"U",</v>
      </c>
      <c r="L54" t="str">
        <f t="shared" si="2"/>
        <v>"key_u":"U",</v>
      </c>
    </row>
    <row r="55" spans="1:12" x14ac:dyDescent="0.3">
      <c r="A55" t="s">
        <v>611</v>
      </c>
      <c r="B55" t="s">
        <v>257</v>
      </c>
      <c r="C55" t="s">
        <v>257</v>
      </c>
      <c r="K55" t="str">
        <f t="shared" si="1"/>
        <v>"key_v":"V",</v>
      </c>
      <c r="L55" t="str">
        <f t="shared" si="2"/>
        <v>"key_v":"V",</v>
      </c>
    </row>
    <row r="56" spans="1:12" x14ac:dyDescent="0.3">
      <c r="A56" t="s">
        <v>612</v>
      </c>
      <c r="B56" t="s">
        <v>266</v>
      </c>
      <c r="C56" t="s">
        <v>266</v>
      </c>
      <c r="K56" t="str">
        <f t="shared" si="1"/>
        <v>"key_w":"W",</v>
      </c>
      <c r="L56" t="str">
        <f t="shared" si="2"/>
        <v>"key_w":"W",</v>
      </c>
    </row>
    <row r="57" spans="1:12" x14ac:dyDescent="0.3">
      <c r="A57" t="s">
        <v>613</v>
      </c>
      <c r="B57" t="s">
        <v>256</v>
      </c>
      <c r="C57" t="s">
        <v>256</v>
      </c>
      <c r="K57" t="str">
        <f t="shared" si="1"/>
        <v>"key_x":"X",</v>
      </c>
      <c r="L57" t="str">
        <f t="shared" si="2"/>
        <v>"key_x":"X",</v>
      </c>
    </row>
    <row r="58" spans="1:12" x14ac:dyDescent="0.3">
      <c r="A58" t="s">
        <v>614</v>
      </c>
      <c r="B58" t="s">
        <v>263</v>
      </c>
      <c r="C58" t="s">
        <v>263</v>
      </c>
      <c r="K58" t="str">
        <f t="shared" si="1"/>
        <v>"key_y":"Y",</v>
      </c>
      <c r="L58" t="str">
        <f t="shared" si="2"/>
        <v>"key_y":"Y",</v>
      </c>
    </row>
    <row r="59" spans="1:12" x14ac:dyDescent="0.3">
      <c r="A59" t="s">
        <v>615</v>
      </c>
      <c r="B59" t="s">
        <v>258</v>
      </c>
      <c r="C59" t="s">
        <v>258</v>
      </c>
      <c r="K59" t="str">
        <f t="shared" si="1"/>
        <v>"key_z":"Z",</v>
      </c>
      <c r="L59" t="str">
        <f t="shared" si="2"/>
        <v>"key_z":"Z",</v>
      </c>
    </row>
    <row r="60" spans="1:12" x14ac:dyDescent="0.3">
      <c r="A60" t="s">
        <v>616</v>
      </c>
      <c r="B60" t="s">
        <v>715</v>
      </c>
      <c r="C60" t="s">
        <v>715</v>
      </c>
      <c r="K60" t="str">
        <f t="shared" si="1"/>
        <v>"key_left_win":"Left ⊞",</v>
      </c>
      <c r="L60" t="str">
        <f t="shared" si="2"/>
        <v>"key_left_win":"Left ⊞",</v>
      </c>
    </row>
    <row r="61" spans="1:12" x14ac:dyDescent="0.3">
      <c r="A61" t="s">
        <v>617</v>
      </c>
      <c r="B61" t="s">
        <v>716</v>
      </c>
      <c r="C61" t="s">
        <v>716</v>
      </c>
      <c r="K61" t="str">
        <f t="shared" si="1"/>
        <v>"key_right_win":"Right ⊞",</v>
      </c>
      <c r="L61" t="str">
        <f t="shared" si="2"/>
        <v>"key_right_win":"Right ⊞",</v>
      </c>
    </row>
    <row r="62" spans="1:12" x14ac:dyDescent="0.3">
      <c r="A62" t="s">
        <v>618</v>
      </c>
      <c r="B62" t="s">
        <v>666</v>
      </c>
      <c r="C62" t="s">
        <v>666</v>
      </c>
      <c r="K62" t="str">
        <f t="shared" si="1"/>
        <v>"key_select":"Select",</v>
      </c>
      <c r="L62" t="str">
        <f t="shared" si="2"/>
        <v>"key_select":"Select",</v>
      </c>
    </row>
    <row r="63" spans="1:12" x14ac:dyDescent="0.3">
      <c r="A63" t="s">
        <v>619</v>
      </c>
      <c r="B63" t="s">
        <v>686</v>
      </c>
      <c r="C63" t="s">
        <v>686</v>
      </c>
      <c r="K63" t="str">
        <f t="shared" si="1"/>
        <v>"key_num_0":"Num 0",</v>
      </c>
      <c r="L63" t="str">
        <f t="shared" si="2"/>
        <v>"key_num_0":"Num 0",</v>
      </c>
    </row>
    <row r="64" spans="1:12" x14ac:dyDescent="0.3">
      <c r="A64" t="s">
        <v>620</v>
      </c>
      <c r="B64" t="s">
        <v>687</v>
      </c>
      <c r="C64" t="s">
        <v>687</v>
      </c>
      <c r="K64" t="str">
        <f t="shared" si="1"/>
        <v>"key_num_1":"Num 1",</v>
      </c>
      <c r="L64" t="str">
        <f t="shared" si="2"/>
        <v>"key_num_1":"Num 1",</v>
      </c>
    </row>
    <row r="65" spans="1:12" x14ac:dyDescent="0.3">
      <c r="A65" t="s">
        <v>621</v>
      </c>
      <c r="B65" t="s">
        <v>688</v>
      </c>
      <c r="C65" t="s">
        <v>688</v>
      </c>
      <c r="K65" t="str">
        <f t="shared" si="1"/>
        <v>"key_num_2":"Num 2",</v>
      </c>
      <c r="L65" t="str">
        <f t="shared" si="2"/>
        <v>"key_num_2":"Num 2",</v>
      </c>
    </row>
    <row r="66" spans="1:12" x14ac:dyDescent="0.3">
      <c r="A66" t="s">
        <v>622</v>
      </c>
      <c r="B66" t="s">
        <v>689</v>
      </c>
      <c r="C66" t="s">
        <v>689</v>
      </c>
      <c r="K66" t="str">
        <f t="shared" si="1"/>
        <v>"key_num_3":"Num 3",</v>
      </c>
      <c r="L66" t="str">
        <f t="shared" si="2"/>
        <v>"key_num_3":"Num 3",</v>
      </c>
    </row>
    <row r="67" spans="1:12" x14ac:dyDescent="0.3">
      <c r="A67" t="s">
        <v>623</v>
      </c>
      <c r="B67" t="s">
        <v>690</v>
      </c>
      <c r="C67" t="s">
        <v>690</v>
      </c>
      <c r="K67" t="str">
        <f t="shared" si="1"/>
        <v>"key_num_4":"Num 4",</v>
      </c>
      <c r="L67" t="str">
        <f t="shared" si="2"/>
        <v>"key_num_4":"Num 4",</v>
      </c>
    </row>
    <row r="68" spans="1:12" x14ac:dyDescent="0.3">
      <c r="A68" t="s">
        <v>624</v>
      </c>
      <c r="B68" t="s">
        <v>691</v>
      </c>
      <c r="C68" t="s">
        <v>691</v>
      </c>
      <c r="K68" t="str">
        <f t="shared" si="1"/>
        <v>"key_num_5":"Num 5",</v>
      </c>
      <c r="L68" t="str">
        <f t="shared" si="2"/>
        <v>"key_num_5":"Num 5",</v>
      </c>
    </row>
    <row r="69" spans="1:12" x14ac:dyDescent="0.3">
      <c r="A69" t="s">
        <v>625</v>
      </c>
      <c r="B69" t="s">
        <v>692</v>
      </c>
      <c r="C69" t="s">
        <v>692</v>
      </c>
      <c r="K69" t="str">
        <f t="shared" si="1"/>
        <v>"key_num_6":"Num 6",</v>
      </c>
      <c r="L69" t="str">
        <f t="shared" si="2"/>
        <v>"key_num_6":"Num 6",</v>
      </c>
    </row>
    <row r="70" spans="1:12" x14ac:dyDescent="0.3">
      <c r="A70" t="s">
        <v>626</v>
      </c>
      <c r="B70" t="s">
        <v>693</v>
      </c>
      <c r="C70" t="s">
        <v>693</v>
      </c>
      <c r="K70" t="str">
        <f t="shared" si="1"/>
        <v>"key_num_7":"Num 7",</v>
      </c>
      <c r="L70" t="str">
        <f t="shared" si="2"/>
        <v>"key_num_7":"Num 7",</v>
      </c>
    </row>
    <row r="71" spans="1:12" x14ac:dyDescent="0.3">
      <c r="A71" t="s">
        <v>627</v>
      </c>
      <c r="B71" t="s">
        <v>694</v>
      </c>
      <c r="C71" t="s">
        <v>694</v>
      </c>
      <c r="K71" t="str">
        <f t="shared" ref="K71:K134" si="3">IF(ISBLANK($A71),"",""""&amp;$A71&amp;""":"""&amp;B71&amp;""""&amp;IF(ISBLANK(A72),"}",","))</f>
        <v>"key_num_8":"Num 8",</v>
      </c>
      <c r="L71" t="str">
        <f t="shared" ref="L71:L134" si="4">IF(ISBLANK($A71),"",""""&amp;$A71&amp;""":"""&amp;C71&amp;""""&amp;IF(ISBLANK(B72),"}",","))</f>
        <v>"key_num_8":"Num 8",</v>
      </c>
    </row>
    <row r="72" spans="1:12" x14ac:dyDescent="0.3">
      <c r="A72" t="s">
        <v>628</v>
      </c>
      <c r="B72" t="s">
        <v>695</v>
      </c>
      <c r="C72" t="s">
        <v>695</v>
      </c>
      <c r="K72" t="str">
        <f t="shared" si="3"/>
        <v>"key_num_9":"Num 9",</v>
      </c>
      <c r="L72" t="str">
        <f t="shared" si="4"/>
        <v>"key_num_9":"Num 9",</v>
      </c>
    </row>
    <row r="73" spans="1:12" x14ac:dyDescent="0.3">
      <c r="A73" t="s">
        <v>629</v>
      </c>
      <c r="B73" t="s">
        <v>710</v>
      </c>
      <c r="C73" t="s">
        <v>710</v>
      </c>
      <c r="K73" t="str">
        <f t="shared" si="3"/>
        <v>"key_mul":"Num *",</v>
      </c>
      <c r="L73" t="str">
        <f t="shared" si="4"/>
        <v>"key_mul":"Num *",</v>
      </c>
    </row>
    <row r="74" spans="1:12" x14ac:dyDescent="0.3">
      <c r="A74" t="s">
        <v>630</v>
      </c>
      <c r="B74" t="s">
        <v>711</v>
      </c>
      <c r="C74" t="s">
        <v>711</v>
      </c>
      <c r="K74" t="str">
        <f t="shared" si="3"/>
        <v>"key_add":"Num +",</v>
      </c>
      <c r="L74" t="str">
        <f t="shared" si="4"/>
        <v>"key_add":"Num +",</v>
      </c>
    </row>
    <row r="75" spans="1:12" x14ac:dyDescent="0.3">
      <c r="A75" t="s">
        <v>631</v>
      </c>
      <c r="B75" t="s">
        <v>712</v>
      </c>
      <c r="C75" t="s">
        <v>712</v>
      </c>
      <c r="K75" t="str">
        <f t="shared" si="3"/>
        <v>"key_sub":"Num -",</v>
      </c>
      <c r="L75" t="str">
        <f t="shared" si="4"/>
        <v>"key_sub":"Num -",</v>
      </c>
    </row>
    <row r="76" spans="1:12" x14ac:dyDescent="0.3">
      <c r="A76" t="s">
        <v>632</v>
      </c>
      <c r="B76" t="s">
        <v>713</v>
      </c>
      <c r="C76" t="s">
        <v>713</v>
      </c>
      <c r="K76" t="str">
        <f t="shared" si="3"/>
        <v>"key_point":"Num .",</v>
      </c>
      <c r="L76" t="str">
        <f t="shared" si="4"/>
        <v>"key_point":"Num .",</v>
      </c>
    </row>
    <row r="77" spans="1:12" x14ac:dyDescent="0.3">
      <c r="A77" t="s">
        <v>633</v>
      </c>
      <c r="B77" t="s">
        <v>714</v>
      </c>
      <c r="C77" t="s">
        <v>714</v>
      </c>
      <c r="K77" t="str">
        <f t="shared" si="3"/>
        <v>"key_div":"Num /",</v>
      </c>
      <c r="L77" t="str">
        <f t="shared" si="4"/>
        <v>"key_div":"Num /",</v>
      </c>
    </row>
    <row r="78" spans="1:12" x14ac:dyDescent="0.3">
      <c r="A78" t="s">
        <v>634</v>
      </c>
      <c r="B78" t="s">
        <v>667</v>
      </c>
      <c r="C78" t="s">
        <v>667</v>
      </c>
      <c r="K78" t="str">
        <f t="shared" si="3"/>
        <v>"key_f1":"F1",</v>
      </c>
      <c r="L78" t="str">
        <f t="shared" si="4"/>
        <v>"key_f1":"F1",</v>
      </c>
    </row>
    <row r="79" spans="1:12" x14ac:dyDescent="0.3">
      <c r="A79" t="s">
        <v>635</v>
      </c>
      <c r="B79" t="s">
        <v>668</v>
      </c>
      <c r="C79" t="s">
        <v>668</v>
      </c>
      <c r="K79" t="str">
        <f t="shared" si="3"/>
        <v>"key_f2":"F2",</v>
      </c>
      <c r="L79" t="str">
        <f t="shared" si="4"/>
        <v>"key_f2":"F2",</v>
      </c>
    </row>
    <row r="80" spans="1:12" x14ac:dyDescent="0.3">
      <c r="A80" t="s">
        <v>636</v>
      </c>
      <c r="B80" t="s">
        <v>669</v>
      </c>
      <c r="C80" t="s">
        <v>669</v>
      </c>
      <c r="K80" t="str">
        <f t="shared" si="3"/>
        <v>"key_f3":"F3",</v>
      </c>
      <c r="L80" t="str">
        <f t="shared" si="4"/>
        <v>"key_f3":"F3",</v>
      </c>
    </row>
    <row r="81" spans="1:12" x14ac:dyDescent="0.3">
      <c r="A81" t="s">
        <v>637</v>
      </c>
      <c r="B81" t="s">
        <v>670</v>
      </c>
      <c r="C81" t="s">
        <v>670</v>
      </c>
      <c r="K81" t="str">
        <f t="shared" si="3"/>
        <v>"key_f4":"F4",</v>
      </c>
      <c r="L81" t="str">
        <f t="shared" si="4"/>
        <v>"key_f4":"F4",</v>
      </c>
    </row>
    <row r="82" spans="1:12" x14ac:dyDescent="0.3">
      <c r="A82" t="s">
        <v>638</v>
      </c>
      <c r="B82" t="s">
        <v>671</v>
      </c>
      <c r="C82" t="s">
        <v>671</v>
      </c>
      <c r="K82" t="str">
        <f t="shared" si="3"/>
        <v>"key_f5":"F5",</v>
      </c>
      <c r="L82" t="str">
        <f t="shared" si="4"/>
        <v>"key_f5":"F5",</v>
      </c>
    </row>
    <row r="83" spans="1:12" x14ac:dyDescent="0.3">
      <c r="A83" t="s">
        <v>639</v>
      </c>
      <c r="B83" t="s">
        <v>672</v>
      </c>
      <c r="C83" t="s">
        <v>672</v>
      </c>
      <c r="K83" t="str">
        <f t="shared" si="3"/>
        <v>"key_f6":"F6",</v>
      </c>
      <c r="L83" t="str">
        <f t="shared" si="4"/>
        <v>"key_f6":"F6",</v>
      </c>
    </row>
    <row r="84" spans="1:12" x14ac:dyDescent="0.3">
      <c r="A84" t="s">
        <v>640</v>
      </c>
      <c r="B84" t="s">
        <v>673</v>
      </c>
      <c r="C84" t="s">
        <v>673</v>
      </c>
      <c r="K84" t="str">
        <f t="shared" si="3"/>
        <v>"key_f7":"F7",</v>
      </c>
      <c r="L84" t="str">
        <f t="shared" si="4"/>
        <v>"key_f7":"F7",</v>
      </c>
    </row>
    <row r="85" spans="1:12" x14ac:dyDescent="0.3">
      <c r="A85" t="s">
        <v>641</v>
      </c>
      <c r="B85" t="s">
        <v>674</v>
      </c>
      <c r="C85" t="s">
        <v>674</v>
      </c>
      <c r="K85" t="str">
        <f t="shared" si="3"/>
        <v>"key_f8":"F8",</v>
      </c>
      <c r="L85" t="str">
        <f t="shared" si="4"/>
        <v>"key_f8":"F8",</v>
      </c>
    </row>
    <row r="86" spans="1:12" x14ac:dyDescent="0.3">
      <c r="A86" t="s">
        <v>642</v>
      </c>
      <c r="B86" t="s">
        <v>675</v>
      </c>
      <c r="C86" t="s">
        <v>675</v>
      </c>
      <c r="K86" t="str">
        <f t="shared" si="3"/>
        <v>"key_f9":"F9",</v>
      </c>
      <c r="L86" t="str">
        <f t="shared" si="4"/>
        <v>"key_f9":"F9",</v>
      </c>
    </row>
    <row r="87" spans="1:12" x14ac:dyDescent="0.3">
      <c r="A87" t="s">
        <v>643</v>
      </c>
      <c r="B87" t="s">
        <v>676</v>
      </c>
      <c r="C87" t="s">
        <v>676</v>
      </c>
      <c r="K87" t="str">
        <f t="shared" si="3"/>
        <v>"key_f10":"F10",</v>
      </c>
      <c r="L87" t="str">
        <f t="shared" si="4"/>
        <v>"key_f10":"F10",</v>
      </c>
    </row>
    <row r="88" spans="1:12" x14ac:dyDescent="0.3">
      <c r="A88" t="s">
        <v>644</v>
      </c>
      <c r="B88" t="s">
        <v>677</v>
      </c>
      <c r="C88" t="s">
        <v>677</v>
      </c>
      <c r="K88" t="str">
        <f t="shared" si="3"/>
        <v>"key_f11":"F11",</v>
      </c>
      <c r="L88" t="str">
        <f t="shared" si="4"/>
        <v>"key_f11":"F11",</v>
      </c>
    </row>
    <row r="89" spans="1:12" x14ac:dyDescent="0.3">
      <c r="A89" t="s">
        <v>645</v>
      </c>
      <c r="B89" t="s">
        <v>678</v>
      </c>
      <c r="C89" t="s">
        <v>678</v>
      </c>
      <c r="K89" t="str">
        <f t="shared" si="3"/>
        <v>"key_f12":"F12",</v>
      </c>
      <c r="L89" t="str">
        <f t="shared" si="4"/>
        <v>"key_f12":"F12",</v>
      </c>
    </row>
    <row r="90" spans="1:12" x14ac:dyDescent="0.3">
      <c r="A90" t="s">
        <v>646</v>
      </c>
      <c r="B90" t="s">
        <v>708</v>
      </c>
      <c r="C90" t="s">
        <v>708</v>
      </c>
      <c r="K90" t="str">
        <f t="shared" si="3"/>
        <v>"key_num_lock":"Num",</v>
      </c>
      <c r="L90" t="str">
        <f t="shared" si="4"/>
        <v>"key_num_lock":"Num",</v>
      </c>
    </row>
    <row r="91" spans="1:12" x14ac:dyDescent="0.3">
      <c r="A91" t="s">
        <v>647</v>
      </c>
      <c r="B91" t="s">
        <v>709</v>
      </c>
      <c r="C91" t="s">
        <v>709</v>
      </c>
      <c r="K91" t="str">
        <f t="shared" si="3"/>
        <v>"key_scroll_lock":"Scroll",</v>
      </c>
      <c r="L91" t="str">
        <f t="shared" si="4"/>
        <v>"key_scroll_lock":"Scroll",</v>
      </c>
    </row>
    <row r="92" spans="1:12" x14ac:dyDescent="0.3">
      <c r="A92" t="s">
        <v>648</v>
      </c>
      <c r="B92" t="s">
        <v>697</v>
      </c>
      <c r="C92" t="s">
        <v>697</v>
      </c>
      <c r="K92" t="str">
        <f t="shared" si="3"/>
        <v>"key_semi_colon":";",</v>
      </c>
      <c r="L92" t="str">
        <f t="shared" si="4"/>
        <v>"key_semi_colon":";",</v>
      </c>
    </row>
    <row r="93" spans="1:12" x14ac:dyDescent="0.3">
      <c r="A93" t="s">
        <v>649</v>
      </c>
      <c r="B93" t="s">
        <v>698</v>
      </c>
      <c r="C93" t="s">
        <v>698</v>
      </c>
      <c r="K93" t="str">
        <f t="shared" si="3"/>
        <v>"key_equal_sign":"=",</v>
      </c>
      <c r="L93" t="str">
        <f t="shared" si="4"/>
        <v>"key_equal_sign":"=",</v>
      </c>
    </row>
    <row r="94" spans="1:12" x14ac:dyDescent="0.3">
      <c r="A94" t="s">
        <v>696</v>
      </c>
      <c r="B94" t="s">
        <v>699</v>
      </c>
      <c r="C94" t="s">
        <v>699</v>
      </c>
      <c r="K94" t="str">
        <f t="shared" si="3"/>
        <v>"key_comma":",",</v>
      </c>
      <c r="L94" t="str">
        <f t="shared" si="4"/>
        <v>"key_comma":",",</v>
      </c>
    </row>
    <row r="95" spans="1:12" x14ac:dyDescent="0.3">
      <c r="A95" t="s">
        <v>700</v>
      </c>
      <c r="B95" t="s">
        <v>260</v>
      </c>
      <c r="C95" t="s">
        <v>260</v>
      </c>
      <c r="K95" t="str">
        <f t="shared" si="3"/>
        <v>"key_dash":"-",</v>
      </c>
      <c r="L95" t="str">
        <f t="shared" si="4"/>
        <v>"key_dash":"-",</v>
      </c>
    </row>
    <row r="96" spans="1:12" x14ac:dyDescent="0.3">
      <c r="A96" t="s">
        <v>701</v>
      </c>
      <c r="B96" t="s">
        <v>702</v>
      </c>
      <c r="C96" t="s">
        <v>702</v>
      </c>
      <c r="K96" t="str">
        <f t="shared" si="3"/>
        <v>"key_period":".",</v>
      </c>
      <c r="L96" t="str">
        <f t="shared" si="4"/>
        <v>"key_period":".",</v>
      </c>
    </row>
    <row r="97" spans="1:12" x14ac:dyDescent="0.3">
      <c r="A97" t="s">
        <v>650</v>
      </c>
      <c r="B97" s="1" t="s">
        <v>703</v>
      </c>
      <c r="C97" s="1" t="s">
        <v>703</v>
      </c>
      <c r="K97" t="str">
        <f t="shared" si="3"/>
        <v>"key_forward_slash":"/",</v>
      </c>
      <c r="L97" t="str">
        <f t="shared" si="4"/>
        <v>"key_forward_slash":"/",</v>
      </c>
    </row>
    <row r="98" spans="1:12" x14ac:dyDescent="0.3">
      <c r="A98" t="s">
        <v>651</v>
      </c>
      <c r="B98" t="s">
        <v>704</v>
      </c>
      <c r="C98" t="s">
        <v>704</v>
      </c>
      <c r="K98" t="str">
        <f t="shared" si="3"/>
        <v>"key_grave_accent":"`",</v>
      </c>
      <c r="L98" t="str">
        <f t="shared" si="4"/>
        <v>"key_grave_accent":"`",</v>
      </c>
    </row>
    <row r="99" spans="1:12" x14ac:dyDescent="0.3">
      <c r="A99" t="s">
        <v>652</v>
      </c>
      <c r="B99" t="s">
        <v>705</v>
      </c>
      <c r="C99" t="s">
        <v>705</v>
      </c>
      <c r="K99" t="str">
        <f t="shared" si="3"/>
        <v>"key_open_bracket":"[",</v>
      </c>
      <c r="L99" t="str">
        <f t="shared" si="4"/>
        <v>"key_open_bracket":"[",</v>
      </c>
    </row>
    <row r="100" spans="1:12" x14ac:dyDescent="0.3">
      <c r="A100" t="s">
        <v>653</v>
      </c>
      <c r="B100" s="8" t="s">
        <v>717</v>
      </c>
      <c r="C100" s="8" t="s">
        <v>717</v>
      </c>
      <c r="K100" t="str">
        <f t="shared" si="3"/>
        <v>"key_back_slash":"\\",</v>
      </c>
      <c r="L100" t="str">
        <f t="shared" si="4"/>
        <v>"key_back_slash":"\\",</v>
      </c>
    </row>
    <row r="101" spans="1:12" x14ac:dyDescent="0.3">
      <c r="A101" t="s">
        <v>654</v>
      </c>
      <c r="B101" t="s">
        <v>706</v>
      </c>
      <c r="C101" t="s">
        <v>706</v>
      </c>
      <c r="K101" t="str">
        <f t="shared" si="3"/>
        <v>"key_close_braket":"]",</v>
      </c>
      <c r="L101" t="str">
        <f t="shared" si="4"/>
        <v>"key_close_braket":"]",</v>
      </c>
    </row>
    <row r="102" spans="1:12" x14ac:dyDescent="0.3">
      <c r="A102" t="s">
        <v>655</v>
      </c>
      <c r="B102" s="1" t="s">
        <v>707</v>
      </c>
      <c r="C102" s="1" t="s">
        <v>707</v>
      </c>
      <c r="K102" t="str">
        <f t="shared" si="3"/>
        <v>"key_single_quote":"'"}</v>
      </c>
      <c r="L102" t="str">
        <f t="shared" si="4"/>
        <v>"key_single_quote":"'"}</v>
      </c>
    </row>
    <row r="103" spans="1:12" x14ac:dyDescent="0.3">
      <c r="K103" t="str">
        <f t="shared" si="3"/>
        <v/>
      </c>
      <c r="L103" t="str">
        <f t="shared" si="4"/>
        <v/>
      </c>
    </row>
    <row r="104" spans="1:12" x14ac:dyDescent="0.3">
      <c r="K104" t="str">
        <f t="shared" si="3"/>
        <v/>
      </c>
      <c r="L104" t="str">
        <f t="shared" si="4"/>
        <v/>
      </c>
    </row>
    <row r="105" spans="1:12" x14ac:dyDescent="0.3">
      <c r="K105" t="str">
        <f t="shared" si="3"/>
        <v/>
      </c>
      <c r="L105" t="str">
        <f t="shared" si="4"/>
        <v/>
      </c>
    </row>
    <row r="106" spans="1:12" x14ac:dyDescent="0.3">
      <c r="K106" t="str">
        <f t="shared" si="3"/>
        <v/>
      </c>
      <c r="L106" t="str">
        <f t="shared" si="4"/>
        <v/>
      </c>
    </row>
    <row r="107" spans="1:12" x14ac:dyDescent="0.3">
      <c r="K107" t="str">
        <f t="shared" si="3"/>
        <v/>
      </c>
      <c r="L107" t="str">
        <f t="shared" si="4"/>
        <v/>
      </c>
    </row>
    <row r="108" spans="1:12" x14ac:dyDescent="0.3">
      <c r="K108" t="str">
        <f t="shared" si="3"/>
        <v/>
      </c>
      <c r="L108" t="str">
        <f t="shared" si="4"/>
        <v/>
      </c>
    </row>
    <row r="109" spans="1:12" x14ac:dyDescent="0.3">
      <c r="K109" t="str">
        <f t="shared" si="3"/>
        <v/>
      </c>
      <c r="L109" t="str">
        <f t="shared" si="4"/>
        <v/>
      </c>
    </row>
    <row r="110" spans="1:12" x14ac:dyDescent="0.3">
      <c r="K110" t="str">
        <f t="shared" si="3"/>
        <v/>
      </c>
      <c r="L110" t="str">
        <f t="shared" si="4"/>
        <v/>
      </c>
    </row>
    <row r="111" spans="1:12" x14ac:dyDescent="0.3">
      <c r="K111" t="str">
        <f t="shared" si="3"/>
        <v/>
      </c>
      <c r="L111" t="str">
        <f t="shared" si="4"/>
        <v/>
      </c>
    </row>
    <row r="112" spans="1:12" x14ac:dyDescent="0.3">
      <c r="K112" t="str">
        <f t="shared" si="3"/>
        <v/>
      </c>
      <c r="L112" t="str">
        <f t="shared" si="4"/>
        <v/>
      </c>
    </row>
    <row r="113" spans="11:12" x14ac:dyDescent="0.3">
      <c r="K113" t="str">
        <f t="shared" si="3"/>
        <v/>
      </c>
      <c r="L113" t="str">
        <f t="shared" si="4"/>
        <v/>
      </c>
    </row>
    <row r="114" spans="11:12" x14ac:dyDescent="0.3">
      <c r="K114" t="str">
        <f t="shared" si="3"/>
        <v/>
      </c>
      <c r="L114" t="str">
        <f t="shared" si="4"/>
        <v/>
      </c>
    </row>
    <row r="115" spans="11:12" x14ac:dyDescent="0.3">
      <c r="K115" t="str">
        <f t="shared" si="3"/>
        <v/>
      </c>
      <c r="L115" t="str">
        <f t="shared" si="4"/>
        <v/>
      </c>
    </row>
    <row r="116" spans="11:12" x14ac:dyDescent="0.3">
      <c r="K116" t="str">
        <f t="shared" si="3"/>
        <v/>
      </c>
      <c r="L116" t="str">
        <f t="shared" si="4"/>
        <v/>
      </c>
    </row>
    <row r="117" spans="11:12" x14ac:dyDescent="0.3">
      <c r="K117" t="str">
        <f t="shared" si="3"/>
        <v/>
      </c>
      <c r="L117" t="str">
        <f t="shared" si="4"/>
        <v/>
      </c>
    </row>
    <row r="118" spans="11:12" x14ac:dyDescent="0.3">
      <c r="K118" t="str">
        <f t="shared" si="3"/>
        <v/>
      </c>
      <c r="L118" t="str">
        <f t="shared" si="4"/>
        <v/>
      </c>
    </row>
    <row r="119" spans="11:12" x14ac:dyDescent="0.3">
      <c r="K119" t="str">
        <f t="shared" si="3"/>
        <v/>
      </c>
      <c r="L119" t="str">
        <f t="shared" si="4"/>
        <v/>
      </c>
    </row>
    <row r="120" spans="11:12" x14ac:dyDescent="0.3">
      <c r="K120" t="str">
        <f t="shared" si="3"/>
        <v/>
      </c>
      <c r="L120" t="str">
        <f t="shared" si="4"/>
        <v/>
      </c>
    </row>
    <row r="121" spans="11:12" x14ac:dyDescent="0.3">
      <c r="K121" t="str">
        <f t="shared" si="3"/>
        <v/>
      </c>
      <c r="L121" t="str">
        <f t="shared" si="4"/>
        <v/>
      </c>
    </row>
    <row r="122" spans="11:12" x14ac:dyDescent="0.3">
      <c r="K122" t="str">
        <f t="shared" si="3"/>
        <v/>
      </c>
      <c r="L122" t="str">
        <f t="shared" si="4"/>
        <v/>
      </c>
    </row>
    <row r="123" spans="11:12" x14ac:dyDescent="0.3">
      <c r="K123" t="str">
        <f t="shared" si="3"/>
        <v/>
      </c>
      <c r="L123" t="str">
        <f t="shared" si="4"/>
        <v/>
      </c>
    </row>
    <row r="124" spans="11:12" x14ac:dyDescent="0.3">
      <c r="K124" t="str">
        <f t="shared" si="3"/>
        <v/>
      </c>
      <c r="L124" t="str">
        <f t="shared" si="4"/>
        <v/>
      </c>
    </row>
    <row r="125" spans="11:12" x14ac:dyDescent="0.3">
      <c r="K125" t="str">
        <f t="shared" si="3"/>
        <v/>
      </c>
      <c r="L125" t="str">
        <f t="shared" si="4"/>
        <v/>
      </c>
    </row>
    <row r="126" spans="11:12" x14ac:dyDescent="0.3">
      <c r="K126" t="str">
        <f t="shared" si="3"/>
        <v/>
      </c>
      <c r="L126" t="str">
        <f t="shared" si="4"/>
        <v/>
      </c>
    </row>
    <row r="127" spans="11:12" x14ac:dyDescent="0.3">
      <c r="K127" t="str">
        <f t="shared" si="3"/>
        <v/>
      </c>
      <c r="L127" t="str">
        <f t="shared" si="4"/>
        <v/>
      </c>
    </row>
    <row r="128" spans="11:12" x14ac:dyDescent="0.3">
      <c r="K128" t="str">
        <f t="shared" si="3"/>
        <v/>
      </c>
      <c r="L128" t="str">
        <f t="shared" si="4"/>
        <v/>
      </c>
    </row>
    <row r="129" spans="11:12" x14ac:dyDescent="0.3">
      <c r="K129" t="str">
        <f t="shared" si="3"/>
        <v/>
      </c>
      <c r="L129" t="str">
        <f t="shared" si="4"/>
        <v/>
      </c>
    </row>
    <row r="130" spans="11:12" x14ac:dyDescent="0.3">
      <c r="K130" t="str">
        <f t="shared" si="3"/>
        <v/>
      </c>
      <c r="L130" t="str">
        <f t="shared" si="4"/>
        <v/>
      </c>
    </row>
    <row r="131" spans="11:12" x14ac:dyDescent="0.3">
      <c r="K131" t="str">
        <f t="shared" si="3"/>
        <v/>
      </c>
      <c r="L131" t="str">
        <f t="shared" si="4"/>
        <v/>
      </c>
    </row>
    <row r="132" spans="11:12" x14ac:dyDescent="0.3">
      <c r="K132" t="str">
        <f t="shared" si="3"/>
        <v/>
      </c>
      <c r="L132" t="str">
        <f t="shared" si="4"/>
        <v/>
      </c>
    </row>
    <row r="133" spans="11:12" x14ac:dyDescent="0.3">
      <c r="K133" t="str">
        <f t="shared" si="3"/>
        <v/>
      </c>
      <c r="L133" t="str">
        <f t="shared" si="4"/>
        <v/>
      </c>
    </row>
    <row r="134" spans="11:12" x14ac:dyDescent="0.3">
      <c r="K134" t="str">
        <f t="shared" si="3"/>
        <v/>
      </c>
      <c r="L134" t="str">
        <f t="shared" si="4"/>
        <v/>
      </c>
    </row>
    <row r="135" spans="11:12" x14ac:dyDescent="0.3">
      <c r="K135" t="str">
        <f t="shared" ref="K135:K143" si="5">IF(ISBLANK($A135),"",""""&amp;$A135&amp;""":"""&amp;B135&amp;""""&amp;IF(ISBLANK(A136),"}",","))</f>
        <v/>
      </c>
      <c r="L135" t="str">
        <f t="shared" ref="L135:L143" si="6">IF(ISBLANK($A135),"",""""&amp;$A135&amp;""":"""&amp;C135&amp;""""&amp;IF(ISBLANK(B136),"}",","))</f>
        <v/>
      </c>
    </row>
    <row r="136" spans="11:12" x14ac:dyDescent="0.3">
      <c r="K136" t="str">
        <f t="shared" si="5"/>
        <v/>
      </c>
      <c r="L136" t="str">
        <f t="shared" si="6"/>
        <v/>
      </c>
    </row>
    <row r="137" spans="11:12" x14ac:dyDescent="0.3">
      <c r="K137" t="str">
        <f t="shared" si="5"/>
        <v/>
      </c>
      <c r="L137" t="str">
        <f t="shared" si="6"/>
        <v/>
      </c>
    </row>
    <row r="138" spans="11:12" x14ac:dyDescent="0.3">
      <c r="K138" t="str">
        <f t="shared" si="5"/>
        <v/>
      </c>
      <c r="L138" t="str">
        <f t="shared" si="6"/>
        <v/>
      </c>
    </row>
    <row r="139" spans="11:12" x14ac:dyDescent="0.3">
      <c r="K139" t="str">
        <f t="shared" si="5"/>
        <v/>
      </c>
      <c r="L139" t="str">
        <f t="shared" si="6"/>
        <v/>
      </c>
    </row>
    <row r="140" spans="11:12" x14ac:dyDescent="0.3">
      <c r="K140" t="str">
        <f t="shared" si="5"/>
        <v/>
      </c>
      <c r="L140" t="str">
        <f t="shared" si="6"/>
        <v/>
      </c>
    </row>
    <row r="141" spans="11:12" x14ac:dyDescent="0.3">
      <c r="K141" t="str">
        <f t="shared" si="5"/>
        <v/>
      </c>
      <c r="L141" t="str">
        <f t="shared" si="6"/>
        <v/>
      </c>
    </row>
    <row r="142" spans="11:12" x14ac:dyDescent="0.3">
      <c r="K142" t="str">
        <f t="shared" si="5"/>
        <v/>
      </c>
      <c r="L142" t="str">
        <f t="shared" si="6"/>
        <v/>
      </c>
    </row>
    <row r="143" spans="11:12" x14ac:dyDescent="0.3">
      <c r="K143" t="str">
        <f t="shared" si="5"/>
        <v/>
      </c>
      <c r="L143" t="str">
        <f t="shared" si="6"/>
        <v/>
      </c>
    </row>
  </sheetData>
  <conditionalFormatting sqref="A1:A1048576">
    <cfRule type="duplicateValues" dxfId="2" priority="1"/>
  </conditionalFormatting>
  <hyperlinks>
    <hyperlink ref="B100" r:id="rId1" xr:uid="{0216ED80-07BE-4655-B2EB-A40A7FBCB22C}"/>
    <hyperlink ref="C100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105"/>
  <sheetViews>
    <sheetView topLeftCell="E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8" bestFit="1" customWidth="1"/>
    <col min="12" max="12" width="21.44140625" bestFit="1" customWidth="1"/>
    <col min="16" max="16" width="31.33203125" customWidth="1"/>
  </cols>
  <sheetData>
    <row r="1" spans="1:20" x14ac:dyDescent="0.3">
      <c r="E1" s="9" t="s">
        <v>341</v>
      </c>
      <c r="F1" s="9"/>
      <c r="G1" s="9"/>
      <c r="H1" s="9"/>
      <c r="I1" s="9"/>
      <c r="J1" s="9"/>
      <c r="L1" s="9" t="s">
        <v>329</v>
      </c>
      <c r="M1" s="9"/>
      <c r="N1" s="9" t="s">
        <v>330</v>
      </c>
      <c r="O1" s="9"/>
      <c r="T1" t="s">
        <v>735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6" t="s">
        <v>345</v>
      </c>
      <c r="L2" s="6" t="s">
        <v>24</v>
      </c>
      <c r="M2" s="6" t="s">
        <v>346</v>
      </c>
      <c r="N2" s="6" t="s">
        <v>24</v>
      </c>
      <c r="O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t="s">
        <v>472</v>
      </c>
      <c r="L3" t="s">
        <v>115</v>
      </c>
      <c r="M3" t="s">
        <v>192</v>
      </c>
      <c r="N3" t="s">
        <v>475</v>
      </c>
      <c r="O3" t="s">
        <v>518</v>
      </c>
      <c r="S3" t="str">
        <f>IF(B3,"[{""text"":"""&amp;L3&amp;"""","")</f>
        <v>[{"text":"File"</v>
      </c>
      <c r="T3" t="str">
        <f>"[{""text"":"""&amp;L3&amp;""",""moreInfo"":"""&amp;M3&amp;""""</f>
        <v>[{"text":"File","moreInfo":"Menu gives options to manage your files"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/>
      <c r="H4" s="6" t="s">
        <v>244</v>
      </c>
      <c r="I4" s="7">
        <f>IF(ISBLANK(H4), "", VLOOKUP(LOWER(H4), javascriptKeycodes!A:B, 2, FALSE))</f>
        <v>67</v>
      </c>
      <c r="J4" s="7" t="str">
        <f>IF(ISBLANK(H4), "", VLOOKUP(LOWER(H4), javascriptKeycodes!A:C, 3, FALSE))</f>
        <v>key_c</v>
      </c>
      <c r="K4" t="s">
        <v>272</v>
      </c>
      <c r="L4" t="s">
        <v>200</v>
      </c>
      <c r="M4" t="s">
        <v>199</v>
      </c>
      <c r="N4" t="s">
        <v>476</v>
      </c>
      <c r="O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t="s">
        <v>272</v>
      </c>
      <c r="L5" t="s">
        <v>137</v>
      </c>
      <c r="M5" t="s">
        <v>197</v>
      </c>
      <c r="N5" t="s">
        <v>477</v>
      </c>
      <c r="O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t="s">
        <v>272</v>
      </c>
      <c r="L6" t="s">
        <v>138</v>
      </c>
      <c r="M6" t="s">
        <v>198</v>
      </c>
      <c r="N6" t="s">
        <v>478</v>
      </c>
      <c r="O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t="s">
        <v>272</v>
      </c>
      <c r="L7" t="s">
        <v>140</v>
      </c>
      <c r="M7" t="s">
        <v>193</v>
      </c>
      <c r="N7" t="s">
        <v>479</v>
      </c>
      <c r="O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t="s">
        <v>272</v>
      </c>
      <c r="L8" t="s">
        <v>139</v>
      </c>
      <c r="M8" t="s">
        <v>194</v>
      </c>
      <c r="N8" t="s">
        <v>480</v>
      </c>
      <c r="O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t="s">
        <v>272</v>
      </c>
      <c r="L9" t="s">
        <v>120</v>
      </c>
      <c r="M9" t="s">
        <v>195</v>
      </c>
      <c r="N9" t="s">
        <v>481</v>
      </c>
      <c r="O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t="s">
        <v>472</v>
      </c>
      <c r="L10" t="s">
        <v>136</v>
      </c>
      <c r="M10" t="s">
        <v>196</v>
      </c>
      <c r="N10" t="s">
        <v>482</v>
      </c>
      <c r="O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t="s">
        <v>272</v>
      </c>
      <c r="L11" t="s">
        <v>234</v>
      </c>
      <c r="M11" t="s">
        <v>235</v>
      </c>
      <c r="N11" t="s">
        <v>483</v>
      </c>
      <c r="O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t="s">
        <v>272</v>
      </c>
      <c r="L12" t="s">
        <v>201</v>
      </c>
      <c r="M12" t="s">
        <v>203</v>
      </c>
      <c r="N12" t="s">
        <v>484</v>
      </c>
      <c r="O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t="s">
        <v>272</v>
      </c>
      <c r="L13" t="s">
        <v>202</v>
      </c>
      <c r="M13" t="s">
        <v>204</v>
      </c>
      <c r="N13" t="s">
        <v>485</v>
      </c>
      <c r="O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t="s">
        <v>272</v>
      </c>
      <c r="L14" t="s">
        <v>283</v>
      </c>
      <c r="M14" t="s">
        <v>284</v>
      </c>
      <c r="N14" t="s">
        <v>486</v>
      </c>
      <c r="O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t="s">
        <v>272</v>
      </c>
      <c r="L15" t="s">
        <v>236</v>
      </c>
      <c r="M15" t="s">
        <v>205</v>
      </c>
      <c r="N15" t="s">
        <v>487</v>
      </c>
      <c r="O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t="s">
        <v>272</v>
      </c>
      <c r="L16" t="s">
        <v>237</v>
      </c>
      <c r="M16" t="s">
        <v>206</v>
      </c>
      <c r="N16" t="s">
        <v>488</v>
      </c>
      <c r="O16" t="s">
        <v>531</v>
      </c>
    </row>
    <row r="17" spans="1:15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t="s">
        <v>472</v>
      </c>
      <c r="L17" t="s">
        <v>123</v>
      </c>
      <c r="M17" t="s">
        <v>214</v>
      </c>
      <c r="N17" t="s">
        <v>489</v>
      </c>
      <c r="O17" t="s">
        <v>532</v>
      </c>
    </row>
    <row r="18" spans="1:15" x14ac:dyDescent="0.3">
      <c r="A18" t="s">
        <v>450</v>
      </c>
      <c r="B18" t="b">
        <v>0</v>
      </c>
      <c r="C18" t="b">
        <v>0</v>
      </c>
      <c r="D18" t="s">
        <v>271</v>
      </c>
      <c r="E18" t="b">
        <v>1</v>
      </c>
      <c r="F18" s="6"/>
      <c r="G18" s="6"/>
      <c r="H18" s="6" t="s">
        <v>264</v>
      </c>
      <c r="I18" s="7">
        <f>IF(ISBLANK(H18), "", VLOOKUP(LOWER(H18), javascriptKeycodes!A:B, 2, FALSE))</f>
        <v>65</v>
      </c>
      <c r="J18" s="7" t="str">
        <f>IF(ISBLANK(H18), "", VLOOKUP(LOWER(H18), javascriptKeycodes!A:C, 3, FALSE))</f>
        <v>key_a</v>
      </c>
      <c r="K18" t="s">
        <v>272</v>
      </c>
      <c r="L18" t="s">
        <v>268</v>
      </c>
      <c r="M18" t="s">
        <v>473</v>
      </c>
      <c r="N18" t="s">
        <v>490</v>
      </c>
      <c r="O18" t="s">
        <v>533</v>
      </c>
    </row>
    <row r="19" spans="1:15" x14ac:dyDescent="0.3">
      <c r="A19" t="s">
        <v>451</v>
      </c>
      <c r="B19" t="b">
        <v>0</v>
      </c>
      <c r="C19" t="b">
        <v>1</v>
      </c>
      <c r="D19" t="s">
        <v>270</v>
      </c>
      <c r="E19" t="b">
        <v>1</v>
      </c>
      <c r="F19" s="6"/>
      <c r="G19" s="7" t="b">
        <v>1</v>
      </c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t="s">
        <v>272</v>
      </c>
      <c r="L19" t="s">
        <v>269</v>
      </c>
      <c r="M19" t="s">
        <v>474</v>
      </c>
      <c r="N19" t="s">
        <v>491</v>
      </c>
      <c r="O19" t="s">
        <v>534</v>
      </c>
    </row>
    <row r="20" spans="1:15" x14ac:dyDescent="0.3">
      <c r="A20" t="s">
        <v>452</v>
      </c>
      <c r="B20" t="b">
        <v>0</v>
      </c>
      <c r="C20" t="b">
        <v>0</v>
      </c>
      <c r="D20" t="s">
        <v>161</v>
      </c>
      <c r="E20" t="b">
        <v>1</v>
      </c>
      <c r="F20" s="6"/>
      <c r="G20" s="6"/>
      <c r="H20" s="6" t="s">
        <v>256</v>
      </c>
      <c r="I20" s="7">
        <f>IF(ISBLANK(H20), "", VLOOKUP(LOWER(H20), javascriptKeycodes!A:B, 2, FALSE))</f>
        <v>88</v>
      </c>
      <c r="J20" s="7" t="str">
        <f>IF(ISBLANK(H20), "", VLOOKUP(LOWER(H20), javascriptKeycodes!A:C, 3, FALSE))</f>
        <v>key_x</v>
      </c>
      <c r="K20" t="s">
        <v>272</v>
      </c>
      <c r="L20" t="s">
        <v>124</v>
      </c>
      <c r="M20" t="s">
        <v>208</v>
      </c>
      <c r="N20" t="s">
        <v>492</v>
      </c>
      <c r="O20" t="s">
        <v>535</v>
      </c>
    </row>
    <row r="21" spans="1:15" x14ac:dyDescent="0.3">
      <c r="A21" t="s">
        <v>433</v>
      </c>
      <c r="B21" t="b">
        <v>0</v>
      </c>
      <c r="C21" t="b">
        <v>0</v>
      </c>
      <c r="D21" t="s">
        <v>162</v>
      </c>
      <c r="E21" t="b">
        <v>1</v>
      </c>
      <c r="F21" s="6"/>
      <c r="G21" s="6"/>
      <c r="H21" s="6" t="s">
        <v>244</v>
      </c>
      <c r="I21" s="7">
        <f>IF(ISBLANK(H21), "", VLOOKUP(LOWER(H21), javascriptKeycodes!A:B, 2, FALSE))</f>
        <v>67</v>
      </c>
      <c r="J21" s="7" t="str">
        <f>IF(ISBLANK(H21), "", VLOOKUP(LOWER(H21), javascriptKeycodes!A:C, 3, FALSE))</f>
        <v>key_c</v>
      </c>
      <c r="K21" t="s">
        <v>272</v>
      </c>
      <c r="L21" t="s">
        <v>125</v>
      </c>
      <c r="M21" t="s">
        <v>207</v>
      </c>
      <c r="N21" t="s">
        <v>493</v>
      </c>
      <c r="O21" t="s">
        <v>536</v>
      </c>
    </row>
    <row r="22" spans="1:15" x14ac:dyDescent="0.3">
      <c r="A22" t="s">
        <v>453</v>
      </c>
      <c r="B22" t="b">
        <v>0</v>
      </c>
      <c r="C22" t="b">
        <v>0</v>
      </c>
      <c r="D22" t="s">
        <v>163</v>
      </c>
      <c r="E22" t="b">
        <v>1</v>
      </c>
      <c r="F22" s="6"/>
      <c r="G22" s="6"/>
      <c r="H22" s="6" t="s">
        <v>257</v>
      </c>
      <c r="I22" s="7">
        <f>IF(ISBLANK(H22), "", VLOOKUP(LOWER(H22), javascriptKeycodes!A:B, 2, FALSE))</f>
        <v>86</v>
      </c>
      <c r="J22" s="7" t="str">
        <f>IF(ISBLANK(H22), "", VLOOKUP(LOWER(H22), javascriptKeycodes!A:C, 3, FALSE))</f>
        <v>key_v</v>
      </c>
      <c r="K22" t="s">
        <v>272</v>
      </c>
      <c r="L22" t="s">
        <v>126</v>
      </c>
      <c r="M22" t="s">
        <v>209</v>
      </c>
      <c r="N22" t="s">
        <v>494</v>
      </c>
      <c r="O22" t="s">
        <v>537</v>
      </c>
    </row>
    <row r="23" spans="1:15" x14ac:dyDescent="0.3">
      <c r="A23" t="s">
        <v>454</v>
      </c>
      <c r="B23" t="b">
        <v>0</v>
      </c>
      <c r="C23" t="b">
        <v>0</v>
      </c>
      <c r="D23" t="s">
        <v>165</v>
      </c>
      <c r="E23" t="b">
        <v>1</v>
      </c>
      <c r="F23" s="6"/>
      <c r="G23" s="7" t="b">
        <v>1</v>
      </c>
      <c r="H23" s="6" t="s">
        <v>244</v>
      </c>
      <c r="I23" s="7">
        <f>IF(ISBLANK(H23), "", VLOOKUP(LOWER(H23), javascriptKeycodes!A:B, 2, FALSE))</f>
        <v>67</v>
      </c>
      <c r="J23" s="7" t="str">
        <f>IF(ISBLANK(H23), "", VLOOKUP(LOWER(H23), javascriptKeycodes!A:C, 3, FALSE))</f>
        <v>key_c</v>
      </c>
      <c r="K23" t="s">
        <v>272</v>
      </c>
      <c r="L23" t="s">
        <v>164</v>
      </c>
      <c r="M23" t="s">
        <v>210</v>
      </c>
      <c r="N23" t="s">
        <v>495</v>
      </c>
      <c r="O23" t="s">
        <v>538</v>
      </c>
    </row>
    <row r="24" spans="1:15" x14ac:dyDescent="0.3">
      <c r="A24" t="s">
        <v>455</v>
      </c>
      <c r="B24" t="b">
        <v>0</v>
      </c>
      <c r="C24" t="b">
        <v>1</v>
      </c>
      <c r="D24" t="s">
        <v>166</v>
      </c>
      <c r="F24" s="6"/>
      <c r="G24" s="6"/>
      <c r="H24" s="6" t="s">
        <v>7</v>
      </c>
      <c r="I24" s="7">
        <f>IF(ISBLANK(H24), "", VLOOKUP(LOWER(H24), javascriptKeycodes!A:B, 2, FALSE))</f>
        <v>46</v>
      </c>
      <c r="J24" s="7" t="str">
        <f>IF(ISBLANK(H24), "", VLOOKUP(LOWER(H24), javascriptKeycodes!A:C, 3, FALSE))</f>
        <v>key_delete</v>
      </c>
      <c r="K24" t="s">
        <v>272</v>
      </c>
      <c r="L24" t="s">
        <v>33</v>
      </c>
      <c r="M24" t="s">
        <v>211</v>
      </c>
      <c r="N24" t="s">
        <v>496</v>
      </c>
      <c r="O24" t="s">
        <v>539</v>
      </c>
    </row>
    <row r="25" spans="1:15" x14ac:dyDescent="0.3">
      <c r="A25" t="s">
        <v>456</v>
      </c>
      <c r="B25" t="b">
        <v>0</v>
      </c>
      <c r="C25" t="b">
        <v>0</v>
      </c>
      <c r="D25" t="s">
        <v>167</v>
      </c>
      <c r="E25" t="b">
        <v>1</v>
      </c>
      <c r="F25" s="6"/>
      <c r="G25" s="6"/>
      <c r="H25" s="6" t="s">
        <v>258</v>
      </c>
      <c r="I25" s="7">
        <f>IF(ISBLANK(H25), "", VLOOKUP(LOWER(H25), javascriptKeycodes!A:B, 2, FALSE))</f>
        <v>90</v>
      </c>
      <c r="J25" s="7" t="str">
        <f>IF(ISBLANK(H25), "", VLOOKUP(LOWER(H25), javascriptKeycodes!A:C, 3, FALSE))</f>
        <v>key_z</v>
      </c>
      <c r="K25" t="s">
        <v>272</v>
      </c>
      <c r="L25" t="s">
        <v>143</v>
      </c>
      <c r="M25" t="s">
        <v>212</v>
      </c>
      <c r="N25" t="s">
        <v>497</v>
      </c>
      <c r="O25" t="s">
        <v>540</v>
      </c>
    </row>
    <row r="26" spans="1:15" x14ac:dyDescent="0.3">
      <c r="A26" t="s">
        <v>457</v>
      </c>
      <c r="B26" t="b">
        <v>0</v>
      </c>
      <c r="C26" t="b">
        <v>0</v>
      </c>
      <c r="D26" t="s">
        <v>168</v>
      </c>
      <c r="E26" t="b">
        <v>1</v>
      </c>
      <c r="F26" s="6"/>
      <c r="G26" s="7" t="b">
        <v>1</v>
      </c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t="s">
        <v>272</v>
      </c>
      <c r="L26" t="s">
        <v>144</v>
      </c>
      <c r="M26" t="s">
        <v>213</v>
      </c>
      <c r="N26" t="s">
        <v>498</v>
      </c>
      <c r="O26" t="s">
        <v>541</v>
      </c>
    </row>
    <row r="27" spans="1:15" x14ac:dyDescent="0.3">
      <c r="A27" t="s">
        <v>458</v>
      </c>
      <c r="B27" t="b">
        <v>1</v>
      </c>
      <c r="C27" t="b">
        <v>0</v>
      </c>
      <c r="D27" t="s">
        <v>189</v>
      </c>
      <c r="F27" s="7" t="b">
        <v>1</v>
      </c>
      <c r="G27" s="6"/>
      <c r="H27" s="6" t="s">
        <v>257</v>
      </c>
      <c r="I27" s="7">
        <f>IF(ISBLANK(H27), "", VLOOKUP(LOWER(H27), javascriptKeycodes!A:B, 2, FALSE))</f>
        <v>86</v>
      </c>
      <c r="J27" s="7" t="str">
        <f>IF(ISBLANK(H27), "", VLOOKUP(LOWER(H27), javascriptKeycodes!A:C, 3, FALSE))</f>
        <v>key_v</v>
      </c>
      <c r="K27" t="s">
        <v>472</v>
      </c>
      <c r="L27" t="s">
        <v>127</v>
      </c>
      <c r="M27" t="s">
        <v>215</v>
      </c>
      <c r="N27" t="s">
        <v>499</v>
      </c>
      <c r="O27" t="s">
        <v>542</v>
      </c>
    </row>
    <row r="28" spans="1:15" x14ac:dyDescent="0.3">
      <c r="A28" t="s">
        <v>459</v>
      </c>
      <c r="B28" t="b">
        <v>0</v>
      </c>
      <c r="C28" t="b">
        <v>0</v>
      </c>
      <c r="D28" t="s">
        <v>169</v>
      </c>
      <c r="E28" t="b">
        <v>1</v>
      </c>
      <c r="F28" s="6"/>
      <c r="G28" s="6"/>
      <c r="H28" s="6" t="s">
        <v>404</v>
      </c>
      <c r="I28" s="7">
        <f>IF(ISBLANK(H28), "", VLOOKUP(LOWER(H28), javascriptKeycodes!A:B, 2, FALSE))</f>
        <v>107</v>
      </c>
      <c r="J28" s="7" t="str">
        <f>IF(ISBLANK(H28), "", VLOOKUP(LOWER(H28), javascriptKeycodes!A:C, 3, FALSE))</f>
        <v>key_add</v>
      </c>
      <c r="K28" t="s">
        <v>272</v>
      </c>
      <c r="L28" t="s">
        <v>129</v>
      </c>
      <c r="M28" t="s">
        <v>216</v>
      </c>
      <c r="N28" t="s">
        <v>500</v>
      </c>
      <c r="O28" t="s">
        <v>543</v>
      </c>
    </row>
    <row r="29" spans="1:15" x14ac:dyDescent="0.3">
      <c r="A29" t="s">
        <v>460</v>
      </c>
      <c r="B29" t="b">
        <v>0</v>
      </c>
      <c r="C29" t="b">
        <v>0</v>
      </c>
      <c r="D29" t="s">
        <v>170</v>
      </c>
      <c r="E29" t="b">
        <v>1</v>
      </c>
      <c r="F29" s="6"/>
      <c r="G29" s="6"/>
      <c r="H29" s="6" t="s">
        <v>405</v>
      </c>
      <c r="I29" s="7">
        <f>IF(ISBLANK(H29), "", VLOOKUP(LOWER(H29), javascriptKeycodes!A:B, 2, FALSE))</f>
        <v>109</v>
      </c>
      <c r="J29" s="7" t="str">
        <f>IF(ISBLANK(H29), "", VLOOKUP(LOWER(H29), javascriptKeycodes!A:C, 3, FALSE))</f>
        <v>key_sub</v>
      </c>
      <c r="K29" t="s">
        <v>272</v>
      </c>
      <c r="L29" t="s">
        <v>128</v>
      </c>
      <c r="M29" t="s">
        <v>217</v>
      </c>
      <c r="N29" t="s">
        <v>501</v>
      </c>
      <c r="O29" t="s">
        <v>544</v>
      </c>
    </row>
    <row r="30" spans="1:15" x14ac:dyDescent="0.3">
      <c r="A30" t="s">
        <v>461</v>
      </c>
      <c r="B30" t="b">
        <v>0</v>
      </c>
      <c r="C30" t="b">
        <v>0</v>
      </c>
      <c r="D30" t="s">
        <v>172</v>
      </c>
      <c r="E30" t="b">
        <v>1</v>
      </c>
      <c r="F30" s="6"/>
      <c r="G30" s="6"/>
      <c r="H30" s="6" t="s">
        <v>719</v>
      </c>
      <c r="I30" s="7">
        <f>IF(ISBLANK(H30), "", VLOOKUP(LOWER(H30), javascriptKeycodes!A:B, 2, FALSE))</f>
        <v>48</v>
      </c>
      <c r="J30" s="7" t="str">
        <f>IF(ISBLANK(H30), "", VLOOKUP(LOWER(H30), javascriptKeycodes!A:C, 3, FALSE))</f>
        <v>key_0</v>
      </c>
      <c r="K30" t="s">
        <v>272</v>
      </c>
      <c r="L30" t="s">
        <v>131</v>
      </c>
      <c r="M30" t="s">
        <v>218</v>
      </c>
      <c r="N30" t="s">
        <v>502</v>
      </c>
      <c r="O30" t="s">
        <v>545</v>
      </c>
    </row>
    <row r="31" spans="1:15" x14ac:dyDescent="0.3">
      <c r="A31" t="s">
        <v>442</v>
      </c>
      <c r="B31" t="b">
        <v>0</v>
      </c>
      <c r="C31" t="b">
        <v>1</v>
      </c>
      <c r="D31" t="s">
        <v>171</v>
      </c>
      <c r="E31" t="b">
        <v>1</v>
      </c>
      <c r="F31" s="6"/>
      <c r="G31" s="7" t="b">
        <v>1</v>
      </c>
      <c r="H31" s="7" t="s">
        <v>719</v>
      </c>
      <c r="I31" s="7">
        <f>IF(ISBLANK(H31), "", VLOOKUP(LOWER(H31), javascriptKeycodes!A:B, 2, FALSE))</f>
        <v>48</v>
      </c>
      <c r="J31" s="7" t="str">
        <f>IF(ISBLANK(H31), "", VLOOKUP(LOWER(H31), javascriptKeycodes!A:C, 3, FALSE))</f>
        <v>key_0</v>
      </c>
      <c r="K31" t="s">
        <v>272</v>
      </c>
      <c r="L31" t="s">
        <v>130</v>
      </c>
      <c r="M31" t="s">
        <v>219</v>
      </c>
      <c r="N31" t="s">
        <v>503</v>
      </c>
      <c r="O31" t="s">
        <v>546</v>
      </c>
    </row>
    <row r="32" spans="1:15" x14ac:dyDescent="0.3">
      <c r="A32" t="s">
        <v>462</v>
      </c>
      <c r="B32" t="b">
        <v>0</v>
      </c>
      <c r="C32" t="b">
        <v>0</v>
      </c>
      <c r="D32" t="s">
        <v>173</v>
      </c>
      <c r="E32" t="b">
        <v>1</v>
      </c>
      <c r="F32" s="6"/>
      <c r="G32" s="6"/>
      <c r="H32" s="6" t="s">
        <v>247</v>
      </c>
      <c r="I32" s="7">
        <f>IF(ISBLANK(H32), "", VLOOKUP(LOWER(H32), javascriptKeycodes!A:B, 2, FALSE))</f>
        <v>77</v>
      </c>
      <c r="J32" s="7" t="str">
        <f>IF(ISBLANK(H32), "", VLOOKUP(LOWER(H32), javascriptKeycodes!A:C, 3, FALSE))</f>
        <v>key_m</v>
      </c>
      <c r="K32" t="s">
        <v>272</v>
      </c>
      <c r="L32" t="s">
        <v>145</v>
      </c>
      <c r="M32" t="s">
        <v>220</v>
      </c>
      <c r="N32" t="s">
        <v>504</v>
      </c>
      <c r="O32" t="s">
        <v>547</v>
      </c>
    </row>
    <row r="33" spans="1:15" x14ac:dyDescent="0.3">
      <c r="A33" t="s">
        <v>463</v>
      </c>
      <c r="B33" t="b">
        <v>0</v>
      </c>
      <c r="C33" t="b">
        <v>1</v>
      </c>
      <c r="D33" t="s">
        <v>174</v>
      </c>
      <c r="E33" t="b">
        <v>1</v>
      </c>
      <c r="F33" s="6"/>
      <c r="G33" s="7" t="b">
        <v>1</v>
      </c>
      <c r="H33" s="7" t="s">
        <v>247</v>
      </c>
      <c r="I33" s="7">
        <f>IF(ISBLANK(H33), "", VLOOKUP(LOWER(H33), javascriptKeycodes!A:B, 2, FALSE))</f>
        <v>77</v>
      </c>
      <c r="J33" s="7" t="str">
        <f>IF(ISBLANK(H33), "", VLOOKUP(LOWER(H33), javascriptKeycodes!A:C, 3, FALSE))</f>
        <v>key_m</v>
      </c>
      <c r="K33" t="s">
        <v>272</v>
      </c>
      <c r="L33" t="s">
        <v>146</v>
      </c>
      <c r="M33" t="s">
        <v>221</v>
      </c>
      <c r="N33" t="s">
        <v>505</v>
      </c>
      <c r="O33" t="s">
        <v>548</v>
      </c>
    </row>
    <row r="34" spans="1:15" x14ac:dyDescent="0.3">
      <c r="A34" t="s">
        <v>464</v>
      </c>
      <c r="B34" t="b">
        <v>0</v>
      </c>
      <c r="C34" t="b">
        <v>1</v>
      </c>
      <c r="D34" t="s">
        <v>280</v>
      </c>
      <c r="E34" t="b">
        <v>1</v>
      </c>
      <c r="F34" s="6"/>
      <c r="G34" s="6"/>
      <c r="H34" s="6" t="s">
        <v>250</v>
      </c>
      <c r="I34" s="7">
        <f>IF(ISBLANK(H34), "", VLOOKUP(LOWER(H34), javascriptKeycodes!A:B, 2, FALSE))</f>
        <v>82</v>
      </c>
      <c r="J34" s="7" t="str">
        <f>IF(ISBLANK(H34), "", VLOOKUP(LOWER(H34), javascriptKeycodes!A:C, 3, FALSE))</f>
        <v>key_r</v>
      </c>
      <c r="K34" t="s">
        <v>272</v>
      </c>
      <c r="L34" t="s">
        <v>279</v>
      </c>
      <c r="M34" t="s">
        <v>281</v>
      </c>
      <c r="N34" t="s">
        <v>506</v>
      </c>
      <c r="O34" t="s">
        <v>549</v>
      </c>
    </row>
    <row r="35" spans="1:15" x14ac:dyDescent="0.3">
      <c r="A35" t="s">
        <v>465</v>
      </c>
      <c r="B35" t="b">
        <v>0</v>
      </c>
      <c r="C35" t="b">
        <v>0</v>
      </c>
      <c r="D35" t="s">
        <v>177</v>
      </c>
      <c r="E35" t="b">
        <v>1</v>
      </c>
      <c r="F35" s="6"/>
      <c r="G35" s="6"/>
      <c r="H35" s="6" t="s">
        <v>261</v>
      </c>
      <c r="I35" s="7">
        <f>IF(ISBLANK(H35), "", VLOOKUP(LOWER(H35), javascriptKeycodes!A:B, 2, FALSE))</f>
        <v>70</v>
      </c>
      <c r="J35" s="7" t="str">
        <f>IF(ISBLANK(H35), "", VLOOKUP(LOWER(H35), javascriptKeycodes!A:C, 3, FALSE))</f>
        <v>key_f</v>
      </c>
      <c r="K35" t="s">
        <v>272</v>
      </c>
      <c r="L35" t="s">
        <v>222</v>
      </c>
      <c r="M35" t="s">
        <v>223</v>
      </c>
      <c r="N35" t="s">
        <v>507</v>
      </c>
      <c r="O35" t="s">
        <v>550</v>
      </c>
    </row>
    <row r="36" spans="1:15" x14ac:dyDescent="0.3">
      <c r="A36" t="s">
        <v>466</v>
      </c>
      <c r="B36" t="b">
        <v>0</v>
      </c>
      <c r="C36" t="b">
        <v>0</v>
      </c>
      <c r="D36" t="s">
        <v>176</v>
      </c>
      <c r="E36" t="b">
        <v>1</v>
      </c>
      <c r="F36" s="6"/>
      <c r="G36" s="6"/>
      <c r="H36" s="6" t="s">
        <v>252</v>
      </c>
      <c r="I36" s="7">
        <f>IF(ISBLANK(H36), "", VLOOKUP(LOWER(H36), javascriptKeycodes!A:B, 2, FALSE))</f>
        <v>71</v>
      </c>
      <c r="J36" s="7" t="str">
        <f>IF(ISBLANK(H36), "", VLOOKUP(LOWER(H36), javascriptKeycodes!A:C, 3, FALSE))</f>
        <v>key_g</v>
      </c>
      <c r="K36" t="s">
        <v>272</v>
      </c>
      <c r="L36" t="s">
        <v>141</v>
      </c>
      <c r="M36" t="s">
        <v>224</v>
      </c>
      <c r="N36" t="s">
        <v>508</v>
      </c>
      <c r="O36" t="s">
        <v>551</v>
      </c>
    </row>
    <row r="37" spans="1:15" x14ac:dyDescent="0.3">
      <c r="A37" t="s">
        <v>467</v>
      </c>
      <c r="B37" t="b">
        <v>0</v>
      </c>
      <c r="C37" t="b">
        <v>0</v>
      </c>
      <c r="D37" t="s">
        <v>178</v>
      </c>
      <c r="E37" t="b">
        <v>1</v>
      </c>
      <c r="F37" s="6"/>
      <c r="G37" s="6"/>
      <c r="H37" s="6" t="s">
        <v>262</v>
      </c>
      <c r="I37" s="7">
        <f>IF(ISBLANK(H37), "", VLOOKUP(LOWER(H37), javascriptKeycodes!A:B, 2, FALSE))</f>
        <v>84</v>
      </c>
      <c r="J37" s="7" t="str">
        <f>IF(ISBLANK(H37), "", VLOOKUP(LOWER(H37), javascriptKeycodes!A:C, 3, FALSE))</f>
        <v>key_t</v>
      </c>
      <c r="K37" t="s">
        <v>272</v>
      </c>
      <c r="L37" t="s">
        <v>175</v>
      </c>
      <c r="M37" t="s">
        <v>225</v>
      </c>
      <c r="N37" t="s">
        <v>509</v>
      </c>
      <c r="O37" t="s">
        <v>552</v>
      </c>
    </row>
    <row r="38" spans="1:15" x14ac:dyDescent="0.3">
      <c r="A38" t="s">
        <v>729</v>
      </c>
      <c r="B38" t="b">
        <v>0</v>
      </c>
      <c r="C38" t="b">
        <v>0</v>
      </c>
      <c r="D38" t="s">
        <v>730</v>
      </c>
      <c r="E38" t="b">
        <v>1</v>
      </c>
      <c r="F38" s="6"/>
      <c r="G38" s="6"/>
      <c r="H38" s="6" t="s">
        <v>263</v>
      </c>
      <c r="I38" s="7">
        <f>IF(ISBLANK(H38), "", VLOOKUP(LOWER(H38), javascriptKeycodes!A:B, 2, FALSE))</f>
        <v>89</v>
      </c>
      <c r="J38" s="7" t="str">
        <f>IF(ISBLANK(H38), "", VLOOKUP(LOWER(H38), javascriptKeycodes!A:C, 3, FALSE))</f>
        <v>key_y</v>
      </c>
      <c r="K38" t="s">
        <v>272</v>
      </c>
      <c r="L38" t="s">
        <v>731</v>
      </c>
      <c r="M38" t="s">
        <v>732</v>
      </c>
      <c r="N38" t="s">
        <v>733</v>
      </c>
      <c r="O38" t="s">
        <v>734</v>
      </c>
    </row>
    <row r="39" spans="1:15" x14ac:dyDescent="0.3">
      <c r="A39" t="s">
        <v>468</v>
      </c>
      <c r="B39" t="b">
        <v>1</v>
      </c>
      <c r="C39" t="b">
        <v>0</v>
      </c>
      <c r="D39" t="s">
        <v>180</v>
      </c>
      <c r="F39" s="7" t="b">
        <v>1</v>
      </c>
      <c r="G39" s="6"/>
      <c r="H39" s="6" t="s">
        <v>264</v>
      </c>
      <c r="I39" s="7">
        <f>IF(ISBLANK(H39), "", VLOOKUP(LOWER(H39), javascriptKeycodes!A:B, 2, FALSE))</f>
        <v>65</v>
      </c>
      <c r="J39" s="7" t="str">
        <f>IF(ISBLANK(H39), "", VLOOKUP(LOWER(H39), javascriptKeycodes!A:C, 3, FALSE))</f>
        <v>key_a</v>
      </c>
      <c r="K39" t="s">
        <v>472</v>
      </c>
      <c r="L39" t="s">
        <v>122</v>
      </c>
      <c r="M39" t="s">
        <v>227</v>
      </c>
      <c r="N39" t="s">
        <v>510</v>
      </c>
      <c r="O39" t="s">
        <v>553</v>
      </c>
    </row>
    <row r="40" spans="1:15" x14ac:dyDescent="0.3">
      <c r="A40" t="s">
        <v>439</v>
      </c>
      <c r="B40" t="b">
        <v>0</v>
      </c>
      <c r="C40" t="b">
        <v>0</v>
      </c>
      <c r="D40" t="s">
        <v>190</v>
      </c>
      <c r="F40" s="6"/>
      <c r="G40" s="6"/>
      <c r="H40" s="6"/>
      <c r="I40" s="7" t="str">
        <f>IF(ISBLANK(H40), "", VLOOKUP(LOWER(H40), javascriptKeycodes!A:B, 2, FALSE))</f>
        <v/>
      </c>
      <c r="J40" s="7" t="str">
        <f>IF(ISBLANK(H40), "", VLOOKUP(LOWER(H40), javascriptKeycodes!A:C, 3, FALSE))</f>
        <v/>
      </c>
      <c r="K40" t="s">
        <v>272</v>
      </c>
      <c r="L40" t="s">
        <v>150</v>
      </c>
      <c r="M40" t="s">
        <v>228</v>
      </c>
      <c r="N40" t="s">
        <v>511</v>
      </c>
      <c r="O40" t="s">
        <v>554</v>
      </c>
    </row>
    <row r="41" spans="1:15" x14ac:dyDescent="0.3">
      <c r="A41" t="s">
        <v>464</v>
      </c>
      <c r="B41" t="b">
        <v>0</v>
      </c>
      <c r="C41" t="b">
        <v>0</v>
      </c>
      <c r="D41" t="s">
        <v>181</v>
      </c>
      <c r="E41" t="b">
        <v>1</v>
      </c>
      <c r="F41" s="6"/>
      <c r="G41" s="6"/>
      <c r="H41" s="6" t="s">
        <v>265</v>
      </c>
      <c r="I41" s="7">
        <f>IF(ISBLANK(H41), "", VLOOKUP(LOWER(H41), javascriptKeycodes!A:B, 2, FALSE))</f>
        <v>66</v>
      </c>
      <c r="J41" s="7" t="str">
        <f>IF(ISBLANK(H41), "", VLOOKUP(LOWER(H41), javascriptKeycodes!A:C, 3, FALSE))</f>
        <v>key_b</v>
      </c>
      <c r="K41" t="s">
        <v>272</v>
      </c>
      <c r="L41" t="s">
        <v>121</v>
      </c>
      <c r="M41" t="s">
        <v>229</v>
      </c>
      <c r="N41" t="s">
        <v>512</v>
      </c>
      <c r="O41" t="s">
        <v>555</v>
      </c>
    </row>
    <row r="42" spans="1:15" x14ac:dyDescent="0.3">
      <c r="A42" t="s">
        <v>465</v>
      </c>
      <c r="B42" t="b">
        <v>0</v>
      </c>
      <c r="C42" t="b">
        <v>0</v>
      </c>
      <c r="D42" t="s">
        <v>182</v>
      </c>
      <c r="E42" t="b">
        <v>1</v>
      </c>
      <c r="F42" s="6"/>
      <c r="G42" s="6"/>
      <c r="H42" s="6" t="s">
        <v>266</v>
      </c>
      <c r="I42" s="7">
        <f>IF(ISBLANK(H42), "", VLOOKUP(LOWER(H42), javascriptKeycodes!A:B, 2, FALSE))</f>
        <v>87</v>
      </c>
      <c r="J42" s="7" t="str">
        <f>IF(ISBLANK(H42), "", VLOOKUP(LOWER(H42), javascriptKeycodes!A:C, 3, FALSE))</f>
        <v>key_w</v>
      </c>
      <c r="K42" t="s">
        <v>272</v>
      </c>
      <c r="L42" t="s">
        <v>119</v>
      </c>
      <c r="M42" t="s">
        <v>230</v>
      </c>
      <c r="N42" t="s">
        <v>513</v>
      </c>
      <c r="O42" t="s">
        <v>556</v>
      </c>
    </row>
    <row r="43" spans="1:15" x14ac:dyDescent="0.3">
      <c r="A43" t="s">
        <v>118</v>
      </c>
      <c r="B43" t="b">
        <v>1</v>
      </c>
      <c r="C43" t="b">
        <v>0</v>
      </c>
      <c r="D43" t="s">
        <v>191</v>
      </c>
      <c r="F43" s="7" t="b">
        <v>1</v>
      </c>
      <c r="G43" s="6"/>
      <c r="H43" s="6" t="s">
        <v>267</v>
      </c>
      <c r="I43" s="7">
        <f>IF(ISBLANK(H43), "", VLOOKUP(LOWER(H43), javascriptKeycodes!A:B, 2, FALSE))</f>
        <v>72</v>
      </c>
      <c r="J43" s="7" t="str">
        <f>IF(ISBLANK(H43), "", VLOOKUP(LOWER(H43), javascriptKeycodes!A:C, 3, FALSE))</f>
        <v>key_h</v>
      </c>
      <c r="K43" t="s">
        <v>472</v>
      </c>
      <c r="L43" t="s">
        <v>147</v>
      </c>
      <c r="M43" t="s">
        <v>231</v>
      </c>
      <c r="N43" t="s">
        <v>514</v>
      </c>
      <c r="O43" t="s">
        <v>557</v>
      </c>
    </row>
    <row r="44" spans="1:15" x14ac:dyDescent="0.3">
      <c r="A44" t="s">
        <v>469</v>
      </c>
      <c r="B44" t="b">
        <v>0</v>
      </c>
      <c r="C44" t="b">
        <v>0</v>
      </c>
      <c r="D44" t="s">
        <v>183</v>
      </c>
      <c r="E44" t="b">
        <v>1</v>
      </c>
      <c r="F44" s="6"/>
      <c r="G44" s="6"/>
      <c r="H44" s="6" t="s">
        <v>245</v>
      </c>
      <c r="I44" s="7">
        <f>IF(ISBLANK(H44), "", VLOOKUP(LOWER(H44), javascriptKeycodes!A:B, 2, FALSE))</f>
        <v>68</v>
      </c>
      <c r="J44" s="7" t="str">
        <f>IF(ISBLANK(H44), "", VLOOKUP(LOWER(H44), javascriptKeycodes!A:C, 3, FALSE))</f>
        <v>key_d</v>
      </c>
      <c r="K44" t="s">
        <v>272</v>
      </c>
      <c r="L44" t="s">
        <v>148</v>
      </c>
      <c r="M44" t="s">
        <v>232</v>
      </c>
      <c r="N44" t="s">
        <v>515</v>
      </c>
      <c r="O44" t="s">
        <v>558</v>
      </c>
    </row>
    <row r="45" spans="1:15" x14ac:dyDescent="0.3">
      <c r="A45" t="s">
        <v>470</v>
      </c>
      <c r="B45" t="b">
        <v>0</v>
      </c>
      <c r="C45" t="b">
        <v>1</v>
      </c>
      <c r="D45" t="s">
        <v>186</v>
      </c>
      <c r="E45" t="b">
        <v>1</v>
      </c>
      <c r="F45" s="6"/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t="s">
        <v>272</v>
      </c>
      <c r="L45" t="s">
        <v>184</v>
      </c>
      <c r="M45" t="s">
        <v>233</v>
      </c>
      <c r="N45" t="s">
        <v>516</v>
      </c>
      <c r="O45" t="s">
        <v>559</v>
      </c>
    </row>
    <row r="46" spans="1:15" x14ac:dyDescent="0.3">
      <c r="A46" t="s">
        <v>471</v>
      </c>
      <c r="B46" t="b">
        <v>0</v>
      </c>
      <c r="C46" t="b">
        <v>0</v>
      </c>
      <c r="D46" t="s">
        <v>185</v>
      </c>
      <c r="F46" s="6"/>
      <c r="G46" s="6"/>
      <c r="H46" s="6"/>
      <c r="I46" s="7" t="str">
        <f>IF(ISBLANK(H46), "", VLOOKUP(LOWER(H46), javascriptKeycodes!A:B, 2, FALSE))</f>
        <v/>
      </c>
      <c r="J46" s="7" t="str">
        <f>IF(ISBLANK(H46), "", VLOOKUP(LOWER(H46), javascriptKeycodes!A:C, 3, FALSE))</f>
        <v/>
      </c>
      <c r="K46" t="s">
        <v>272</v>
      </c>
      <c r="L46" t="s">
        <v>149</v>
      </c>
      <c r="M46" t="s">
        <v>233</v>
      </c>
      <c r="N46" t="s">
        <v>517</v>
      </c>
      <c r="O46" t="s">
        <v>559</v>
      </c>
    </row>
    <row r="47" spans="1:15" x14ac:dyDescent="0.3">
      <c r="F47" s="6"/>
      <c r="G47" s="6"/>
      <c r="H47" s="6"/>
      <c r="I47" s="6"/>
      <c r="J47" s="7"/>
    </row>
    <row r="48" spans="1:15" x14ac:dyDescent="0.3">
      <c r="F48" s="6"/>
      <c r="G48" s="6"/>
      <c r="H48" s="6"/>
      <c r="I48" s="6"/>
      <c r="J48" s="7"/>
    </row>
    <row r="49" spans="1:17" x14ac:dyDescent="0.3">
      <c r="F49" s="6"/>
      <c r="G49" s="6"/>
      <c r="H49" s="6"/>
      <c r="I49" s="6"/>
      <c r="J49" s="7"/>
    </row>
    <row r="50" spans="1:17" x14ac:dyDescent="0.3">
      <c r="F50" s="6"/>
      <c r="G50" s="6"/>
      <c r="H50" s="6"/>
      <c r="I50" s="6"/>
      <c r="J50" s="7"/>
    </row>
    <row r="51" spans="1:17" x14ac:dyDescent="0.3">
      <c r="F51" s="6"/>
      <c r="G51" s="6"/>
      <c r="H51" s="6"/>
      <c r="I51" s="6"/>
      <c r="J51" s="7"/>
    </row>
    <row r="52" spans="1:17" x14ac:dyDescent="0.3">
      <c r="A52" t="s">
        <v>116</v>
      </c>
      <c r="B52" t="s">
        <v>117</v>
      </c>
      <c r="D52" t="s">
        <v>22</v>
      </c>
      <c r="E52" t="s">
        <v>238</v>
      </c>
      <c r="F52" t="s">
        <v>24</v>
      </c>
      <c r="G52" t="s">
        <v>134</v>
      </c>
      <c r="I52" t="str">
        <f ca="1">"const "&amp;MID(CELL("filename",A52),FIND("]",CELL("filename",A52))+1,255)&amp;"=["&amp;_xlfn.CONCAT(H:H)&amp;"];"</f>
        <v>const menu=[KeyFCSLJJPSUESVKKEAAXCVCdeleteZZVaddsubtractK_0K_0MMRFGTYABWHDH{"value":"File","icon":"fas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system","shortcut":['Ctrl','Shift','S',]}]},{"value":"Show Variable manager","icon":"fas fa-equals","function":"ShowModelItem('variablesManager')","text":"Displays the Variable manager where you can add, edit or delete the Uyamak variables.","shortcut":['Ctrl','Shift','V',]},{"value":"Create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maximized","shortcut":['Ctrl','Shift','M',]}]},{"value":"Execution order","icon":"fas fa-sort-numeric-up-alt","function":"displayExecutionOrder()","text":"Shows simulation order and errors","shortcut":['Ctrl','R',]},{"value":"System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model","shortcut":['Ctrl','H',]}]},{"value":"About","icon":"fas fa-info","function":"alert()","text":"Shows the documentation for the selected Uyamak model","shortcut":[]}]},];</v>
      </c>
      <c r="K52" t="s">
        <v>253</v>
      </c>
      <c r="L52" t="s">
        <v>239</v>
      </c>
      <c r="M52" t="s">
        <v>240</v>
      </c>
      <c r="N52" t="s">
        <v>241</v>
      </c>
      <c r="O52" t="s">
        <v>287</v>
      </c>
      <c r="Q52" t="str">
        <f>_xlfn.CONCAT(P:P)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53" spans="1:17" x14ac:dyDescent="0.3">
      <c r="A53" t="s">
        <v>115</v>
      </c>
      <c r="D53" t="s">
        <v>187</v>
      </c>
      <c r="E53">
        <v>335</v>
      </c>
      <c r="F53" t="s">
        <v>192</v>
      </c>
      <c r="G53" t="str">
        <f t="shared" ref="G53:G96" si="0">"["&amp;IF(ISBLANK(L53),"","'"&amp;$L$52&amp;"',")&amp;IF(ISBLANK(M53),"","'"&amp;$M$52&amp;"',")&amp;IF(ISBLANK(N53),"","'"&amp;N53&amp;"',")&amp;"]"</f>
        <v>[]</v>
      </c>
      <c r="H53" t="str">
        <f>IF(ISBLANK(A53),"{"&amp;CHAR(34)&amp;"value"&amp;CHAR(34)&amp;":"&amp;CHAR(34)&amp;B53&amp;CHAR(34)&amp;","&amp;CHAR(34)&amp;"icon"&amp;CHAR(34)&amp;":"&amp;CHAR(34)&amp;D53&amp;CHAR(34)&amp;","&amp;CHAR(34)&amp;"function"&amp;CHAR(34)&amp;":"&amp;CHAR(34)&amp;E53&amp;CHAR(34)&amp;","&amp;CHAR(34)&amp;"text"&amp;CHAR(34)&amp;":"&amp;CHAR(34)&amp;F53&amp;CHAR(34)&amp;","&amp;CHAR(34)&amp;"shortcut"&amp;CHAR(34)&amp;":"&amp;G53&amp;"}"&amp;IF(ISBLANK(A54),",","]},"),"{"&amp;CHAR(34)&amp;"value"&amp;CHAR(34)&amp;":"&amp;CHAR(34)&amp;A53&amp;CHAR(34)&amp;","&amp;CHAR(34)&amp;"icon"&amp;CHAR(34)&amp;":"&amp;CHAR(34)&amp;D53&amp;CHAR(34)&amp;","&amp;CHAR(34)&amp;"width"&amp;CHAR(34)&amp;":"&amp;CHAR(34)&amp;E53&amp;CHAR(34)&amp;","&amp;CHAR(34)&amp;"text"&amp;CHAR(34)&amp;":"&amp;CHAR(34)&amp;F53&amp;CHAR(34)&amp;","&amp;CHAR(34)&amp;"shortcut"&amp;CHAR(34)&amp;":"&amp;G53&amp;","&amp;CHAR(34)&amp;"items"&amp;CHAR(34)&amp;":[")</f>
        <v>{"value":"File","icon":"fas fa-file-alt","width":"335","text":"Menu gives options to manage your files","shortcut":[],"items":[</v>
      </c>
      <c r="K53" t="s">
        <v>253</v>
      </c>
      <c r="P53" t="str">
        <f t="shared" ref="P53:P84" si="1">IF(ISBLANK(O53),"","mainSystem.keyHandler.bind"&amp;IF(ISBLANK(L53),"","Control")&amp;IF(ISBLANK(M53),"","Shift")&amp;"Key("&amp;O53&amp;", function (evt){"&amp;E53&amp;"});")</f>
        <v/>
      </c>
    </row>
    <row r="54" spans="1:17" x14ac:dyDescent="0.3">
      <c r="B54" t="s">
        <v>200</v>
      </c>
      <c r="D54" t="s">
        <v>151</v>
      </c>
      <c r="E54" t="s">
        <v>272</v>
      </c>
      <c r="F54" t="s">
        <v>199</v>
      </c>
      <c r="G54" t="str">
        <f t="shared" si="0"/>
        <v>['Ctrl','O',]</v>
      </c>
      <c r="H54" t="str">
        <f>IF(ISBLANK(A54),"{"&amp;CHAR(34)&amp;"value"&amp;CHAR(34)&amp;":"&amp;CHAR(34)&amp;B54&amp;CHAR(34)&amp;","&amp;CHAR(34)&amp;"icon"&amp;CHAR(34)&amp;":"&amp;CHAR(34)&amp;D54&amp;CHAR(34)&amp;","&amp;CHAR(34)&amp;"function"&amp;CHAR(34)&amp;":"&amp;CHAR(34)&amp;E54&amp;CHAR(34)&amp;","&amp;CHAR(34)&amp;"text"&amp;CHAR(34)&amp;":"&amp;CHAR(34)&amp;F54&amp;CHAR(34)&amp;","&amp;CHAR(34)&amp;"shortcut"&amp;CHAR(34)&amp;":"&amp;G54&amp;"}"&amp;IF(ISBLANK(#REF!),",","]},"),"{"&amp;CHAR(34)&amp;"value"&amp;CHAR(34)&amp;":"&amp;CHAR(34)&amp;A54&amp;CHAR(34)&amp;","&amp;CHAR(34)&amp;"icon"&amp;CHAR(34)&amp;":"&amp;CHAR(34)&amp;D54&amp;CHAR(34)&amp;","&amp;CHAR(34)&amp;"width"&amp;CHAR(34)&amp;":"&amp;CHAR(34)&amp;E54&amp;CHAR(34)&amp;","&amp;CHAR(34)&amp;"text"&amp;CHAR(34)&amp;":"&amp;CHAR(34)&amp;F54&amp;CHAR(34)&amp;","&amp;CHAR(34)&amp;"shortcut"&amp;CHAR(34)&amp;":"&amp;G54&amp;","&amp;CHAR(34)&amp;"items"&amp;CHAR(34)&amp;":[")</f>
        <v>{"value":"Cloud organizer","icon":"far fa-folder","function":"alert()","text":"Organize your Uyamak systems on your cloud storage","shortcut":['Ctrl','O',]}]},</v>
      </c>
      <c r="K54" t="s">
        <v>253</v>
      </c>
      <c r="L54">
        <v>1</v>
      </c>
      <c r="N54" t="s">
        <v>242</v>
      </c>
      <c r="O54">
        <v>79</v>
      </c>
      <c r="P54" t="str">
        <f t="shared" si="1"/>
        <v>mainSystem.keyHandler.bindControlKey(79, function (evt){alert()});</v>
      </c>
    </row>
    <row r="55" spans="1:17" x14ac:dyDescent="0.3">
      <c r="B55" t="s">
        <v>137</v>
      </c>
      <c r="D55" t="s">
        <v>152</v>
      </c>
      <c r="E55" t="s">
        <v>272</v>
      </c>
      <c r="F55" t="s">
        <v>197</v>
      </c>
      <c r="G55" t="str">
        <f t="shared" si="0"/>
        <v>['Ctrl','S',]</v>
      </c>
      <c r="H55" t="str">
        <f t="shared" ref="H55:H96" si="2">IF(ISBLANK(A55),"{"&amp;CHAR(34)&amp;"value"&amp;CHAR(34)&amp;":"&amp;CHAR(34)&amp;B55&amp;CHAR(34)&amp;","&amp;CHAR(34)&amp;"icon"&amp;CHAR(34)&amp;":"&amp;CHAR(34)&amp;D55&amp;CHAR(34)&amp;","&amp;CHAR(34)&amp;"function"&amp;CHAR(34)&amp;":"&amp;CHAR(34)&amp;E55&amp;CHAR(34)&amp;","&amp;CHAR(34)&amp;"text"&amp;CHAR(34)&amp;":"&amp;CHAR(34)&amp;F55&amp;CHAR(34)&amp;","&amp;CHAR(34)&amp;"shortcut"&amp;CHAR(34)&amp;":"&amp;G55&amp;"}"&amp;IF(ISBLANK(A56),",","]},"),"{"&amp;CHAR(34)&amp;"value"&amp;CHAR(34)&amp;":"&amp;CHAR(34)&amp;A55&amp;CHAR(34)&amp;","&amp;CHAR(34)&amp;"icon"&amp;CHAR(34)&amp;":"&amp;CHAR(34)&amp;D55&amp;CHAR(34)&amp;","&amp;CHAR(34)&amp;"width"&amp;CHAR(34)&amp;":"&amp;CHAR(34)&amp;E55&amp;CHAR(34)&amp;","&amp;CHAR(34)&amp;"text"&amp;CHAR(34)&amp;":"&amp;CHAR(34)&amp;F55&amp;CHAR(34)&amp;","&amp;CHAR(34)&amp;"shortcut"&amp;CHAR(34)&amp;":"&amp;G55&amp;","&amp;CHAR(34)&amp;"items"&amp;CHAR(34)&amp;":[")</f>
        <v>{"value":"Save to local machine","icon":"fas fa-download","function":"alert()","text":"Download the Uyamak system to your local device as a file","shortcut":['Ctrl','S',]},</v>
      </c>
      <c r="K55" t="s">
        <v>253</v>
      </c>
      <c r="L55">
        <v>1</v>
      </c>
      <c r="N55" t="s">
        <v>243</v>
      </c>
      <c r="O55">
        <v>83</v>
      </c>
      <c r="P55" t="str">
        <f t="shared" si="1"/>
        <v>mainSystem.keyHandler.bindControlKey(83, function (evt){alert()});</v>
      </c>
    </row>
    <row r="56" spans="1:17" x14ac:dyDescent="0.3">
      <c r="B56" t="s">
        <v>138</v>
      </c>
      <c r="D56" t="s">
        <v>153</v>
      </c>
      <c r="E56" t="s">
        <v>272</v>
      </c>
      <c r="F56" t="s">
        <v>198</v>
      </c>
      <c r="G56" t="str">
        <f t="shared" si="0"/>
        <v>['Ctrl','L',]</v>
      </c>
      <c r="H56" t="str">
        <f>IF(ISBLANK(A56),"{"&amp;CHAR(34)&amp;"value"&amp;CHAR(34)&amp;":"&amp;CHAR(34)&amp;B56&amp;CHAR(34)&amp;","&amp;CHAR(34)&amp;"icon"&amp;CHAR(34)&amp;":"&amp;CHAR(34)&amp;D56&amp;CHAR(34)&amp;","&amp;CHAR(34)&amp;"function"&amp;CHAR(34)&amp;":"&amp;CHAR(34)&amp;E56&amp;CHAR(34)&amp;","&amp;CHAR(34)&amp;"text"&amp;CHAR(34)&amp;":"&amp;CHAR(34)&amp;F56&amp;CHAR(34)&amp;","&amp;CHAR(34)&amp;"shortcut"&amp;CHAR(34)&amp;":"&amp;G56&amp;"}"&amp;IF(ISBLANK(#REF!),",","]},"),"{"&amp;CHAR(34)&amp;"value"&amp;CHAR(34)&amp;":"&amp;CHAR(34)&amp;A56&amp;CHAR(34)&amp;","&amp;CHAR(34)&amp;"icon"&amp;CHAR(34)&amp;":"&amp;CHAR(34)&amp;D56&amp;CHAR(34)&amp;","&amp;CHAR(34)&amp;"width"&amp;CHAR(34)&amp;":"&amp;CHAR(34)&amp;E56&amp;CHAR(34)&amp;","&amp;CHAR(34)&amp;"text"&amp;CHAR(34)&amp;":"&amp;CHAR(34)&amp;F56&amp;CHAR(34)&amp;","&amp;CHAR(34)&amp;"shortcut"&amp;CHAR(34)&amp;":"&amp;G56&amp;","&amp;CHAR(34)&amp;"items"&amp;CHAR(34)&amp;":[")</f>
        <v>{"value":"Load from local machine","icon":"fas fa-upload","function":"alert()","text":"Load a Uyamak system from your local device","shortcut":['Ctrl','L',]}]},</v>
      </c>
      <c r="K56" t="s">
        <v>253</v>
      </c>
      <c r="L56">
        <v>1</v>
      </c>
      <c r="N56" t="s">
        <v>246</v>
      </c>
      <c r="O56">
        <v>76</v>
      </c>
      <c r="P56" t="str">
        <f t="shared" si="1"/>
        <v>mainSystem.keyHandler.bindControlKey(76, function (evt){alert()});</v>
      </c>
    </row>
    <row r="57" spans="1:17" x14ac:dyDescent="0.3">
      <c r="B57" t="s">
        <v>140</v>
      </c>
      <c r="D57" t="s">
        <v>154</v>
      </c>
      <c r="E57" t="s">
        <v>272</v>
      </c>
      <c r="F57" t="s">
        <v>193</v>
      </c>
      <c r="G57" t="str">
        <f t="shared" si="0"/>
        <v>['Ctrl','J',]</v>
      </c>
      <c r="H57" t="str">
        <f t="shared" si="2"/>
        <v>{"value":"Share privately","icon":"fas fa-share-alt-square","function":"alert()","text":"Share Uyamak system with your friends and teachers","shortcut":['Ctrl','J',]},</v>
      </c>
      <c r="K57" t="s">
        <v>253</v>
      </c>
      <c r="L57">
        <v>1</v>
      </c>
      <c r="N57" t="s">
        <v>251</v>
      </c>
      <c r="O57">
        <v>74</v>
      </c>
      <c r="P57" t="str">
        <f t="shared" si="1"/>
        <v>mainSystem.keyHandler.bindControlKey(74, function (evt){alert()});</v>
      </c>
    </row>
    <row r="58" spans="1:17" x14ac:dyDescent="0.3">
      <c r="B58" t="s">
        <v>139</v>
      </c>
      <c r="D58" t="s">
        <v>155</v>
      </c>
      <c r="E58" t="s">
        <v>272</v>
      </c>
      <c r="F58" t="s">
        <v>194</v>
      </c>
      <c r="G58" t="str">
        <f t="shared" si="0"/>
        <v>['Ctrl','Shift','J',]</v>
      </c>
      <c r="H58" t="str">
        <f>IF(ISBLANK(A58),"{"&amp;CHAR(34)&amp;"value"&amp;CHAR(34)&amp;":"&amp;CHAR(34)&amp;B58&amp;CHAR(34)&amp;","&amp;CHAR(34)&amp;"icon"&amp;CHAR(34)&amp;":"&amp;CHAR(34)&amp;D58&amp;CHAR(34)&amp;","&amp;CHAR(34)&amp;"function"&amp;CHAR(34)&amp;":"&amp;CHAR(34)&amp;E58&amp;CHAR(34)&amp;","&amp;CHAR(34)&amp;"text"&amp;CHAR(34)&amp;":"&amp;CHAR(34)&amp;F58&amp;CHAR(34)&amp;","&amp;CHAR(34)&amp;"shortcut"&amp;CHAR(34)&amp;":"&amp;G58&amp;"}"&amp;IF(ISBLANK(#REF!),",","]},"),"{"&amp;CHAR(34)&amp;"value"&amp;CHAR(34)&amp;":"&amp;CHAR(34)&amp;A58&amp;CHAR(34)&amp;","&amp;CHAR(34)&amp;"icon"&amp;CHAR(34)&amp;":"&amp;CHAR(34)&amp;D58&amp;CHAR(34)&amp;","&amp;CHAR(34)&amp;"width"&amp;CHAR(34)&amp;":"&amp;CHAR(34)&amp;E58&amp;CHAR(34)&amp;","&amp;CHAR(34)&amp;"text"&amp;CHAR(34)&amp;":"&amp;CHAR(34)&amp;F58&amp;CHAR(34)&amp;","&amp;CHAR(34)&amp;"shortcut"&amp;CHAR(34)&amp;":"&amp;G58&amp;","&amp;CHAR(34)&amp;"items"&amp;CHAR(34)&amp;":[")</f>
        <v>{"value":"Make public","icon":"fas fa-share-alt","function":"alert()","text":"Publish your Uyamak system to the public","shortcut":['Ctrl','Shift','J',]}]},</v>
      </c>
      <c r="K58" t="s">
        <v>253</v>
      </c>
      <c r="L58">
        <v>1</v>
      </c>
      <c r="M58">
        <v>1</v>
      </c>
      <c r="N58" t="s">
        <v>251</v>
      </c>
      <c r="O58">
        <v>74</v>
      </c>
      <c r="P58" t="str">
        <f t="shared" si="1"/>
        <v>mainSystem.keyHandler.bindControlShiftKey(74, function (evt){alert()});</v>
      </c>
    </row>
    <row r="59" spans="1:17" x14ac:dyDescent="0.3">
      <c r="B59" t="s">
        <v>120</v>
      </c>
      <c r="D59" t="s">
        <v>156</v>
      </c>
      <c r="E59" t="s">
        <v>272</v>
      </c>
      <c r="F59" t="s">
        <v>195</v>
      </c>
      <c r="G59" t="str">
        <f t="shared" si="0"/>
        <v>['Ctrl','P',]</v>
      </c>
      <c r="H59" t="str">
        <f t="shared" si="2"/>
        <v>{"value":"Print","icon":"fas fa-print","function":"alert()","text":"Print the Uyamak system","shortcut":['Ctrl','P',]}]},</v>
      </c>
      <c r="K59" t="s">
        <v>253</v>
      </c>
      <c r="L59">
        <v>1</v>
      </c>
      <c r="N59" t="s">
        <v>248</v>
      </c>
      <c r="O59">
        <v>80</v>
      </c>
      <c r="P59" t="str">
        <f t="shared" si="1"/>
        <v>mainSystem.keyHandler.bindControlKey(80, function (evt){alert()});</v>
      </c>
    </row>
    <row r="60" spans="1:17" x14ac:dyDescent="0.3">
      <c r="A60" t="s">
        <v>136</v>
      </c>
      <c r="D60" t="s">
        <v>15</v>
      </c>
      <c r="E60">
        <v>400</v>
      </c>
      <c r="F60" t="s">
        <v>196</v>
      </c>
      <c r="G60" t="str">
        <f t="shared" si="0"/>
        <v>[]</v>
      </c>
      <c r="H60" t="str">
        <f t="shared" si="2"/>
        <v>{"value":"System","icon":"fas fa-project-diagram","width":"400","text":"Menu gives options to manage your Uyamak system","shortcut":[],"items":[</v>
      </c>
      <c r="K60" t="s">
        <v>253</v>
      </c>
      <c r="P60" t="str">
        <f t="shared" si="1"/>
        <v/>
      </c>
    </row>
    <row r="61" spans="1:17" x14ac:dyDescent="0.3">
      <c r="B61" t="s">
        <v>234</v>
      </c>
      <c r="D61" t="s">
        <v>157</v>
      </c>
      <c r="E61" t="s">
        <v>272</v>
      </c>
      <c r="F61" t="s">
        <v>235</v>
      </c>
      <c r="G61" t="str">
        <f t="shared" si="0"/>
        <v>['Ctrl','U',]</v>
      </c>
      <c r="H61" t="str">
        <f t="shared" si="2"/>
        <v>{"value":"Show Uyamak library","icon":"fas fa-puzzle-piece","function":"alert()","text":"Displays the Uyamak library drawer where you can find all the Uyamak models","shortcut":['Ctrl','U',]},</v>
      </c>
      <c r="K61" t="s">
        <v>253</v>
      </c>
      <c r="L61">
        <v>1</v>
      </c>
      <c r="N61" t="s">
        <v>249</v>
      </c>
      <c r="O61">
        <v>85</v>
      </c>
      <c r="P61" t="str">
        <f t="shared" si="1"/>
        <v>mainSystem.keyHandler.bindControlKey(85, function (evt){alert()});</v>
      </c>
    </row>
    <row r="62" spans="1:17" x14ac:dyDescent="0.3">
      <c r="B62" t="s">
        <v>201</v>
      </c>
      <c r="D62" t="s">
        <v>158</v>
      </c>
      <c r="E62" t="s">
        <v>272</v>
      </c>
      <c r="F62" t="s">
        <v>203</v>
      </c>
      <c r="G62" t="str">
        <f t="shared" si="0"/>
        <v>['Ctrl','E',]</v>
      </c>
      <c r="H62" t="str">
        <f t="shared" si="2"/>
        <v>{"value":"Show Model Editor","icon":"fas fa-edit","function":"alert()","text":"Displays the Uyamak model editor where you can tweak the model settings","shortcut":['Ctrl','E',]},</v>
      </c>
      <c r="K62" t="s">
        <v>253</v>
      </c>
      <c r="L62">
        <v>1</v>
      </c>
      <c r="N62" t="s">
        <v>254</v>
      </c>
      <c r="O62">
        <v>69</v>
      </c>
      <c r="P62" t="str">
        <f t="shared" si="1"/>
        <v>mainSystem.keyHandler.bindControlKey(69, function (evt){alert()});</v>
      </c>
    </row>
    <row r="63" spans="1:17" x14ac:dyDescent="0.3">
      <c r="B63" t="s">
        <v>202</v>
      </c>
      <c r="D63" t="s">
        <v>19</v>
      </c>
      <c r="E63" t="s">
        <v>272</v>
      </c>
      <c r="F63" t="s">
        <v>204</v>
      </c>
      <c r="G63" t="str">
        <f t="shared" si="0"/>
        <v>['Ctrl','Shift','S',]</v>
      </c>
      <c r="H63" t="str">
        <f>IF(ISBLANK(A63),"{"&amp;CHAR(34)&amp;"value"&amp;CHAR(34)&amp;":"&amp;CHAR(34)&amp;B63&amp;CHAR(34)&amp;","&amp;CHAR(34)&amp;"icon"&amp;CHAR(34)&amp;":"&amp;CHAR(34)&amp;D63&amp;CHAR(34)&amp;","&amp;CHAR(34)&amp;"function"&amp;CHAR(34)&amp;":"&amp;CHAR(34)&amp;E63&amp;CHAR(34)&amp;","&amp;CHAR(34)&amp;"text"&amp;CHAR(34)&amp;":"&amp;CHAR(34)&amp;F63&amp;CHAR(34)&amp;","&amp;CHAR(34)&amp;"shortcut"&amp;CHAR(34)&amp;":"&amp;G63&amp;"}"&amp;IF(ISBLANK(#REF!),",","]},"),"{"&amp;CHAR(34)&amp;"value"&amp;CHAR(34)&amp;":"&amp;CHAR(34)&amp;A63&amp;CHAR(34)&amp;","&amp;CHAR(34)&amp;"icon"&amp;CHAR(34)&amp;":"&amp;CHAR(34)&amp;D63&amp;CHAR(34)&amp;","&amp;CHAR(34)&amp;"width"&amp;CHAR(34)&amp;":"&amp;CHAR(34)&amp;E63&amp;CHAR(34)&amp;","&amp;CHAR(34)&amp;"text"&amp;CHAR(34)&amp;":"&amp;CHAR(34)&amp;F63&amp;CHAR(34)&amp;","&amp;CHAR(34)&amp;"shortcut"&amp;CHAR(34)&amp;":"&amp;G63&amp;","&amp;CHAR(34)&amp;"items"&amp;CHAR(34)&amp;":[")</f>
        <v>{"value":"Show Simulation drawer","icon":"fas fa-play","function":"alert()","text":"Displays the simulation drawer where you can execute the Uyamak system","shortcut":['Ctrl','Shift','S',]}]},</v>
      </c>
      <c r="K63" t="s">
        <v>253</v>
      </c>
      <c r="L63">
        <v>1</v>
      </c>
      <c r="M63">
        <v>1</v>
      </c>
      <c r="N63" t="s">
        <v>243</v>
      </c>
      <c r="O63">
        <v>83</v>
      </c>
      <c r="P63" t="str">
        <f t="shared" si="1"/>
        <v>mainSystem.keyHandler.bindControlShiftKey(83, function (evt){alert()});</v>
      </c>
    </row>
    <row r="64" spans="1:17" x14ac:dyDescent="0.3">
      <c r="B64" t="s">
        <v>283</v>
      </c>
      <c r="D64" t="s">
        <v>285</v>
      </c>
      <c r="E64" t="s">
        <v>286</v>
      </c>
      <c r="F64" t="s">
        <v>284</v>
      </c>
      <c r="G64" t="str">
        <f t="shared" si="0"/>
        <v>['Ctrl','Shift','V',]</v>
      </c>
      <c r="H64" t="str">
        <f>IF(ISBLANK(A64),"{"&amp;CHAR(34)&amp;"value"&amp;CHAR(34)&amp;":"&amp;CHAR(34)&amp;B64&amp;CHAR(34)&amp;","&amp;CHAR(34)&amp;"icon"&amp;CHAR(34)&amp;":"&amp;CHAR(34)&amp;D64&amp;CHAR(34)&amp;","&amp;CHAR(34)&amp;"function"&amp;CHAR(34)&amp;":"&amp;CHAR(34)&amp;E64&amp;CHAR(34)&amp;","&amp;CHAR(34)&amp;"text"&amp;CHAR(34)&amp;":"&amp;CHAR(34)&amp;F64&amp;CHAR(34)&amp;","&amp;CHAR(34)&amp;"shortcut"&amp;CHAR(34)&amp;":"&amp;G64&amp;"}"&amp;IF(ISBLANK(A65),",","]},"),"{"&amp;CHAR(34)&amp;"value"&amp;CHAR(34)&amp;":"&amp;CHAR(34)&amp;A64&amp;CHAR(34)&amp;","&amp;CHAR(34)&amp;"icon"&amp;CHAR(34)&amp;":"&amp;CHAR(34)&amp;D64&amp;CHAR(34)&amp;","&amp;CHAR(34)&amp;"width"&amp;CHAR(34)&amp;":"&amp;CHAR(34)&amp;E64&amp;CHAR(34)&amp;","&amp;CHAR(34)&amp;"text"&amp;CHAR(34)&amp;":"&amp;CHAR(34)&amp;F64&amp;CHAR(34)&amp;","&amp;CHAR(34)&amp;"shortcut"&amp;CHAR(34)&amp;":"&amp;G64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K64" t="s">
        <v>253</v>
      </c>
      <c r="L64">
        <v>1</v>
      </c>
      <c r="M64">
        <v>1</v>
      </c>
      <c r="N64" t="s">
        <v>257</v>
      </c>
      <c r="O64">
        <v>86</v>
      </c>
      <c r="P64" t="str">
        <f t="shared" si="1"/>
        <v>mainSystem.keyHandler.bindControlShiftKey(86, function (evt){ShowModelItem('variablesManager')});</v>
      </c>
    </row>
    <row r="65" spans="1:16" x14ac:dyDescent="0.3">
      <c r="B65" t="s">
        <v>236</v>
      </c>
      <c r="D65" t="s">
        <v>159</v>
      </c>
      <c r="E65" t="s">
        <v>317</v>
      </c>
      <c r="F65" t="s">
        <v>205</v>
      </c>
      <c r="G65" t="str">
        <f t="shared" si="0"/>
        <v>['Ctrl','K',]</v>
      </c>
      <c r="H65" t="str">
        <f t="shared" si="2"/>
        <v>{"value":"Create sub-system","icon":"far fa-object-group","function":"if (mainSystem.graph.isEnabled()) createSubModel();","text":"Creates Uyamak sub-system out of the selected Uyamak models","shortcut":['Ctrl','K',]},</v>
      </c>
      <c r="K65" t="s">
        <v>253</v>
      </c>
      <c r="L65">
        <v>1</v>
      </c>
      <c r="N65" t="s">
        <v>255</v>
      </c>
      <c r="O65">
        <v>75</v>
      </c>
      <c r="P65" t="str">
        <f t="shared" si="1"/>
        <v>mainSystem.keyHandler.bindControlKey(75, function (evt){if (mainSystem.graph.isEnabled()) createSubModel();});</v>
      </c>
    </row>
    <row r="66" spans="1:16" x14ac:dyDescent="0.3">
      <c r="B66" t="s">
        <v>237</v>
      </c>
      <c r="D66" t="s">
        <v>160</v>
      </c>
      <c r="E66" t="s">
        <v>318</v>
      </c>
      <c r="F66" t="s">
        <v>206</v>
      </c>
      <c r="G66" t="str">
        <f t="shared" si="0"/>
        <v>['Ctrl','Shift','K',]</v>
      </c>
      <c r="H66" t="str">
        <f t="shared" si="2"/>
        <v>{"value":"Dismantle sub-system","icon":"far fa-object-ungroup","function":"if (mainSystem.graph.isEnabled()) ungroupSubModel();","text":"Dismantles all the selected Uyamak sub-systems.","shortcut":['Ctrl','Shift','K',]}]},</v>
      </c>
      <c r="K66" t="s">
        <v>253</v>
      </c>
      <c r="L66">
        <v>1</v>
      </c>
      <c r="M66">
        <v>1</v>
      </c>
      <c r="N66" t="s">
        <v>255</v>
      </c>
      <c r="O66">
        <v>75</v>
      </c>
      <c r="P66" t="str">
        <f t="shared" si="1"/>
        <v>mainSystem.keyHandler.bindControlShiftKey(75, function (evt){if (mainSystem.graph.isEnabled()) ungroupSubModel();});</v>
      </c>
    </row>
    <row r="67" spans="1:16" x14ac:dyDescent="0.3">
      <c r="A67" t="s">
        <v>123</v>
      </c>
      <c r="D67" t="s">
        <v>188</v>
      </c>
      <c r="E67">
        <v>300</v>
      </c>
      <c r="F67" t="s">
        <v>214</v>
      </c>
      <c r="G67" t="str">
        <f t="shared" si="0"/>
        <v>[]</v>
      </c>
      <c r="H67" t="str">
        <f>IF(ISBLANK(A67),"{"&amp;CHAR(34)&amp;"value"&amp;CHAR(34)&amp;":"&amp;CHAR(34)&amp;B67&amp;CHAR(34)&amp;","&amp;CHAR(34)&amp;"icon"&amp;CHAR(34)&amp;":"&amp;CHAR(34)&amp;D67&amp;CHAR(34)&amp;","&amp;CHAR(34)&amp;"function"&amp;CHAR(34)&amp;":"&amp;CHAR(34)&amp;E67&amp;CHAR(34)&amp;","&amp;CHAR(34)&amp;"text"&amp;CHAR(34)&amp;":"&amp;CHAR(34)&amp;F67&amp;CHAR(34)&amp;","&amp;CHAR(34)&amp;"shortcut"&amp;CHAR(34)&amp;":"&amp;G67&amp;"}"&amp;IF(ISBLANK(A70),",","]},"),"{"&amp;CHAR(34)&amp;"value"&amp;CHAR(34)&amp;":"&amp;CHAR(34)&amp;A67&amp;CHAR(34)&amp;","&amp;CHAR(34)&amp;"icon"&amp;CHAR(34)&amp;":"&amp;CHAR(34)&amp;D67&amp;CHAR(34)&amp;","&amp;CHAR(34)&amp;"width"&amp;CHAR(34)&amp;":"&amp;CHAR(34)&amp;E67&amp;CHAR(34)&amp;","&amp;CHAR(34)&amp;"text"&amp;CHAR(34)&amp;":"&amp;CHAR(34)&amp;F67&amp;CHAR(34)&amp;","&amp;CHAR(34)&amp;"shortcut"&amp;CHAR(34)&amp;":"&amp;G67&amp;","&amp;CHAR(34)&amp;"items"&amp;CHAR(34)&amp;":[")</f>
        <v>{"value":"Edit","icon":"fas fa-pen","width":"300","text":"Menu gives options to manipulate the Uyamak system","shortcut":[],"items":[</v>
      </c>
      <c r="K67" t="s">
        <v>253</v>
      </c>
      <c r="P67" t="str">
        <f t="shared" si="1"/>
        <v/>
      </c>
    </row>
    <row r="68" spans="1:16" x14ac:dyDescent="0.3">
      <c r="B68" t="s">
        <v>268</v>
      </c>
      <c r="D68" t="s">
        <v>271</v>
      </c>
      <c r="E68" t="s">
        <v>272</v>
      </c>
      <c r="G68" t="str">
        <f t="shared" si="0"/>
        <v>['Ctrl','A',]</v>
      </c>
      <c r="H68" t="str">
        <f>IF(ISBLANK(A68),"{"&amp;CHAR(34)&amp;"value"&amp;CHAR(34)&amp;":"&amp;CHAR(34)&amp;B68&amp;CHAR(34)&amp;","&amp;CHAR(34)&amp;"icon"&amp;CHAR(34)&amp;":"&amp;CHAR(34)&amp;D68&amp;CHAR(34)&amp;","&amp;CHAR(34)&amp;"function"&amp;CHAR(34)&amp;":"&amp;CHAR(34)&amp;E68&amp;CHAR(34)&amp;","&amp;CHAR(34)&amp;"text"&amp;CHAR(34)&amp;":"&amp;CHAR(34)&amp;F68&amp;CHAR(34)&amp;","&amp;CHAR(34)&amp;"shortcut"&amp;CHAR(34)&amp;":"&amp;G68&amp;"}"&amp;IF(ISBLANK(A71),",","]},"),"{"&amp;CHAR(34)&amp;"value"&amp;CHAR(34)&amp;":"&amp;CHAR(34)&amp;A68&amp;CHAR(34)&amp;","&amp;CHAR(34)&amp;"icon"&amp;CHAR(34)&amp;":"&amp;CHAR(34)&amp;D68&amp;CHAR(34)&amp;","&amp;CHAR(34)&amp;"width"&amp;CHAR(34)&amp;":"&amp;CHAR(34)&amp;E68&amp;CHAR(34)&amp;","&amp;CHAR(34)&amp;"text"&amp;CHAR(34)&amp;":"&amp;CHAR(34)&amp;F68&amp;CHAR(34)&amp;","&amp;CHAR(34)&amp;"shortcut"&amp;CHAR(34)&amp;":"&amp;G68&amp;","&amp;CHAR(34)&amp;"items"&amp;CHAR(34)&amp;":[")</f>
        <v>{"value":"Select all","icon":"far fa-check-square","function":"alert()","text":"","shortcut":['Ctrl','A',]},</v>
      </c>
      <c r="K68" t="s">
        <v>253</v>
      </c>
      <c r="L68">
        <v>1</v>
      </c>
      <c r="N68" t="s">
        <v>264</v>
      </c>
      <c r="O68">
        <v>65</v>
      </c>
      <c r="P68" t="str">
        <f t="shared" si="1"/>
        <v>mainSystem.keyHandler.bindControlKey(65, function (evt){alert()});</v>
      </c>
    </row>
    <row r="69" spans="1:16" x14ac:dyDescent="0.3">
      <c r="B69" t="s">
        <v>269</v>
      </c>
      <c r="D69" t="s">
        <v>270</v>
      </c>
      <c r="E69" t="s">
        <v>272</v>
      </c>
      <c r="G69" t="str">
        <f t="shared" si="0"/>
        <v>['Ctrl','Shift','A',]</v>
      </c>
      <c r="H69" t="str">
        <f>IF(ISBLANK(A69),"{"&amp;CHAR(34)&amp;"value"&amp;CHAR(34)&amp;":"&amp;CHAR(34)&amp;B69&amp;CHAR(34)&amp;","&amp;CHAR(34)&amp;"icon"&amp;CHAR(34)&amp;":"&amp;CHAR(34)&amp;D69&amp;CHAR(34)&amp;","&amp;CHAR(34)&amp;"function"&amp;CHAR(34)&amp;":"&amp;CHAR(34)&amp;E69&amp;CHAR(34)&amp;","&amp;CHAR(34)&amp;"text"&amp;CHAR(34)&amp;":"&amp;CHAR(34)&amp;F69&amp;CHAR(34)&amp;","&amp;CHAR(34)&amp;"shortcut"&amp;CHAR(34)&amp;":"&amp;G69&amp;"}"&amp;IF(ISBLANK(A72),",","]},"),"{"&amp;CHAR(34)&amp;"value"&amp;CHAR(34)&amp;":"&amp;CHAR(34)&amp;A69&amp;CHAR(34)&amp;","&amp;CHAR(34)&amp;"icon"&amp;CHAR(34)&amp;":"&amp;CHAR(34)&amp;D69&amp;CHAR(34)&amp;","&amp;CHAR(34)&amp;"width"&amp;CHAR(34)&amp;":"&amp;CHAR(34)&amp;E69&amp;CHAR(34)&amp;","&amp;CHAR(34)&amp;"text"&amp;CHAR(34)&amp;":"&amp;CHAR(34)&amp;F69&amp;CHAR(34)&amp;","&amp;CHAR(34)&amp;"shortcut"&amp;CHAR(34)&amp;":"&amp;G69&amp;","&amp;CHAR(34)&amp;"items"&amp;CHAR(34)&amp;":[")</f>
        <v>{"value":"Select none","icon":"far fa-square","function":"alert()","text":"","shortcut":['Ctrl','Shift','A',]},</v>
      </c>
      <c r="K69" t="s">
        <v>253</v>
      </c>
      <c r="L69">
        <v>1</v>
      </c>
      <c r="M69">
        <v>1</v>
      </c>
      <c r="N69" t="s">
        <v>264</v>
      </c>
      <c r="O69">
        <v>65</v>
      </c>
      <c r="P69" t="str">
        <f t="shared" si="1"/>
        <v>mainSystem.keyHandler.bindControlShiftKey(65, function (evt){alert()});</v>
      </c>
    </row>
    <row r="70" spans="1:16" x14ac:dyDescent="0.3">
      <c r="B70" t="s">
        <v>124</v>
      </c>
      <c r="D70" t="s">
        <v>161</v>
      </c>
      <c r="E70" t="s">
        <v>272</v>
      </c>
      <c r="F70" t="s">
        <v>208</v>
      </c>
      <c r="G70" t="str">
        <f t="shared" si="0"/>
        <v>['Ctrl','X',]</v>
      </c>
      <c r="H70" t="str">
        <f t="shared" ref="H70" si="3">IF(ISBLANK(A70),"{"&amp;CHAR(34)&amp;"value"&amp;CHAR(34)&amp;":"&amp;CHAR(34)&amp;B70&amp;CHAR(34)&amp;","&amp;CHAR(34)&amp;"icon"&amp;CHAR(34)&amp;":"&amp;CHAR(34)&amp;D70&amp;CHAR(34)&amp;","&amp;CHAR(34)&amp;"function"&amp;CHAR(34)&amp;":"&amp;CHAR(34)&amp;E70&amp;CHAR(34)&amp;","&amp;CHAR(34)&amp;"text"&amp;CHAR(34)&amp;":"&amp;CHAR(34)&amp;F70&amp;CHAR(34)&amp;","&amp;CHAR(34)&amp;"shortcut"&amp;CHAR(34)&amp;":"&amp;G70&amp;"}"&amp;IF(ISBLANK(A74),",","]},"),"{"&amp;CHAR(34)&amp;"value"&amp;CHAR(34)&amp;":"&amp;CHAR(34)&amp;A70&amp;CHAR(34)&amp;","&amp;CHAR(34)&amp;"icon"&amp;CHAR(34)&amp;":"&amp;CHAR(34)&amp;D70&amp;CHAR(34)&amp;","&amp;CHAR(34)&amp;"width"&amp;CHAR(34)&amp;":"&amp;CHAR(34)&amp;E70&amp;CHAR(34)&amp;","&amp;CHAR(34)&amp;"text"&amp;CHAR(34)&amp;":"&amp;CHAR(34)&amp;F70&amp;CHAR(34)&amp;","&amp;CHAR(34)&amp;"shortcut"&amp;CHAR(34)&amp;":"&amp;G70&amp;","&amp;CHAR(34)&amp;"items"&amp;CHAR(34)&amp;":[")</f>
        <v>{"value":"Cut","icon":"fas fa-cut","function":"alert()","text":"Copies the selected Uyamak models into the clipboard and deletes the original ones","shortcut":['Ctrl','X',]},</v>
      </c>
      <c r="K70" t="s">
        <v>253</v>
      </c>
      <c r="L70">
        <v>1</v>
      </c>
      <c r="N70" t="s">
        <v>256</v>
      </c>
      <c r="O70">
        <v>88</v>
      </c>
      <c r="P70" t="str">
        <f t="shared" si="1"/>
        <v>mainSystem.keyHandler.bindControlKey(88, function (evt){alert()});</v>
      </c>
    </row>
    <row r="71" spans="1:16" x14ac:dyDescent="0.3">
      <c r="B71" t="s">
        <v>125</v>
      </c>
      <c r="D71" t="s">
        <v>162</v>
      </c>
      <c r="E71" t="s">
        <v>272</v>
      </c>
      <c r="F71" t="s">
        <v>207</v>
      </c>
      <c r="G71" t="str">
        <f t="shared" si="0"/>
        <v>['Ctrl','C',]</v>
      </c>
      <c r="H71" t="str">
        <f t="shared" si="2"/>
        <v>{"value":"Copy","icon":"fas fa-copy","function":"alert()","text":"Copies the selected Uyamak models into the clipboard","shortcut":['Ctrl','C',]},</v>
      </c>
      <c r="K71" t="s">
        <v>253</v>
      </c>
      <c r="L71">
        <v>1</v>
      </c>
      <c r="N71" t="s">
        <v>244</v>
      </c>
      <c r="O71">
        <v>67</v>
      </c>
      <c r="P71" t="str">
        <f t="shared" si="1"/>
        <v>mainSystem.keyHandler.bindControlKey(67, function (evt){alert()});</v>
      </c>
    </row>
    <row r="72" spans="1:16" x14ac:dyDescent="0.3">
      <c r="B72" t="s">
        <v>126</v>
      </c>
      <c r="D72" t="s">
        <v>163</v>
      </c>
      <c r="E72" t="s">
        <v>272</v>
      </c>
      <c r="F72" t="s">
        <v>209</v>
      </c>
      <c r="G72" t="str">
        <f t="shared" si="0"/>
        <v>['Ctrl','V',]</v>
      </c>
      <c r="H72" t="str">
        <f t="shared" si="2"/>
        <v>{"value":"Paste","icon":"fas fa-paste","function":"alert()","text":"Pastes the clipboard Uyamak models to the present Uyamak system","shortcut":['Ctrl','V',]},</v>
      </c>
      <c r="K72" t="s">
        <v>253</v>
      </c>
      <c r="L72">
        <v>1</v>
      </c>
      <c r="N72" t="s">
        <v>257</v>
      </c>
      <c r="O72">
        <v>86</v>
      </c>
      <c r="P72" t="str">
        <f t="shared" si="1"/>
        <v>mainSystem.keyHandler.bindControlKey(86, function (evt){alert()});</v>
      </c>
    </row>
    <row r="73" spans="1:16" x14ac:dyDescent="0.3">
      <c r="B73" t="s">
        <v>164</v>
      </c>
      <c r="D73" t="s">
        <v>165</v>
      </c>
      <c r="E73" t="s">
        <v>272</v>
      </c>
      <c r="F73" t="s">
        <v>210</v>
      </c>
      <c r="G73" t="str">
        <f t="shared" si="0"/>
        <v>['Ctrl','Shift','C',]</v>
      </c>
      <c r="H73" t="str">
        <f t="shared" si="2"/>
        <v>{"value":"Clone","icon":"fas fa-clone","function":"alert()","text":"Clones the selected Uyamak models","shortcut":['Ctrl','Shift','C',]},</v>
      </c>
      <c r="K73" t="s">
        <v>253</v>
      </c>
      <c r="L73">
        <v>1</v>
      </c>
      <c r="M73">
        <v>1</v>
      </c>
      <c r="N73" t="s">
        <v>244</v>
      </c>
      <c r="O73">
        <v>67</v>
      </c>
      <c r="P73" t="str">
        <f t="shared" si="1"/>
        <v>mainSystem.keyHandler.bindControlShiftKey(67, function (evt){alert()});</v>
      </c>
    </row>
    <row r="74" spans="1:16" x14ac:dyDescent="0.3">
      <c r="B74" t="s">
        <v>33</v>
      </c>
      <c r="D74" t="s">
        <v>166</v>
      </c>
      <c r="E74" t="s">
        <v>316</v>
      </c>
      <c r="F74" t="s">
        <v>211</v>
      </c>
      <c r="G74" t="str">
        <f t="shared" si="0"/>
        <v>['Delete',]</v>
      </c>
      <c r="H74" t="str">
        <f>IF(ISBLANK(A74),"{"&amp;CHAR(34)&amp;"value"&amp;CHAR(34)&amp;":"&amp;CHAR(34)&amp;B74&amp;CHAR(34)&amp;","&amp;CHAR(34)&amp;"icon"&amp;CHAR(34)&amp;":"&amp;CHAR(34)&amp;D74&amp;CHAR(34)&amp;","&amp;CHAR(34)&amp;"function"&amp;CHAR(34)&amp;":"&amp;CHAR(34)&amp;E74&amp;CHAR(34)&amp;","&amp;CHAR(34)&amp;"text"&amp;CHAR(34)&amp;":"&amp;CHAR(34)&amp;F74&amp;CHAR(34)&amp;","&amp;CHAR(34)&amp;"shortcut"&amp;CHAR(34)&amp;":"&amp;G74&amp;"}"&amp;IF(ISBLANK(#REF!),",","]},"),"{"&amp;CHAR(34)&amp;"value"&amp;CHAR(34)&amp;":"&amp;CHAR(34)&amp;A74&amp;CHAR(34)&amp;","&amp;CHAR(34)&amp;"icon"&amp;CHAR(34)&amp;":"&amp;CHAR(34)&amp;D74&amp;CHAR(34)&amp;","&amp;CHAR(34)&amp;"width"&amp;CHAR(34)&amp;":"&amp;CHAR(34)&amp;E74&amp;CHAR(34)&amp;","&amp;CHAR(34)&amp;"text"&amp;CHAR(34)&amp;":"&amp;CHAR(34)&amp;F74&amp;CHAR(34)&amp;","&amp;CHAR(34)&amp;"shortcut"&amp;CHAR(34)&amp;":"&amp;G74&amp;","&amp;CHAR(34)&amp;"items"&amp;CHAR(34)&amp;":[")</f>
        <v>{"value":"Delete","icon":"fas fa-trash-alt","function":"if (mainSystem.graph.isEnabled()) mainSystem.graph.removeCells();","text":"Delete the selected Uyamak models and Sub-systems","shortcut":['Delete',]}]},</v>
      </c>
      <c r="K74" t="s">
        <v>253</v>
      </c>
      <c r="N74" t="s">
        <v>33</v>
      </c>
      <c r="O74">
        <v>46</v>
      </c>
      <c r="P74" t="str">
        <f t="shared" si="1"/>
        <v>mainSystem.keyHandler.bindKey(46, function (evt){if (mainSystem.graph.isEnabled()) mainSystem.graph.removeCells();});</v>
      </c>
    </row>
    <row r="75" spans="1:16" x14ac:dyDescent="0.3">
      <c r="B75" t="s">
        <v>143</v>
      </c>
      <c r="D75" t="s">
        <v>167</v>
      </c>
      <c r="E75" t="s">
        <v>327</v>
      </c>
      <c r="F75" t="s">
        <v>212</v>
      </c>
      <c r="G75" t="str">
        <f t="shared" si="0"/>
        <v>['Ctrl','Z',]</v>
      </c>
      <c r="H75" t="str">
        <f t="shared" si="2"/>
        <v>{"value":"Undo","icon":"fas fa-undo","function":"mainSystem.undoManager.undo();","text":"Undo the recent changes","shortcut":['Ctrl','Z',]},</v>
      </c>
      <c r="K75" t="s">
        <v>253</v>
      </c>
      <c r="L75">
        <v>1</v>
      </c>
      <c r="N75" t="s">
        <v>258</v>
      </c>
      <c r="O75">
        <v>90</v>
      </c>
      <c r="P75" t="str">
        <f t="shared" si="1"/>
        <v>mainSystem.keyHandler.bindControlKey(90, function (evt){mainSystem.undoManager.undo();});</v>
      </c>
    </row>
    <row r="76" spans="1:16" x14ac:dyDescent="0.3">
      <c r="B76" t="s">
        <v>144</v>
      </c>
      <c r="D76" t="s">
        <v>168</v>
      </c>
      <c r="E76" t="s">
        <v>328</v>
      </c>
      <c r="F76" t="s">
        <v>213</v>
      </c>
      <c r="G76" t="str">
        <f t="shared" si="0"/>
        <v>['Ctrl','Shift','Z',]</v>
      </c>
      <c r="H76" t="str">
        <f t="shared" si="2"/>
        <v>{"value":"Redo","icon":"fas fa-redo","function":"mainSystem.undoManager.redo();","text":"Redo the recent changes","shortcut":['Ctrl','Shift','Z',]}]},</v>
      </c>
      <c r="K76" t="s">
        <v>253</v>
      </c>
      <c r="L76">
        <v>1</v>
      </c>
      <c r="M76">
        <v>1</v>
      </c>
      <c r="N76" t="s">
        <v>258</v>
      </c>
      <c r="O76">
        <v>90</v>
      </c>
      <c r="P76" t="str">
        <f t="shared" si="1"/>
        <v>mainSystem.keyHandler.bindControlShiftKey(90, function (evt){mainSystem.undoManager.redo();});</v>
      </c>
    </row>
    <row r="77" spans="1:16" x14ac:dyDescent="0.3">
      <c r="A77" t="s">
        <v>127</v>
      </c>
      <c r="D77" t="s">
        <v>189</v>
      </c>
      <c r="E77">
        <v>390</v>
      </c>
      <c r="F77" t="s">
        <v>215</v>
      </c>
      <c r="G77" t="str">
        <f t="shared" si="0"/>
        <v>[]</v>
      </c>
      <c r="H77" t="str">
        <f t="shared" si="2"/>
        <v>{"value":"View","icon":"fas fa-desktop","width":"390","text":"Menu gives different options to visualize the Uyamak system","shortcut":[],"items":[</v>
      </c>
      <c r="K77" t="s">
        <v>253</v>
      </c>
      <c r="P77" t="str">
        <f t="shared" si="1"/>
        <v/>
      </c>
    </row>
    <row r="78" spans="1:16" x14ac:dyDescent="0.3">
      <c r="B78" t="s">
        <v>129</v>
      </c>
      <c r="D78" t="s">
        <v>169</v>
      </c>
      <c r="E78" t="s">
        <v>319</v>
      </c>
      <c r="F78" t="s">
        <v>216</v>
      </c>
      <c r="G78" t="str">
        <f t="shared" si="0"/>
        <v>['Ctrl','+',]</v>
      </c>
      <c r="H78" t="str">
        <f t="shared" si="2"/>
        <v>{"value":"Zoom in","icon":"fas fa-search-plus","function":"mainSystem.graph.zoomIn();","text":"Zooms in","shortcut":['Ctrl','+',]},</v>
      </c>
      <c r="K78" t="s">
        <v>253</v>
      </c>
      <c r="L78">
        <v>1</v>
      </c>
      <c r="N78" t="s">
        <v>259</v>
      </c>
      <c r="O78">
        <v>107</v>
      </c>
      <c r="P78" t="str">
        <f t="shared" si="1"/>
        <v>mainSystem.keyHandler.bindControlKey(107, function (evt){mainSystem.graph.zoomIn();});</v>
      </c>
    </row>
    <row r="79" spans="1:16" x14ac:dyDescent="0.3">
      <c r="B79" t="s">
        <v>128</v>
      </c>
      <c r="D79" t="s">
        <v>170</v>
      </c>
      <c r="E79" t="s">
        <v>320</v>
      </c>
      <c r="F79" t="s">
        <v>217</v>
      </c>
      <c r="G79" t="str">
        <f t="shared" si="0"/>
        <v>['Ctrl','-',]</v>
      </c>
      <c r="H79" t="str">
        <f t="shared" si="2"/>
        <v>{"value":"Zoom out","icon":"fas fa-search-minus","function":"mainSystem.graph.zoomOut();","text":"Zooms out","shortcut":['Ctrl','-',]},</v>
      </c>
      <c r="K79" t="s">
        <v>253</v>
      </c>
      <c r="L79">
        <v>1</v>
      </c>
      <c r="N79" t="s">
        <v>260</v>
      </c>
      <c r="O79">
        <v>109</v>
      </c>
      <c r="P79" t="str">
        <f t="shared" si="1"/>
        <v>mainSystem.keyHandler.bindControlKey(109, function (evt){mainSystem.graph.zoomOut();});</v>
      </c>
    </row>
    <row r="80" spans="1:16" x14ac:dyDescent="0.3">
      <c r="B80" t="s">
        <v>131</v>
      </c>
      <c r="D80" t="s">
        <v>172</v>
      </c>
      <c r="E80" t="s">
        <v>321</v>
      </c>
      <c r="F80" t="s">
        <v>218</v>
      </c>
      <c r="G80" t="str">
        <f t="shared" si="0"/>
        <v>['Ctrl','0',]</v>
      </c>
      <c r="H80" t="str">
        <f t="shared" si="2"/>
        <v>{"value":"Original size","icon":"fas fa-compress","function":"mainSystem.graph.zoomActual();","text":"Shows the original size. Some items may be out of view. You can see them by scrolling","shortcut":['Ctrl','0',]},</v>
      </c>
      <c r="K80" t="s">
        <v>253</v>
      </c>
      <c r="L80">
        <v>1</v>
      </c>
      <c r="N80">
        <v>0</v>
      </c>
      <c r="O80">
        <v>96</v>
      </c>
      <c r="P80" t="str">
        <f t="shared" si="1"/>
        <v>mainSystem.keyHandler.bindControlKey(96, function (evt){mainSystem.graph.zoomActual();});</v>
      </c>
    </row>
    <row r="81" spans="1:16" x14ac:dyDescent="0.3">
      <c r="B81" t="s">
        <v>130</v>
      </c>
      <c r="D81" t="s">
        <v>171</v>
      </c>
      <c r="E81" t="s">
        <v>322</v>
      </c>
      <c r="F81" t="s">
        <v>219</v>
      </c>
      <c r="G81" t="str">
        <f t="shared" si="0"/>
        <v>['Ctrl','Shift','0',]</v>
      </c>
      <c r="H81" t="str">
        <f>IF(ISBLANK(A81),"{"&amp;CHAR(34)&amp;"value"&amp;CHAR(34)&amp;":"&amp;CHAR(34)&amp;B81&amp;CHAR(34)&amp;","&amp;CHAR(34)&amp;"icon"&amp;CHAR(34)&amp;":"&amp;CHAR(34)&amp;D81&amp;CHAR(34)&amp;","&amp;CHAR(34)&amp;"function"&amp;CHAR(34)&amp;":"&amp;CHAR(34)&amp;E81&amp;CHAR(34)&amp;","&amp;CHAR(34)&amp;"text"&amp;CHAR(34)&amp;":"&amp;CHAR(34)&amp;F81&amp;CHAR(34)&amp;","&amp;CHAR(34)&amp;"shortcut"&amp;CHAR(34)&amp;":"&amp;G81&amp;"}"&amp;IF(ISBLANK(#REF!),",","]},"),"{"&amp;CHAR(34)&amp;"value"&amp;CHAR(34)&amp;":"&amp;CHAR(34)&amp;A81&amp;CHAR(34)&amp;","&amp;CHAR(34)&amp;"icon"&amp;CHAR(34)&amp;":"&amp;CHAR(34)&amp;D81&amp;CHAR(34)&amp;","&amp;CHAR(34)&amp;"width"&amp;CHAR(34)&amp;":"&amp;CHAR(34)&amp;E81&amp;CHAR(34)&amp;","&amp;CHAR(34)&amp;"text"&amp;CHAR(34)&amp;":"&amp;CHAR(34)&amp;F81&amp;CHAR(34)&amp;","&amp;CHAR(34)&amp;"shortcut"&amp;CHAR(34)&amp;":"&amp;G81&amp;","&amp;CHAR(34)&amp;"items"&amp;CHAR(34)&amp;":[")</f>
        <v>{"value":"Fit all","icon":"fas fa-expand","function":"mainSystem.graph.fit();","text":"Shows the complete Uyamak system","shortcut":['Ctrl','Shift','0',]}]},</v>
      </c>
      <c r="K81" t="s">
        <v>253</v>
      </c>
      <c r="L81">
        <v>1</v>
      </c>
      <c r="M81">
        <v>1</v>
      </c>
      <c r="N81">
        <v>0</v>
      </c>
      <c r="O81">
        <v>96</v>
      </c>
      <c r="P81" t="str">
        <f t="shared" si="1"/>
        <v>mainSystem.keyHandler.bindControlShiftKey(96, function (evt){mainSystem.graph.fit();});</v>
      </c>
    </row>
    <row r="82" spans="1:16" x14ac:dyDescent="0.3">
      <c r="B82" t="s">
        <v>145</v>
      </c>
      <c r="D82" t="s">
        <v>173</v>
      </c>
      <c r="E82" t="s">
        <v>273</v>
      </c>
      <c r="F82" t="s">
        <v>220</v>
      </c>
      <c r="G82" t="str">
        <f t="shared" si="0"/>
        <v>['Ctrl','M',]</v>
      </c>
      <c r="H82" t="str">
        <f t="shared" si="2"/>
        <v>{"value":"Minimize  subsystem(s)","icon":"fas fa-window-minimize","function":"foldItems();","text":"Minimizes the selected subsystem. If nothing is selected, all the sub-systems will be minimized","shortcut":['Ctrl','M',]},</v>
      </c>
      <c r="K82" t="s">
        <v>253</v>
      </c>
      <c r="L82">
        <v>1</v>
      </c>
      <c r="N82" t="s">
        <v>247</v>
      </c>
      <c r="O82">
        <v>77</v>
      </c>
      <c r="P82" t="str">
        <f t="shared" si="1"/>
        <v>mainSystem.keyHandler.bindControlKey(77, function (evt){foldItems();});</v>
      </c>
    </row>
    <row r="83" spans="1:16" x14ac:dyDescent="0.3">
      <c r="B83" t="s">
        <v>146</v>
      </c>
      <c r="D83" t="s">
        <v>174</v>
      </c>
      <c r="E83" t="s">
        <v>274</v>
      </c>
      <c r="F83" t="s">
        <v>221</v>
      </c>
      <c r="G83" t="str">
        <f t="shared" si="0"/>
        <v>['Ctrl','Shift','M',]</v>
      </c>
      <c r="H83" t="str">
        <f>IF(ISBLANK(A83),"{"&amp;CHAR(34)&amp;"value"&amp;CHAR(34)&amp;":"&amp;CHAR(34)&amp;B83&amp;CHAR(34)&amp;","&amp;CHAR(34)&amp;"icon"&amp;CHAR(34)&amp;":"&amp;CHAR(34)&amp;D83&amp;CHAR(34)&amp;","&amp;CHAR(34)&amp;"function"&amp;CHAR(34)&amp;":"&amp;CHAR(34)&amp;E83&amp;CHAR(34)&amp;","&amp;CHAR(34)&amp;"text"&amp;CHAR(34)&amp;":"&amp;CHAR(34)&amp;F83&amp;CHAR(34)&amp;","&amp;CHAR(34)&amp;"shortcut"&amp;CHAR(34)&amp;":"&amp;G83&amp;"}"&amp;IF(ISBLANK(#REF!),",","]},"),"{"&amp;CHAR(34)&amp;"value"&amp;CHAR(34)&amp;":"&amp;CHAR(34)&amp;A83&amp;CHAR(34)&amp;","&amp;CHAR(34)&amp;"icon"&amp;CHAR(34)&amp;":"&amp;CHAR(34)&amp;D83&amp;CHAR(34)&amp;","&amp;CHAR(34)&amp;"width"&amp;CHAR(34)&amp;":"&amp;CHAR(34)&amp;E83&amp;CHAR(34)&amp;","&amp;CHAR(34)&amp;"text"&amp;CHAR(34)&amp;":"&amp;CHAR(34)&amp;F83&amp;CHAR(34)&amp;","&amp;CHAR(34)&amp;"shortcut"&amp;CHAR(34)&amp;":"&amp;G83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maximized","shortcut":['Ctrl','Shift','M',]}]},</v>
      </c>
      <c r="K83" t="s">
        <v>253</v>
      </c>
      <c r="L83">
        <v>1</v>
      </c>
      <c r="M83">
        <v>1</v>
      </c>
      <c r="N83" t="s">
        <v>247</v>
      </c>
      <c r="O83">
        <v>77</v>
      </c>
      <c r="P83" t="str">
        <f t="shared" si="1"/>
        <v>mainSystem.keyHandler.bindControlShiftKey(77, function (evt){foldItems(false);});</v>
      </c>
    </row>
    <row r="84" spans="1:16" x14ac:dyDescent="0.3">
      <c r="B84" t="s">
        <v>279</v>
      </c>
      <c r="D84" t="s">
        <v>280</v>
      </c>
      <c r="E84" t="s">
        <v>282</v>
      </c>
      <c r="F84" t="s">
        <v>281</v>
      </c>
      <c r="G84" t="str">
        <f t="shared" si="0"/>
        <v>['Ctrl','R',]</v>
      </c>
      <c r="H84" t="str">
        <f>IF(ISBLANK(A84),"{"&amp;CHAR(34)&amp;"value"&amp;CHAR(34)&amp;":"&amp;CHAR(34)&amp;B84&amp;CHAR(34)&amp;","&amp;CHAR(34)&amp;"icon"&amp;CHAR(34)&amp;":"&amp;CHAR(34)&amp;D84&amp;CHAR(34)&amp;","&amp;CHAR(34)&amp;"function"&amp;CHAR(34)&amp;":"&amp;CHAR(34)&amp;E84&amp;CHAR(34)&amp;","&amp;CHAR(34)&amp;"text"&amp;CHAR(34)&amp;":"&amp;CHAR(34)&amp;F84&amp;CHAR(34)&amp;","&amp;CHAR(34)&amp;"shortcut"&amp;CHAR(34)&amp;":"&amp;G84&amp;"}"&amp;IF(ISBLANK(A86),",","]},"),"{"&amp;CHAR(34)&amp;"value"&amp;CHAR(34)&amp;":"&amp;CHAR(34)&amp;A84&amp;CHAR(34)&amp;","&amp;CHAR(34)&amp;"icon"&amp;CHAR(34)&amp;":"&amp;CHAR(34)&amp;D84&amp;CHAR(34)&amp;","&amp;CHAR(34)&amp;"width"&amp;CHAR(34)&amp;":"&amp;CHAR(34)&amp;E84&amp;CHAR(34)&amp;","&amp;CHAR(34)&amp;"text"&amp;CHAR(34)&amp;":"&amp;CHAR(34)&amp;F84&amp;CHAR(34)&amp;","&amp;CHAR(34)&amp;"shortcut"&amp;CHAR(34)&amp;":"&amp;G84&amp;","&amp;CHAR(34)&amp;"items"&amp;CHAR(34)&amp;":[")</f>
        <v>{"value":"Execution order","icon":"fas fa-sort-numeric-up-alt","function":"displayExecutionOrder()","text":"Shows simulation order and errors","shortcut":['Ctrl','R',]},</v>
      </c>
      <c r="K84" t="s">
        <v>253</v>
      </c>
      <c r="L84">
        <v>1</v>
      </c>
      <c r="N84" t="s">
        <v>250</v>
      </c>
      <c r="O84">
        <v>82</v>
      </c>
      <c r="P84" t="str">
        <f t="shared" si="1"/>
        <v>mainSystem.keyHandler.bindControlKey(82, function (evt){displayExecutionOrder()});</v>
      </c>
    </row>
    <row r="85" spans="1:16" x14ac:dyDescent="0.3">
      <c r="B85" t="s">
        <v>222</v>
      </c>
      <c r="D85" t="s">
        <v>177</v>
      </c>
      <c r="E85" t="s">
        <v>272</v>
      </c>
      <c r="F85" t="s">
        <v>223</v>
      </c>
      <c r="G85" t="str">
        <f t="shared" si="0"/>
        <v>['Ctrl','F',]</v>
      </c>
      <c r="H85" t="str">
        <f t="shared" si="2"/>
        <v>{"value":"System outline","icon":"fas fa-image","function":"alert()","text":"Shows outline of the Uyamak system in a small window on the top right corner","shortcut":['Ctrl','F',]},</v>
      </c>
      <c r="K85" t="s">
        <v>253</v>
      </c>
      <c r="L85">
        <v>1</v>
      </c>
      <c r="N85" t="s">
        <v>261</v>
      </c>
      <c r="O85">
        <v>70</v>
      </c>
      <c r="P85" t="str">
        <f t="shared" ref="P85:P116" si="4">IF(ISBLANK(O85),"","mainSystem.keyHandler.bind"&amp;IF(ISBLANK(L85),"","Control")&amp;IF(ISBLANK(M85),"","Shift")&amp;"Key("&amp;O85&amp;", function (evt){"&amp;E85&amp;"});")</f>
        <v>mainSystem.keyHandler.bindControlKey(70, function (evt){alert()});</v>
      </c>
    </row>
    <row r="86" spans="1:16" x14ac:dyDescent="0.3">
      <c r="B86" t="s">
        <v>141</v>
      </c>
      <c r="D86" t="s">
        <v>176</v>
      </c>
      <c r="E86" t="s">
        <v>272</v>
      </c>
      <c r="F86" t="s">
        <v>224</v>
      </c>
      <c r="G86" t="str">
        <f t="shared" si="0"/>
        <v>['Ctrl','G',]</v>
      </c>
      <c r="H86" t="str">
        <f t="shared" si="2"/>
        <v>{"value":"Show/Hide Grid lines","icon":"fas fa-border-all","function":"alert()","text":"Shows or hide the grid lines","shortcut":['Ctrl','G',]},</v>
      </c>
      <c r="K86" t="s">
        <v>253</v>
      </c>
      <c r="L86">
        <v>1</v>
      </c>
      <c r="N86" t="s">
        <v>252</v>
      </c>
      <c r="O86">
        <v>71</v>
      </c>
      <c r="P86" t="str">
        <f t="shared" si="4"/>
        <v>mainSystem.keyHandler.bindControlKey(71, function (evt){alert()});</v>
      </c>
    </row>
    <row r="87" spans="1:16" x14ac:dyDescent="0.3">
      <c r="B87" t="s">
        <v>175</v>
      </c>
      <c r="D87" t="s">
        <v>178</v>
      </c>
      <c r="E87" t="s">
        <v>272</v>
      </c>
      <c r="F87" t="s">
        <v>225</v>
      </c>
      <c r="G87" t="str">
        <f t="shared" si="0"/>
        <v>['Ctrl','T',]</v>
      </c>
      <c r="H87" t="str">
        <f t="shared" si="2"/>
        <v>{"value":"Toggle snap to grid","icon":"fas fa-magnet","function":"alert()","text":"When snap to grid is activated, the blocks are moved at a steps instead of smoothly","shortcut":['Ctrl','T',]},</v>
      </c>
      <c r="K87" t="s">
        <v>253</v>
      </c>
      <c r="L87">
        <v>1</v>
      </c>
      <c r="N87" t="s">
        <v>262</v>
      </c>
      <c r="O87">
        <v>84</v>
      </c>
      <c r="P87" t="str">
        <f t="shared" si="4"/>
        <v>mainSystem.keyHandler.bindControlKey(84, function (evt){alert()});</v>
      </c>
    </row>
    <row r="88" spans="1:16" x14ac:dyDescent="0.3">
      <c r="B88" t="s">
        <v>142</v>
      </c>
      <c r="D88" t="s">
        <v>179</v>
      </c>
      <c r="E88" t="s">
        <v>272</v>
      </c>
      <c r="F88" t="s">
        <v>226</v>
      </c>
      <c r="G88" t="str">
        <f t="shared" si="0"/>
        <v>['Ctrl','Y',]</v>
      </c>
      <c r="H88" t="str">
        <f t="shared" si="2"/>
        <v>{"value":"Keyboard shortcuts","icon":"far fa-keyboard","function":"alert()","text":"Displays all the keyboard shortcuts","shortcut":['Ctrl','Y',]}]},</v>
      </c>
      <c r="K88" t="s">
        <v>253</v>
      </c>
      <c r="L88">
        <v>1</v>
      </c>
      <c r="N88" t="s">
        <v>263</v>
      </c>
      <c r="O88">
        <v>89</v>
      </c>
      <c r="P88" t="str">
        <f t="shared" si="4"/>
        <v>mainSystem.keyHandler.bindControlKey(89, function (evt){alert()});</v>
      </c>
    </row>
    <row r="89" spans="1:16" x14ac:dyDescent="0.3">
      <c r="A89" t="s">
        <v>122</v>
      </c>
      <c r="D89" t="s">
        <v>180</v>
      </c>
      <c r="E89">
        <v>315</v>
      </c>
      <c r="F89" t="s">
        <v>227</v>
      </c>
      <c r="G89" t="str">
        <f t="shared" si="0"/>
        <v>[]</v>
      </c>
      <c r="H89" t="str">
        <f t="shared" si="2"/>
        <v>{"value":"Account","icon":"fas fa-user-alt","width":"315","text":"Menu gives options to manage the user account","shortcut":[],"items":[</v>
      </c>
      <c r="K89" t="s">
        <v>253</v>
      </c>
      <c r="P89" t="str">
        <f t="shared" si="4"/>
        <v/>
      </c>
    </row>
    <row r="90" spans="1:16" x14ac:dyDescent="0.3">
      <c r="B90" t="s">
        <v>150</v>
      </c>
      <c r="D90" t="s">
        <v>190</v>
      </c>
      <c r="E90" t="s">
        <v>272</v>
      </c>
      <c r="F90" t="s">
        <v>228</v>
      </c>
      <c r="G90" t="str">
        <f t="shared" si="0"/>
        <v>[]</v>
      </c>
      <c r="H90" t="str">
        <f t="shared" si="2"/>
        <v>{"value":"Profile","icon":"fas fa-user-cog","function":"alert()","text":"Opens another page where you can manage your Uyamak profile","shortcut":[]},</v>
      </c>
      <c r="K90" t="s">
        <v>253</v>
      </c>
      <c r="P90" t="str">
        <f t="shared" si="4"/>
        <v/>
      </c>
    </row>
    <row r="91" spans="1:16" x14ac:dyDescent="0.3">
      <c r="B91" t="s">
        <v>121</v>
      </c>
      <c r="D91" t="s">
        <v>181</v>
      </c>
      <c r="E91" t="s">
        <v>272</v>
      </c>
      <c r="F91" t="s">
        <v>229</v>
      </c>
      <c r="G91" t="str">
        <f t="shared" si="0"/>
        <v>['Ctrl','B',]</v>
      </c>
      <c r="H91" t="str">
        <f t="shared" si="2"/>
        <v>{"value":"Extend licence period","icon":"fas fa-ticket-alt","function":"alert()","text":"Lets you extend the license period","shortcut":['Ctrl','B',]},</v>
      </c>
      <c r="K91" t="s">
        <v>253</v>
      </c>
      <c r="L91">
        <v>1</v>
      </c>
      <c r="N91" t="s">
        <v>265</v>
      </c>
      <c r="O91">
        <v>66</v>
      </c>
      <c r="P91" t="str">
        <f t="shared" si="4"/>
        <v>mainSystem.keyHandler.bindControlKey(66, function (evt){alert()});</v>
      </c>
    </row>
    <row r="92" spans="1:16" x14ac:dyDescent="0.3">
      <c r="B92" t="s">
        <v>119</v>
      </c>
      <c r="D92" t="s">
        <v>182</v>
      </c>
      <c r="E92" t="s">
        <v>272</v>
      </c>
      <c r="F92" t="s">
        <v>230</v>
      </c>
      <c r="G92" t="str">
        <f t="shared" si="0"/>
        <v>['Ctrl','W',]</v>
      </c>
      <c r="H92" t="str">
        <f t="shared" si="2"/>
        <v>{"value":"Sign out","icon":"fas fa-door-open","function":"alert()","text":"Signing out","shortcut":['Ctrl','W',]}]},</v>
      </c>
      <c r="K92" t="s">
        <v>253</v>
      </c>
      <c r="L92">
        <v>1</v>
      </c>
      <c r="N92" t="s">
        <v>266</v>
      </c>
      <c r="O92">
        <v>87</v>
      </c>
      <c r="P92" t="str">
        <f t="shared" si="4"/>
        <v>mainSystem.keyHandler.bindControlKey(87, function (evt){alert()});</v>
      </c>
    </row>
    <row r="93" spans="1:16" x14ac:dyDescent="0.3">
      <c r="A93" t="s">
        <v>147</v>
      </c>
      <c r="D93" t="s">
        <v>191</v>
      </c>
      <c r="E93">
        <v>275</v>
      </c>
      <c r="F93" t="s">
        <v>231</v>
      </c>
      <c r="G93" t="str">
        <f t="shared" si="0"/>
        <v>[]</v>
      </c>
      <c r="H93" t="str">
        <f t="shared" si="2"/>
        <v>{"value":"Help","icon":"far fa-life-ring","width":"275","text":"Menu gives access to documentation and help","shortcut":[],"items":[</v>
      </c>
      <c r="K93" t="s">
        <v>253</v>
      </c>
      <c r="P93" t="str">
        <f t="shared" si="4"/>
        <v/>
      </c>
    </row>
    <row r="94" spans="1:16" x14ac:dyDescent="0.3">
      <c r="B94" t="s">
        <v>148</v>
      </c>
      <c r="D94" t="s">
        <v>183</v>
      </c>
      <c r="E94" t="s">
        <v>272</v>
      </c>
      <c r="F94" t="s">
        <v>232</v>
      </c>
      <c r="G94" t="str">
        <f t="shared" si="0"/>
        <v>['Ctrl','D',]</v>
      </c>
      <c r="H94" t="str">
        <f t="shared" si="2"/>
        <v>{"value":"Documentation","icon":"fas fa-book","function":"alert()","text":"Takes you to the documentation page","shortcut":['Ctrl','D',]},</v>
      </c>
      <c r="K94" t="s">
        <v>253</v>
      </c>
      <c r="L94">
        <v>1</v>
      </c>
      <c r="N94" t="s">
        <v>245</v>
      </c>
      <c r="O94">
        <v>68</v>
      </c>
      <c r="P94" t="str">
        <f t="shared" si="4"/>
        <v>mainSystem.keyHandler.bindControlKey(68, function (evt){alert()});</v>
      </c>
    </row>
    <row r="95" spans="1:16" x14ac:dyDescent="0.3">
      <c r="B95" t="s">
        <v>184</v>
      </c>
      <c r="D95" t="s">
        <v>186</v>
      </c>
      <c r="E95" t="s">
        <v>272</v>
      </c>
      <c r="F95" t="s">
        <v>233</v>
      </c>
      <c r="G95" t="str">
        <f t="shared" si="0"/>
        <v>['Ctrl','H',]</v>
      </c>
      <c r="H95" t="str">
        <f>IF(ISBLANK(A95),"{"&amp;CHAR(34)&amp;"value"&amp;CHAR(34)&amp;":"&amp;CHAR(34)&amp;B95&amp;CHAR(34)&amp;","&amp;CHAR(34)&amp;"icon"&amp;CHAR(34)&amp;":"&amp;CHAR(34)&amp;D95&amp;CHAR(34)&amp;","&amp;CHAR(34)&amp;"function"&amp;CHAR(34)&amp;":"&amp;CHAR(34)&amp;E95&amp;CHAR(34)&amp;","&amp;CHAR(34)&amp;"text"&amp;CHAR(34)&amp;":"&amp;CHAR(34)&amp;F95&amp;CHAR(34)&amp;","&amp;CHAR(34)&amp;"shortcut"&amp;CHAR(34)&amp;":"&amp;G95&amp;"}"&amp;IF(ISBLANK(#REF!),",","]},"),"{"&amp;CHAR(34)&amp;"value"&amp;CHAR(34)&amp;":"&amp;CHAR(34)&amp;A95&amp;CHAR(34)&amp;","&amp;CHAR(34)&amp;"icon"&amp;CHAR(34)&amp;":"&amp;CHAR(34)&amp;D95&amp;CHAR(34)&amp;","&amp;CHAR(34)&amp;"width"&amp;CHAR(34)&amp;":"&amp;CHAR(34)&amp;E95&amp;CHAR(34)&amp;","&amp;CHAR(34)&amp;"text"&amp;CHAR(34)&amp;":"&amp;CHAR(34)&amp;F95&amp;CHAR(34)&amp;","&amp;CHAR(34)&amp;"shortcut"&amp;CHAR(34)&amp;":"&amp;G95&amp;","&amp;CHAR(34)&amp;"items"&amp;CHAR(34)&amp;":[")</f>
        <v>{"value":"Context help","icon":"far fa-question-circle","function":"alert()","text":"Shows the documentation for the selected Uyamak model","shortcut":['Ctrl','H',]}]},</v>
      </c>
      <c r="K95" t="s">
        <v>253</v>
      </c>
      <c r="L95">
        <v>1</v>
      </c>
      <c r="N95" t="s">
        <v>267</v>
      </c>
      <c r="O95">
        <v>72</v>
      </c>
      <c r="P95" t="str">
        <f t="shared" si="4"/>
        <v>mainSystem.keyHandler.bindControlKey(72, function (evt){alert()});</v>
      </c>
    </row>
    <row r="96" spans="1:16" x14ac:dyDescent="0.3">
      <c r="B96" t="s">
        <v>149</v>
      </c>
      <c r="D96" t="s">
        <v>185</v>
      </c>
      <c r="E96" t="s">
        <v>272</v>
      </c>
      <c r="F96" t="s">
        <v>233</v>
      </c>
      <c r="G96" t="str">
        <f t="shared" si="0"/>
        <v>[]</v>
      </c>
      <c r="H96" t="str">
        <f t="shared" si="2"/>
        <v>{"value":"About","icon":"fas fa-info","function":"alert()","text":"Shows the documentation for the selected Uyamak model","shortcut":[]}]},</v>
      </c>
      <c r="K96" t="s">
        <v>253</v>
      </c>
      <c r="P96" t="str">
        <f t="shared" si="4"/>
        <v/>
      </c>
    </row>
    <row r="97" spans="1:16" x14ac:dyDescent="0.3">
      <c r="A97" t="s">
        <v>135</v>
      </c>
      <c r="K97" t="s">
        <v>253</v>
      </c>
      <c r="P97" t="str">
        <f t="shared" si="4"/>
        <v/>
      </c>
    </row>
    <row r="98" spans="1:16" x14ac:dyDescent="0.3">
      <c r="E98" t="s">
        <v>323</v>
      </c>
      <c r="K98" t="s">
        <v>253</v>
      </c>
      <c r="N98" t="s">
        <v>275</v>
      </c>
      <c r="O98">
        <v>38</v>
      </c>
      <c r="P98" t="str">
        <f t="shared" si="4"/>
        <v>mainSystem.keyHandler.bindKey(38, function (evt){movemainSystem.graph("up");});</v>
      </c>
    </row>
    <row r="99" spans="1:16" x14ac:dyDescent="0.3">
      <c r="E99" t="s">
        <v>324</v>
      </c>
      <c r="K99" t="s">
        <v>253</v>
      </c>
      <c r="N99" t="s">
        <v>276</v>
      </c>
      <c r="O99">
        <v>40</v>
      </c>
      <c r="P99" t="str">
        <f t="shared" si="4"/>
        <v>mainSystem.keyHandler.bindKey(40, function (evt){movemainSystem.graph("down");});</v>
      </c>
    </row>
    <row r="100" spans="1:16" x14ac:dyDescent="0.3">
      <c r="E100" t="s">
        <v>325</v>
      </c>
      <c r="K100" t="s">
        <v>253</v>
      </c>
      <c r="N100" t="s">
        <v>277</v>
      </c>
      <c r="O100">
        <v>39</v>
      </c>
      <c r="P100" t="str">
        <f t="shared" si="4"/>
        <v>mainSystem.keyHandler.bindKey(39, function (evt){movemainSystem.graph("right");});</v>
      </c>
    </row>
    <row r="101" spans="1:16" x14ac:dyDescent="0.3">
      <c r="E101" t="s">
        <v>326</v>
      </c>
      <c r="K101" t="s">
        <v>253</v>
      </c>
      <c r="N101" t="s">
        <v>278</v>
      </c>
      <c r="O101">
        <v>37</v>
      </c>
      <c r="P101" t="str">
        <f t="shared" si="4"/>
        <v>mainSystem.keyHandler.bindKey(37, function (evt){movemainSystem.graph("left");});</v>
      </c>
    </row>
    <row r="102" spans="1:16" x14ac:dyDescent="0.3">
      <c r="E102" t="s">
        <v>321</v>
      </c>
      <c r="L102">
        <v>1</v>
      </c>
      <c r="N102">
        <v>0</v>
      </c>
      <c r="O102">
        <v>48</v>
      </c>
      <c r="P102" t="str">
        <f t="shared" si="4"/>
        <v>mainSystem.keyHandler.bindControlKey(48, function (evt){mainSystem.graph.zoomActual();});</v>
      </c>
    </row>
    <row r="103" spans="1:16" x14ac:dyDescent="0.3">
      <c r="E103" t="s">
        <v>322</v>
      </c>
      <c r="L103">
        <v>1</v>
      </c>
      <c r="M103">
        <v>1</v>
      </c>
      <c r="N103">
        <v>0</v>
      </c>
      <c r="O103">
        <v>48</v>
      </c>
      <c r="P103" t="str">
        <f t="shared" si="4"/>
        <v>mainSystem.keyHandler.bindControlShiftKey(48, function (evt){mainSystem.graph.fit();});</v>
      </c>
    </row>
    <row r="104" spans="1:16" x14ac:dyDescent="0.3">
      <c r="P104" t="str">
        <f t="shared" si="4"/>
        <v/>
      </c>
    </row>
    <row r="105" spans="1:16" x14ac:dyDescent="0.3">
      <c r="P105" t="str">
        <f t="shared" si="4"/>
        <v/>
      </c>
    </row>
  </sheetData>
  <mergeCells count="3">
    <mergeCell ref="L1:M1"/>
    <mergeCell ref="N1:O1"/>
    <mergeCell ref="E1:J1"/>
  </mergeCells>
  <conditionalFormatting sqref="G52:G1048576">
    <cfRule type="duplicateValues" dxfId="1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12" workbookViewId="0">
      <selection activeCell="A21" sqref="A21:A3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2020-03-28T01:03:32Z</dcterms:modified>
</cp:coreProperties>
</file>