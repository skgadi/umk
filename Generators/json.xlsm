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88B3EEED-12AA-4510-AC5A-F55747B7149A}" xr6:coauthVersionLast="44" xr6:coauthVersionMax="44" xr10:uidLastSave="{00000000-0000-0000-0000-000000000000}"/>
  <bookViews>
    <workbookView xWindow="-108" yWindow="-108" windowWidth="23256" windowHeight="1257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7" i="11"/>
  <c r="J27" i="11"/>
  <c r="K27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25" i="11"/>
  <c r="J25" i="11"/>
  <c r="K25" i="11"/>
  <c r="I26" i="11"/>
  <c r="J26" i="11"/>
  <c r="K26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<sst xmlns="http://schemas.openxmlformats.org/spreadsheetml/2006/main" count="2630" uniqueCount="1691">
  <si>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</si>
  <si>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</si>
  <si>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</si>
  <si>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</si>
  <si>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</si>
  <si>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</si>
  <si>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</si>
  <si>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</si>
  <si>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</si>
  <si>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</si>
  <si>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</si>
  <si>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</si>
  <si>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</si>
  <si>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</si>
  <si>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</si>
  <si>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</si>
  <si>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</si>
  <si>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</si>
  <si>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</si>
  <si>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</si>
  <si>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</si>
  <si>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</si>
  <si>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</si>
  <si>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</si>
  <si>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</si>
  <si>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</si>
  <si>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</si>
  <si>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</si>
  <si>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</si>
  <si>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</si>
  <si>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</si>
  <si>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</si>
  <si>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</si>
  <si>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</si>
  <si>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</si>
  <si>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</si>
  <si>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</si>
  <si>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</si>
  <si>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</si>
  <si>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</si>
  <si>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</si>
  <si>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</si>
  <si>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</si>
  <si>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</si>
  <si>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</si>
  <si>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</si>
  <si>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</si>
  <si>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</si>
  <si>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</si>
  <si>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</si>
  <si>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</si>
  <si>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</si>
  <si>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</si>
  <si>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</si>
  <si>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</si>
  <si>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</si>
  <si>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</si>
  <si>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</si>
  <si>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</si>
  <si>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</si>
  <si>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</si>
  <si>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</si>
  <si>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</si>
  <si>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</si>
  <si>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</si>
  <si>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</si>
  <si>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</si>
  <si>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</si>
  <si>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</si>
  <si>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</si>
  <si>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</si>
  <si>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</si>
  <si>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</si>
  <si>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</si>
  <si>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</si>
  <si>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</si>
  <si>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</si>
  <si>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</si>
  <si>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</si>
  <si>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</si>
  <si>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</si>
  <si>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</si>
  <si>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</si>
  <si>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</si>
  <si>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</si>
  <si>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</si>
  <si>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</si>
  <si>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</si>
  <si>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</si>
  <si>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</si>
  <si>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</si>
  <si>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</si>
  <si>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</si>
  <si>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</si>
  <si>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</si>
  <si>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</si>
  <si>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</si>
  <si>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</si>
  <si>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</si>
  <si>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</si>
  <si>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</si>
  <si>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</si>
  <si>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</si>
  <si>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</si>
  <si>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</si>
  <si>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</si>
  <si>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</si>
  <si>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</si>
  <si>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</si>
  <si>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</si>
  <si>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</si>
  <si>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</si>
  <si>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</si>
  <si>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</si>
  <si>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</si>
  <si>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</si>
  <si>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</si>
  <si>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</si>
  <si>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</si>
  <si>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</si>
  <si>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</si>
  <si>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</si>
  <si>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</si>
  <si>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</si>
  <si>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</si>
  <si>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</si>
  <si>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</si>
  <si>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</si>
  <si>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</si>
  <si>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</si>
  <si>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</si>
  <si>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</si>
  <si>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</si>
  <si>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</si>
  <si>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</si>
  <si>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</si>
  <si>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</si>
  <si>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</si>
  <si>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</si>
  <si>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</si>
  <si>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</si>
  <si>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</si>
  <si>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</si>
  <si>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</si>
  <si>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</si>
  <si>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</si>
  <si>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</si>
  <si>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</si>
  <si>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</si>
  <si>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</si>
  <si>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</si>
  <si>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</si>
  <si>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</si>
  <si>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</si>
  <si>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</si>
  <si>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</si>
  <si>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</si>
  <si>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</si>
  <si>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</si>
  <si>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</si>
  <si>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</si>
  <si>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</si>
  <si>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</si>
  <si>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</si>
  <si>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</si>
  <si>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</si>
  <si>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</si>
  <si>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</si>
  <si>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</si>
  <si>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</si>
  <si>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</si>
  <si>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</si>
  <si>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</si>
  <si>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</si>
  <si>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</si>
  <si>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</si>
  <si>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</si>
  <si>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</si>
  <si>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</si>
  <si>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</si>
  <si>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</si>
  <si>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</si>
  <si>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</si>
  <si>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</si>
  <si>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</si>
  <si>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</si>
  <si>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</si>
  <si>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</si>
  <si>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</si>
  <si>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</si>
  <si>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</si>
  <si>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</si>
  <si>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</si>
  <si>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</si>
  <si>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</si>
  <si>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</si>
  <si>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</si>
  <si>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</si>
  <si>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</si>
  <si>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</si>
  <si>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</si>
  <si>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</si>
  <si>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</si>
  <si>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</si>
  <si>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</si>
  <si>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</si>
  <si>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</si>
  <si>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</si>
  <si>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</si>
  <si>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</si>
  <si>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</si>
  <si>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</si>
  <si>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</si>
  <si>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</si>
  <si>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</si>
  <si>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</si>
  <si>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</si>
  <si>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</si>
  <si>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</si>
  <si>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</si>
  <si>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</si>
  <si>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</si>
  <si>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</si>
  <si>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</si>
  <si>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</si>
  <si>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</si>
  <si>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</si>
  <si>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</si>
  <si>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</si>
  <si>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</si>
  <si>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</si>
  <si>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</si>
  <si>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</si>
  <si>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</si>
  <si>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</si>
  <si>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</si>
  <si>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</si>
  <si>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</si>
  <si>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</si>
  <si>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</si>
  <si>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</si>
  <si>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</si>
  <si>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</si>
  <si>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</si>
  <si>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</si>
  <si>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</si>
  <si>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</si>
  <si>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</si>
  <si>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</si>
  <si>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</si>
  <si>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</si>
  <si>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</si>
  <si>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</si>
  <si>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</si>
  <si>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</si>
  <si>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</si>
  <si>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</si>
  <si>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</si>
  <si>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</si>
  <si>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</si>
  <si>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</si>
  <si>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</si>
  <si>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</si>
  <si>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</si>
  <si>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</si>
  <si>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</si>
  <si>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</si>
  <si>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</si>
  <si>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</si>
  <si>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</si>
  <si>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</si>
  <si>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</si>
  <si>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</si>
  <si>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</si>
  <si>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</si>
  <si>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</si>
  <si>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</si>
  <si>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</si>
  <si>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</si>
  <si>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</si>
  <si>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</si>
  <si>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</si>
  <si>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</si>
  <si>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</si>
  <si>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</si>
  <si>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</si>
  <si>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</si>
  <si>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</si>
  <si>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</si>
  <si>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</si>
  <si>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</si>
  <si>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</si>
  <si>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</si>
  <si>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</si>
  <si>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</si>
  <si>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</si>
  <si>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</si>
  <si>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</si>
  <si>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</si>
  <si>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</si>
  <si>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</si>
  <si>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</si>
  <si>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</si>
  <si>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</si>
  <si>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</si>
  <si>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</si>
  <si>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</si>
  <si>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</si>
  <si>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</si>
  <si>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</si>
  <si>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</si>
  <si>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</si>
  <si>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</si>
  <si>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</si>
  <si>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</si>
  <si>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</si>
  <si>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</si>
  <si>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</si>
  <si>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</si>
  <si>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</si>
  <si>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</si>
  <si>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</si>
  <si>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</si>
  <si>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</si>
  <si>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</si>
  <si>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</si>
  <si>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</si>
  <si>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</si>
  <si>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</si>
  <si>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</si>
  <si>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</si>
  <si>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</si>
  <si>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</si>
  <si>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</si>
  <si>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</si>
  <si>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</si>
  <si>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</si>
  <si>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</si>
  <si>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</si>
  <si>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</si>
  <si>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</si>
  <si>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</si>
  <si>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</si>
  <si>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</si>
  <si>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</si>
  <si>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</si>
  <si>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</si>
  <si>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</si>
  <si>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</si>
  <si>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</si>
  <si>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</si>
  <si>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</si>
  <si>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</si>
  <si>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</si>
  <si>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</si>
  <si>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</si>
  <si>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</si>
  <si>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</si>
  <si>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</si>
  <si>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</si>
  <si>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</si>
  <si>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</si>
  <si>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</si>
  <si>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</si>
  <si>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</si>
  <si>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</si>
  <si>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</si>
  <si>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</si>
  <si>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</si>
  <si>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</si>
  <si>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</si>
  <si>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</si>
  <si>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</si>
  <si>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</si>
  <si>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</si>
  <si>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</si>
  <si>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</si>
  <si>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</si>
  <si>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</si>
  <si>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</si>
  <si>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</si>
  <si>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</si>
  <si>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</si>
  <si>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</si>
  <si>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</si>
  <si>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</si>
  <si>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</si>
  <si>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</si>
  <si>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</si>
  <si>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</si>
  <si>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</si>
  <si>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</si>
  <si>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</si>
  <si>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</si>
  <si>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</si>
  <si>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</si>
  <si>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</si>
  <si>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</si>
  <si>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</si>
  <si>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</si>
  <si>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</si>
  <si>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</si>
  <si>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</si>
  <si>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</si>
  <si>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</si>
  <si>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</si>
  <si>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</si>
  <si>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</si>
  <si>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</si>
  <si>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</si>
  <si>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</si>
  <si>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</si>
  <si>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</si>
  <si>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</si>
  <si>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</si>
  <si>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</si>
  <si>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</si>
  <si>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</si>
  <si>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</si>
  <si>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</si>
  <si>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</si>
  <si>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</si>
  <si>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</si>
  <si>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</si>
  <si>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</si>
  <si>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</si>
  <si>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</si>
  <si>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</si>
  <si>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</si>
  <si>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</si>
  <si>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</si>
  <si>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</si>
  <si>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</si>
  <si>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</si>
  <si>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</si>
  <si>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</si>
  <si>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</si>
  <si>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</si>
  <si>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</si>
  <si>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</si>
  <si>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</si>
  <si>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</si>
  <si>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</si>
  <si>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</si>
  <si>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</si>
  <si>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</si>
  <si>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</si>
  <si>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</si>
  <si>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</si>
  <si>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</si>
  <si>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</si>
  <si>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</si>
  <si>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</si>
  <si>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</si>
  <si>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</si>
  <si>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</si>
  <si>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</si>
  <si>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</si>
  <si>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</si>
  <si>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</si>
  <si>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</si>
  <si>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</si>
  <si>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</si>
  <si>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</si>
  <si>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</si>
  <si>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</si>
  <si>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</si>
  <si>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</si>
  <si>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</si>
  <si>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</si>
  <si>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</si>
  <si>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</si>
  <si>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</si>
  <si>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</si>
  <si>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</si>
  <si>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</si>
  <si>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</si>
  <si>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</si>
  <si>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</si>
  <si>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</si>
  <si>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</si>
  <si>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</si>
  <si>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</si>
  <si>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</si>
  <si>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</si>
  <si>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</si>
  <si>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</si>
  <si>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</si>
  <si>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</si>
  <si>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</si>
  <si>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</si>
  <si>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</si>
  <si>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</si>
  <si>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</si>
  <si>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</si>
  <si>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</si>
  <si>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</si>
  <si>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</si>
  <si>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</si>
  <si>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</si>
  <si>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</si>
  <si>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</si>
  <si>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</si>
  <si>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</si>
  <si>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</si>
  <si>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</si>
  <si>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</si>
  <si>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</si>
  <si>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</si>
  <si>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</si>
  <si>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</si>
  <si>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</si>
  <si>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</si>
  <si>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</si>
  <si>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</si>
  <si>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</si>
  <si>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</si>
  <si>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</si>
  <si>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</si>
  <si>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</si>
  <si>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</si>
  <si>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</si>
  <si>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</si>
  <si>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</si>
  <si>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</si>
  <si>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</si>
  <si>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</si>
  <si>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</si>
  <si>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</si>
  <si>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</si>
  <si>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</si>
  <si>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</si>
  <si>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</si>
  <si>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</si>
  <si>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</si>
  <si>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</si>
  <si>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</si>
  <si>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</si>
  <si>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</si>
  <si>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</si>
  <si>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</si>
  <si>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</si>
  <si>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</si>
  <si>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</si>
  <si>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</si>
  <si>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</si>
  <si>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</si>
  <si>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</si>
  <si>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</si>
  <si>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</si>
  <si>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</si>
  <si>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</si>
  <si>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</si>
  <si>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</si>
  <si>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</si>
  <si>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</si>
  <si>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</si>
  <si>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</si>
  <si>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</si>
  <si>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</si>
  <si>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</si>
  <si>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</si>
  <si>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</si>
  <si>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</si>
  <si>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</si>
  <si>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</si>
  <si>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</si>
  <si>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</si>
  <si>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</si>
  <si>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</si>
  <si>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</si>
  <si>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</si>
  <si>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</si>
  <si>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</si>
  <si>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</si>
  <si>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</si>
  <si>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</si>
  <si>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</si>
  <si>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</si>
  <si>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</si>
  <si>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</si>
  <si>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</si>
  <si>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</si>
  <si>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</si>
  <si>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</si>
  <si>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</si>
  <si>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</si>
  <si>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</si>
  <si>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</si>
  <si>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</si>
  <si>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</si>
  <si>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</si>
  <si>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</si>
  <si>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</si>
  <si>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</si>
  <si>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</si>
  <si>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</si>
  <si>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</si>
  <si>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</si>
  <si>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</si>
  <si>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</si>
  <si>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</si>
  <si>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</si>
  <si>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</si>
  <si>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</si>
  <si>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</si>
  <si>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</si>
  <si>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</si>
  <si>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</si>
  <si>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</si>
  <si>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</si>
  <si>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</si>
  <si>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</si>
  <si>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</si>
  <si>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</si>
  <si>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</si>
  <si>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</si>
  <si>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</si>
  <si>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</si>
  <si>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</si>
  <si>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</si>
  <si>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</si>
  <si>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</si>
  <si>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</si>
  <si>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</si>
  <si>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</si>
  <si>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</si>
  <si>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</si>
  <si>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</si>
  <si>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</si>
  <si>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</si>
  <si>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</si>
  <si>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</si>
  <si>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</si>
  <si>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</si>
  <si>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</si>
  <si>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</si>
  <si>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</si>
  <si>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</si>
  <si>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</si>
  <si>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</si>
  <si>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</si>
  <si>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</si>
  <si>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</si>
  <si>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</si>
  <si>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</si>
  <si>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</si>
  <si>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</si>
  <si>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</si>
  <si>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</si>
  <si>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</si>
  <si>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</si>
  <si>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</si>
  <si>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</si>
  <si>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</si>
  <si>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</si>
  <si>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</si>
  <si>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</si>
  <si>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</si>
  <si>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</si>
  <si>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</si>
  <si>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</si>
  <si>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</si>
  <si>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</si>
  <si>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</si>
  <si>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</si>
  <si>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</si>
  <si>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</si>
  <si>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</si>
  <si>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</si>
  <si>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</si>
  <si>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</si>
  <si>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</si>
  <si>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</si>
  <si>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</si>
  <si>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</si>
  <si>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</si>
  <si>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</si>
  <si>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</si>
  <si>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</si>
  <si>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</si>
  <si>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</si>
  <si>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</si>
  <si>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</si>
  <si>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</si>
  <si>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</si>
  <si>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</si>
  <si>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</si>
  <si>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</si>
  <si>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</si>
  <si>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</si>
  <si>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</si>
  <si>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</si>
  <si>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</si>
  <si>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</si>
  <si>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</si>
  <si>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</si>
  <si>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</si>
  <si>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</si>
  <si>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</si>
  <si>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</si>
  <si>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</si>
  <si>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</si>
  <si>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</si>
  <si>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</si>
  <si>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</si>
  <si>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</si>
  <si>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</si>
  <si>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</si>
  <si>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</si>
  <si>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</si>
  <si>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</si>
  <si>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</si>
  <si>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</si>
  <si>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</si>
  <si>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</si>
  <si>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</si>
  <si>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</si>
  <si>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</si>
  <si>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</si>
  <si>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</si>
  <si>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</si>
  <si>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</si>
  <si>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</si>
  <si>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</si>
  <si>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</si>
  <si>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</si>
  <si>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</si>
  <si>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</si>
  <si>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</si>
  <si>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</si>
  <si>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</si>
  <si>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</si>
  <si>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</si>
  <si>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</si>
  <si>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</si>
  <si>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</si>
  <si>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</si>
  <si>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</si>
  <si>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</si>
  <si>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</si>
  <si>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</si>
  <si>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</si>
  <si>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</si>
  <si>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</si>
  <si>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</si>
  <si>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</si>
  <si>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</si>
  <si>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</si>
  <si>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</si>
  <si>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</si>
  <si>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</si>
  <si>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</si>
  <si>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</si>
  <si>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</si>
  <si>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</si>
  <si>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</si>
  <si>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</si>
  <si>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</si>
  <si>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</si>
  <si>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</si>
  <si>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</si>
  <si>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</si>
  <si>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</si>
  <si>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</si>
  <si>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</si>
  <si>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</si>
  <si>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</si>
  <si>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</si>
  <si>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</si>
  <si>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</si>
  <si>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</si>
  <si>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</si>
  <si>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</si>
  <si>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</si>
  <si>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</si>
  <si>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</si>
  <si>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</si>
  <si>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</si>
  <si>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</si>
  <si>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</si>
  <si>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</si>
  <si>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</si>
  <si>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</si>
  <si>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</si>
  <si>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</si>
  <si>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</si>
  <si>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</si>
  <si>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</si>
  <si>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</si>
  <si>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</si>
  <si>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</si>
  <si>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</si>
  <si>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</si>
  <si>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</si>
  <si>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</si>
  <si>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</si>
  <si>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</si>
  <si>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</si>
  <si>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</si>
  <si>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</si>
  <si>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</si>
  <si>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</si>
  <si>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</si>
  <si>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</si>
  <si>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</si>
  <si>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</si>
  <si>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</si>
  <si>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</si>
  <si>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</si>
  <si>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</si>
  <si>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</si>
  <si>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</si>
  <si>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</si>
  <si>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</si>
  <si>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</si>
  <si>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</si>
  <si>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</si>
  <si>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</si>
  <si>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</si>
  <si>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</si>
  <si>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</si>
  <si>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</si>
  <si>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</si>
  <si>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</si>
  <si>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</si>
  <si>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</si>
  <si>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</si>
  <si>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</si>
  <si>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</si>
  <si>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</si>
  <si>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</si>
  <si>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</si>
  <si>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</si>
  <si>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</si>
  <si>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</si>
  <si>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</si>
  <si>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</si>
  <si>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</si>
  <si>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</si>
  <si>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</si>
  <si>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</si>
  <si>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</si>
  <si>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</si>
  <si>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</si>
  <si>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</si>
  <si>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</si>
  <si>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</si>
  <si>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</si>
  <si>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</si>
  <si>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</si>
  <si>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</si>
  <si>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</si>
  <si>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</si>
  <si>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</si>
  <si>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</si>
  <si>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</si>
  <si>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</si>
  <si>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</si>
  <si>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</si>
  <si>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</si>
  <si>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</si>
  <si>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</si>
  <si>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</si>
  <si>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</si>
  <si>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</si>
  <si>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</si>
  <si>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</si>
  <si>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</si>
  <si>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</si>
  <si>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</si>
  <si>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</si>
  <si>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</si>
  <si>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</si>
  <si>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</si>
  <si>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</si>
  <si>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</si>
  <si>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</si>
  <si>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</si>
  <si>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</si>
  <si>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</si>
  <si>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</si>
  <si>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</si>
  <si>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</si>
  <si>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</si>
  <si>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</si>
  <si>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</si>
  <si>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</si>
  <si>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</si>
  <si>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</si>
  <si>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</si>
  <si>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</si>
  <si>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</si>
  <si>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</si>
  <si>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</si>
  <si>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</si>
  <si>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</si>
  <si>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</si>
  <si>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</si>
  <si>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</si>
  <si>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</si>
  <si>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</si>
  <si>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</si>
  <si>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</si>
  <si>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</si>
  <si>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</si>
  <si>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</si>
  <si>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</si>
  <si>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</si>
  <si>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</si>
  <si>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</si>
  <si>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</si>
  <si>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</si>
  <si>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</si>
  <si>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</si>
  <si>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</si>
  <si>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</si>
  <si>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</si>
  <si>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</si>
  <si>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</si>
  <si>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</si>
  <si>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</si>
  <si>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</si>
  <si>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</si>
  <si>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</si>
  <si>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</si>
  <si>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</si>
  <si>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</si>
  <si>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</si>
  <si>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</si>
  <si>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</si>
  <si>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</si>
  <si>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</si>
  <si>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</si>
  <si>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</si>
  <si>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</si>
  <si>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</si>
  <si>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</si>
  <si>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</si>
  <si>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</si>
  <si>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</si>
  <si>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</si>
  <si>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</si>
  <si>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</si>
  <si>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</si>
  <si>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</si>
  <si>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</si>
  <si>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</si>
  <si>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</si>
  <si>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</si>
  <si>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</si>
  <si>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</si>
  <si>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</si>
  <si>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</si>
  <si>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</si>
  <si>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</si>
  <si>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</si>
  <si>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</si>
  <si>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</si>
  <si>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</si>
  <si>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</si>
  <si>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</si>
  <si>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</si>
  <si>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</si>
  <si>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</si>
  <si>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</si>
  <si>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</si>
  <si>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</si>
  <si>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</si>
  <si>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</si>
  <si>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</si>
  <si>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</si>
  <si>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</si>
  <si>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</si>
  <si>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</si>
  <si>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</si>
  <si>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</si>
  <si>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</si>
  <si>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</si>
  <si>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</si>
  <si>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</si>
  <si>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</si>
  <si>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</si>
  <si>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</si>
  <si>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</si>
  <si>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</si>
  <si>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</si>
  <si>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</si>
  <si>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</si>
  <si>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</si>
  <si>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</si>
  <si>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</si>
  <si>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</si>
  <si>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</si>
  <si>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</si>
  <si>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</si>
  <si>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</si>
  <si>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</si>
  <si>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</si>
  <si>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</si>
  <si>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</si>
  <si>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</si>
  <si>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</si>
  <si>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</si>
  <si>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</si>
  <si>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</si>
  <si>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</si>
  <si>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</si>
  <si>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</si>
  <si>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</si>
  <si>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</si>
  <si>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</si>
  <si>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</si>
  <si>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</si>
  <si>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</si>
  <si>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</si>
  <si>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</si>
  <si>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</si>
  <si>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</si>
  <si>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</si>
  <si>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</si>
  <si>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</si>
  <si>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</si>
  <si>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</si>
  <si>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</si>
  <si>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</si>
  <si>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</si>
  <si>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</si>
  <si>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</si>
  <si>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</si>
  <si>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</si>
  <si>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</si>
  <si>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</si>
  <si>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</si>
  <si>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</si>
  <si>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</si>
  <si>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</si>
  <si>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</si>
  <si>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</si>
  <si>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</si>
  <si>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</si>
  <si>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</si>
  <si>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</si>
  <si>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</si>
  <si>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</si>
  <si>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</si>
  <si>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</si>
  <si>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</si>
  <si>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</si>
  <si>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</si>
  <si>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</si>
  <si>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</si>
  <si>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</si>
  <si>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</si>
  <si>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</si>
  <si>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</si>
  <si>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</si>
  <si>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</si>
  <si>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</si>
  <si>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</si>
  <si>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</si>
  <si>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</si>
  <si>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</si>
  <si>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</si>
  <si>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</si>
  <si>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</si>
  <si>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</si>
  <si>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</si>
  <si>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</si>
  <si>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</si>
  <si>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</si>
  <si>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</si>
  <si>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</si>
  <si>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</si>
  <si>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</si>
  <si>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</si>
  <si>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</si>
  <si>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</si>
  <si>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</si>
  <si>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</si>
  <si>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</si>
  <si>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</si>
  <si>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</si>
  <si>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</si>
  <si>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</si>
  <si>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</si>
  <si>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</si>
  <si>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</si>
  <si>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</si>
  <si>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</si>
  <si>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</si>
  <si>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</si>
  <si>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</si>
  <si>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</si>
  <si>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</si>
  <si>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</si>
  <si>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</si>
  <si>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</si>
  <si>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</si>
  <si>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</si>
  <si>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</si>
  <si>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</si>
  <si>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</si>
  <si>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</si>
  <si>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</si>
  <si>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</si>
  <si>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</si>
  <si>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</si>
  <si>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</si>
  <si>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</si>
  <si>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</si>
  <si>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</si>
  <si>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</si>
  <si>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</si>
  <si>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</si>
  <si>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</si>
  <si>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</si>
  <si>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</si>
  <si>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</si>
  <si>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</si>
  <si>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</si>
  <si>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</si>
  <si>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</si>
  <si>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</si>
  <si>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</si>
  <si>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</si>
  <si>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</si>
  <si>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</si>
  <si>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</si>
  <si>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</si>
  <si>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</si>
  <si>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</si>
  <si>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</si>
  <si>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</si>
  <si>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</si>
  <si>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</si>
  <si>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</si>
  <si>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</si>
  <si>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</si>
  <si>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</si>
  <si>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</si>
  <si>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</si>
  <si>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</si>
  <si>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</si>
  <si>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</si>
  <si>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</si>
  <si>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</si>
  <si>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</si>
  <si>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</si>
  <si>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</si>
  <si>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</si>
  <si>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</si>
  <si>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</si>
  <si>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</si>
  <si>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</si>
  <si>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</si>
  <si>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</si>
  <si>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</si>
  <si>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</si>
  <si>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</si>
  <si>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</si>
  <si>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</si>
  <si>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</si>
  <si>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</si>
  <si>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</si>
  <si>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</si>
  <si>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</si>
  <si>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</si>
  <si>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</si>
  <si>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</si>
  <si>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</si>
  <si>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</si>
  <si>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</si>
  <si>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</si>
  <si>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</si>
  <si>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</si>
  <si>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</si>
  <si>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</si>
  <si>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</si>
  <si>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</si>
  <si>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</si>
  <si>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</si>
  <si>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</si>
  <si>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</si>
  <si>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</si>
  <si>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</si>
  <si>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</si>
  <si>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</si>
  <si>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</si>
  <si>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</si>
  <si>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</si>
  <si>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</si>
  <si>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</si>
  <si>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</si>
  <si>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</si>
  <si>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</si>
  <si>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</si>
  <si>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</si>
  <si>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</si>
  <si>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</si>
  <si>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</si>
  <si>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</si>
  <si>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</si>
  <si>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</si>
  <si>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</si>
  <si>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</si>
  <si>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</si>
  <si>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</si>
  <si>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</si>
  <si>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</si>
  <si>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</si>
  <si>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</si>
  <si>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</si>
  <si>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</si>
  <si>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</si>
  <si>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</si>
  <si>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</si>
  <si>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</si>
  <si>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</si>
  <si>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</si>
  <si>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</si>
  <si>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</si>
  <si>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</si>
  <si>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</si>
  <si>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</si>
  <si>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</si>
  <si>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</si>
  <si>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</si>
  <si>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</si>
  <si>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</si>
  <si>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</si>
  <si>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</si>
  <si>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</si>
  <si>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</si>
  <si>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</si>
  <si>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</si>
  <si>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</si>
  <si>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</si>
  <si>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</si>
  <si>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</si>
  <si>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</si>
  <si>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</si>
  <si>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</si>
  <si>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</si>
  <si>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</si>
  <si>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</si>
  <si>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</si>
  <si>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</si>
  <si>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</si>
  <si>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</si>
  <si>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</si>
  <si>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</si>
  <si>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</si>
  <si>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</si>
  <si>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</si>
  <si>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</si>
  <si>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</si>
  <si>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</si>
  <si>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</si>
  <si>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</si>
  <si>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</si>
  <si>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</si>
  <si>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</si>
  <si>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</si>
  <si>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</si>
  <si>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</si>
  <si>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</si>
  <si>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</si>
  <si>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</si>
  <si>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</si>
  <si>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</si>
  <si>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</si>
  <si>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</si>
  <si>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</si>
  <si>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</si>
  <si>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</si>
  <si>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</si>
  <si>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</si>
  <si>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</si>
  <si>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</si>
  <si>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</si>
  <si>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</si>
  <si>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</si>
  <si>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</si>
  <si>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</si>
  <si>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</si>
  <si>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</si>
  <si>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</si>
  <si>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</si>
  <si>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</si>
  <si>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</si>
  <si>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</si>
  <si>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</si>
  <si>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</si>
  <si>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</si>
  <si>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</si>
  <si>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</si>
  <si>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</si>
  <si>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</si>
  <si>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</si>
  <si>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</si>
  <si>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</si>
  <si>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</si>
  <si>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</si>
  <si>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</si>
  <si>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</si>
  <si>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</si>
  <si>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</si>
  <si>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</si>
  <si>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</si>
  <si>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</si>
  <si>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</si>
  <si>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</si>
  <si>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</si>
  <si>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</si>
  <si>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</si>
  <si>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</si>
  <si>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</si>
  <si>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</si>
  <si>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</si>
  <si>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</si>
  <si>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</si>
  <si>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</si>
  <si>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</si>
  <si>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</si>
  <si>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</si>
  <si>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</si>
  <si>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</si>
  <si>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</si>
  <si>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</si>
  <si>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</si>
  <si>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</si>
  <si>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</si>
  <si>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</si>
  <si>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</si>
  <si>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</si>
  <si>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</si>
  <si>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</si>
  <si>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</si>
  <si>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</si>
  <si>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</si>
  <si>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</si>
  <si>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</si>
  <si>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</si>
  <si>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</si>
  <si>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</si>
  <si>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</si>
  <si>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</si>
  <si>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</si>
  <si>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</si>
  <si>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</si>
  <si>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</si>
  <si>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</si>
  <si>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</si>
  <si>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</si>
  <si>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</si>
  <si>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</si>
  <si>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</si>
  <si>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</si>
  <si>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</si>
  <si>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</si>
  <si>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</si>
  <si>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</si>
  <si>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</si>
  <si>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</si>
  <si>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</si>
  <si>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</si>
  <si>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</si>
  <si>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</si>
  <si>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</si>
  <si>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</si>
  <si>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</si>
  <si>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</si>
  <si>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</si>
  <si>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</si>
  <si>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</si>
  <si>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</si>
  <si>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</si>
  <si>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</si>
  <si>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</si>
  <si>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</si>
  <si>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</si>
  <si>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</si>
  <si>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</si>
  <si>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</si>
  <si>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</si>
  <si>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</si>
  <si>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</si>
  <si>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</si>
  <si>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</si>
  <si>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</si>
  <si>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</si>
  <si>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</si>
  <si>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</si>
  <si>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</si>
  <si>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</si>
  <si>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</si>
  <si>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</si>
  <si>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</si>
  <si>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</si>
  <si>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</si>
  <si>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</si>
  <si>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</si>
  <si>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</si>
  <si>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</si>
  <si>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</si>
  <si>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</si>
  <si>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</si>
  <si>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</si>
  <si>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</si>
  <si>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</si>
  <si>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</si>
  <si>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</si>
  <si>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</si>
  <si>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</si>
  <si>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</si>
  <si>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</si>
  <si>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</si>
  <si>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</si>
  <si>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</si>
  <si>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</si>
  <si>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</si>
  <si>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</si>
  <si>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</si>
  <si>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</si>
  <si>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</si>
  <si>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</si>
  <si>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</si>
  <si>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</si>
  <si>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</si>
  <si>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</si>
  <si>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</si>
  <si>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</si>
  <si>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</si>
  <si>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</si>
  <si>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</si>
  <si>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</si>
  <si>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</si>
  <si>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</si>
  <si>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</si>
  <si>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</si>
  <si>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</si>
  <si>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</si>
  <si>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</si>
  <si>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</si>
  <si>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</si>
  <si>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</si>
  <si>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</si>
  <si>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</si>
  <si>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</si>
  <si>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</si>
  <si>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</si>
  <si>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</si>
  <si>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</si>
  <si>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</si>
  <si>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</si>
  <si>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</si>
  <si>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</si>
  <si>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</si>
  <si>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</si>
  <si>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</si>
  <si>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</si>
  <si>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</si>
  <si>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</si>
  <si>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</si>
  <si>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</si>
  <si>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</si>
  <si>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</si>
  <si>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</si>
  <si>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</si>
  <si>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</si>
  <si>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</si>
  <si>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</si>
  <si>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</si>
  <si>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</si>
  <si>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</si>
  <si>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</si>
  <si>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</si>
  <si>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</si>
  <si>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</si>
  <si>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</si>
  <si>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</si>
  <si>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</si>
  <si>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</si>
  <si>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</si>
  <si>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</si>
  <si>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</si>
  <si>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</si>
  <si>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</si>
  <si>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</si>
  <si>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</si>
  <si>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</si>
  <si>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</si>
  <si>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</si>
  <si>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</si>
  <si>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</si>
  <si>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</si>
  <si>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</si>
  <si>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</si>
  <si>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</si>
  <si>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</si>
  <si>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</si>
  <si>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</si>
  <si>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</si>
  <si>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</si>
  <si>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</si>
  <si>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</si>
  <si>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</si>
  <si>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</si>
  <si>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</si>
  <si>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</si>
  <si>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</si>
  <si>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</si>
  <si>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</si>
  <si>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</si>
  <si>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</si>
  <si>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</si>
  <si>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</si>
  <si>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</si>
  <si>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</si>
  <si>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</si>
  <si>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</si>
  <si>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</si>
  <si>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</si>
  <si>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</si>
  <si>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</si>
  <si>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</si>
  <si>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</si>
  <si>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</si>
  <si>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</si>
  <si>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</si>
  <si>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</si>
  <si>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</si>
  <si>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</si>
  <si>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</si>
  <si>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</si>
  <si>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</si>
  <si>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</si>
  <si>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</si>
  <si>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</si>
  <si>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</si>
  <si>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</si>
  <si>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</si>
  <si>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</si>
  <si>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</si>
  <si>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</si>
  <si>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</si>
  <si>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</si>
  <si>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</si>
  <si>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</si>
  <si>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</si>
  <si>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</si>
  <si>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</si>
  <si>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</si>
  <si>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</si>
  <si>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</si>
  <si>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</si>
  <si>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</si>
  <si>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</si>
  <si>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</si>
  <si>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</si>
  <si>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</si>
  <si>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</si>
  <si>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</si>
  <si>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</si>
  <si>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</si>
  <si>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</si>
  <si>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</si>
  <si>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</si>
  <si>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</si>
  <si>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</si>
  <si>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</si>
  <si>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</si>
  <si>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</si>
  <si>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</si>
  <si>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</si>
  <si>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</si>
  <si>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</si>
  <si>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</si>
  <si>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</si>
  <si>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</si>
  <si>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</si>
  <si>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</si>
  <si>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</si>
  <si>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</si>
  <si>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</si>
  <si>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</si>
  <si>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</si>
  <si>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</si>
  <si>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</si>
  <si>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</si>
  <si>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</si>
  <si>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</si>
  <si>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</si>
  <si>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</si>
  <si>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</si>
  <si>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</si>
  <si>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</si>
  <si>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</si>
  <si>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</si>
  <si>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</si>
  <si>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</si>
  <si>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</si>
  <si>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</si>
  <si>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</si>
  <si>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</si>
  <si>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</si>
  <si>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</si>
  <si>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</si>
  <si>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</si>
  <si>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</si>
  <si>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intTypeFe</t>
  </si>
  <si>
    <t>Forward Euler</t>
  </si>
  <si>
    <t>intTypeEm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</si>
  <si>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</si>
  <si>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</si>
  <si>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</si>
  <si>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</si>
  <si>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</si>
  <si>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</si>
  <si>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</si>
  <si>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</si>
  <si>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</si>
  <si>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</si>
  <si>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</si>
  <si>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</si>
  <si>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</si>
  <si>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</si>
  <si>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</si>
  <si>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</si>
  <si>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</si>
  <si>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</si>
  <si>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intTypeHm</t>
  </si>
  <si>
    <t>intTypeK3</t>
  </si>
  <si>
    <t>intTypeRm</t>
  </si>
  <si>
    <t>intTypeR3</t>
  </si>
  <si>
    <t>intTypeH3</t>
  </si>
  <si>
    <t>intTypeS3</t>
  </si>
  <si>
    <t>intTypeK4</t>
  </si>
  <si>
    <t>intType38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</si>
  <si>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</si>
  <si>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</si>
  <si>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</si>
  <si>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</si>
  <si>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</si>
  <si>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</si>
  <si>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</si>
  <si>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</si>
  <si>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</si>
  <si>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</si>
  <si>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</si>
  <si>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</si>
  <si>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</si>
  <si>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</si>
  <si>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</si>
  <si>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</si>
  <si>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</si>
  <si>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</si>
  <si>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</si>
  <si>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</si>
  <si>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</si>
  <si>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</si>
  <si>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</si>
  <si>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</si>
  <si>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</si>
  <si>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</si>
  <si>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</si>
  <si>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</si>
  <si>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</si>
  <si>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</si>
  <si>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</si>
  <si>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</si>
  <si>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</si>
  <si>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</si>
  <si>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</si>
  <si>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</si>
  <si>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</si>
  <si>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</si>
  <si>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</si>
  <si>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</si>
  <si>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</si>
  <si>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</si>
  <si>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</si>
  <si>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</si>
  <si>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</si>
  <si>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</si>
  <si>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</si>
  <si>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</si>
  <si>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</si>
  <si>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</si>
  <si>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matrices."}},"umk_1586108946421":{"icon":"&lt;g stroke-width='1' fill='var(--col-text-1)'&gt;&lt;text x='12' y='87'font-size='8em'&gt;C&lt;/text&gt;&lt;/g&gt;","bg":"#1595C8","fg":"#ffffff","width":50,"height":50,"keywords":"constant","category":["sources"],"name":{"en-us":"Constant","es-mx":"Constante"},"desc":{"en-us":"A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gráfico"}},"umk_1588580715574":{"icon":"&lt;path d='M 20 50 q 15 -70 30 00 q 15 70 30 0'/&gt;","bg":"#1595C8","fg":"#ffffff","width":50,"height":50,"keywords":"sine wave trigonometry trigonometría onda sinusoidal","category":["sources"],"name":{"en-us":"Sine","es-mx":"Seno"},"desc":{"en-us":"Generates a sine wave","es-mx":"Genera una onda sinusoidal"}},"umk_1588715754701":{"icon":"&lt;g stroke-width='1' fill='var(--col-text-1)'&gt;&lt;text x='10' y='65'font-size='3em'&gt;a&lt;/text&gt;&lt;text x='40' y='65' font-size='5em'&gt;x&lt;/text&gt;&lt;/g&gt;","bg":"#1595C8","fg":"#ffffff","width":50,"height":50,"keywords":"gain ganancia","category":["basics"],"name":{"en-us":"Gain","es-mx":"Ganancia"},"desc":{"en-us":"Multiplies the input by a given constant.","es-mx":"Multiplica la entrada por una constante dada."}},"umk_1588716024472":{"icon":"&lt;g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font-size='4em'&gt;s&lt;/text&gt;&lt;/g&gt;","bg":"#1595C8","fg":"#ffffff","width":50,"height":50,"keywords":"","category":["continuous"],"name":{"en-us":"Integral","es-mx":"Integral"},"desc":{"en-us":"Integrates the input with respect to the simulation time.","es-mx":"Integra la entrada con respecto al tiempo de simulación."}},"umk_1588716918922":{"icon":"&lt;rect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y2='50'/&gt;","bg":"","fg":"#ffffff","width":30,"height":50,"keywords":"","category":["mat"],"name":{"en-us":"Join rows","es-mx":"Unir filas"},"desc":{"en-us":"Concatenate the rows of two matrices to become larger matrix","es-mx":"Concatenar las filas de dos matrices para convertirse en una matriz más grande"}},"umk_1588723460913":{"icon":"&lt;rect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y2='60'/&gt;","bg":"","fg":"#ffffff","width":50,"height":50,"keywords":"","category":["mat"],"name":{"en-us":"Join columns","es-mx":"Unir columnas"},"desc":{"en-us":"Concatenate the columns of two matrices to become larger matrix","es-mx":"Concatenar las columnas de dos matrices para convertirse en una matriz más grande"}},"umk_1589037918939":{"icon":"&lt;polyline points='10,90 50,90 50,10 90,10'/&gt;","bg":"","fg":"","width":50,"height":50,"keywords":"","category":["sources"],"name":{"en-us":"Step","es-mx":"Escalón"},"desc":{"en-us":"Generates a step function","es-mx":"Genera una función de paso"}},"umk_1589037990977":{"icon":"&lt;polyline points='10,50 10,10 50,10 50,90 90,90 90,50'/&gt;","bg":"","fg":"","width":50,"height":50,"keywords":"","category":["sources"],"name":{"en-us":"Square","es-mx":"Onda Cuadrada"},"desc":{"en-us":"Generates a square wave","es-mx":"Genera una onda cuadrada"}},"umk_1589037930037":{"icon":"&lt;polyline points='10,90 30,90 90,10'/&gt;","bg":"","fg":"","width":50,"height":50,"keywords":"","category":["sources"],"name":{"en-us":"Ramp","es-mx":"Rampa"},"desc":{"en-us":"Generates a ramp function","es-mx":"Genera una función de rampa"}},"umk_1589128861088":{"icon":"&lt;polyline points='10,50 30,10 70,90 90,50'/&gt;","bg":"","fg":"","width":50,"height":50,"keywords":"","category":["sources"],"name":{"en-us":"Triangular","es-mx":"Triangular"},"desc":{"en-us":"Generates a triangular wave","es-mx":"Genera una onda triangular"}},"umk_1589037943338":{"icon":"&lt;polyline points='10,50 50,10 50,90 90,50'/&gt;","bg":"","fg":"","width":50,"height":50,"keywords":"","category":["sources"],"name":{"en-us":"Sawtooth","es-mx":"Diente de sierra"},"desc":{"en-us":"Generates a sawtooth wave","es-mx":"Genera una onda de diente de sierra"}},"umk_1589178100992":{"icon":"&lt;path d='M 10 10 L 90 50 L 10 90 z'/&gt;","bg":"","fg":"","width":50,"height":50,"keywords":"","category":["logic"],"name":{"en-us":"Buffer","es-mx":"Buffer"},"desc":{"en-us":"Converts the input into a boolean output","es-mx":"Convierte la entrada en una salida booleana."}},"umk_1589169187265":{"icon":"&lt;path d='M 10 10 L 70 50 L 10 90 z'/&gt;&lt;circle cx='81' cy='50' r='9'/&gt;","bg":"","fg":"","width":50,"height":50,"keywords":"","category":["logic"],"name":{"en-us":"NOT Gate","es-mx":"Compuerta NOT"},"desc":{"en-us":"NOT Gate","es-mx":"Compuerta NOT"}},"umk_1589169156908":{"icon":"&lt;path d='M 50 10 L 10 10 L 10 90 L 50 90 A 30 30 0 0 0 50 10'/&gt;","bg":"","fg":"","width":50,"height":50,"keywords":"","category":["logic"],"name":{"en-us":"AND Gate","es-mx":"Compuerta AND"},"desc":{"en-us":"AND Gate","es-mx":"Compuerta AND"}},"umk_1589178067392":{"icon":"&lt;path d='M 30 10 L 10 10 L 10 90 L 30 90 A 30 30 0 0 0 30 10'/&gt;&lt;circle cx='80' cy='50' r='10'/&gt;","bg":"","fg":"","width":50,"height":50,"keywords":"","category":["logic"],"name":{"en-us":"NAND Gate","es-mx":"Compuerta NAND"},"desc":{"en-us":"NAND Gate","es-mx":"Compuerta NAND"}},"umk_1589169167396":{"icon":"&lt;path d='M 10 10 Q 40 50 10 90 M 10 10 Q 165 50 10 90'/&gt;","bg":"","fg":"","width":50,"height":50,"keywords":"","category":["logic"],"name":{"en-us":"OR Gate","es-mx":"Compuerta OR"},"desc":{"en-us":"OR Gate","es-mx":"Compuerta OR"}},"umk_1589178085993":{"icon":"&lt;path d='M 10 10 Q 40 50 10 90 M 10 10 Q 130 50 10 90 '/&gt;&lt;circle cx='80' cy='50' r='10'/&gt;","bg":"","fg":"","width":50,"height":50,"keywords":"","category":["logic"],"name":{"en-us":"NOR Gate","es-mx":"Compuerta NOR"},"desc":{"en-us":"NOR Gate","es-mx":"Compuerta NOR"}},"umk_1589169209121":{"icon":"&lt;path d='M 10 15 Q 30 50 10 85 M 15 10 Q 40 50 15 90 M 15 10 Q 165 50 15 90 '/&gt;","bg":"","fg":"","width":50,"height":50,"keywords":"","category":["logic"],"name":{"en-us":"XOR Gate","es-mx":"Compuerta XOR"},"desc":{"en-us":"XOR Gate","es-mx":"Compuerta XOR"}},"umk_1589178116273":{"icon":"&lt;path d='M 10 15 Q 30 50 10 85 M 15 10 Q 40 50 15 90 M 15 10 Q 125 50 15 90 '/&gt;&lt;circle cx='82' cy='50' r='10'/&gt;","bg":"","fg":"","width":50,"height":50,"keywords":"","category":["logic"],"name":{"en-us":"XNOR Gate","es-mx":"Compuerta XNOR"},"desc":{"en-us":"XNOR Gate","es-mx":"Compuerta XNOR"}},"umk_1589386475682":{"icon":"&lt;text x='15' y='73' font-size='7em' stroke-width='1' fill='var(--col-text-1)'&gt;u&lt;/text&gt;&lt;line x1='10' y1='10' x2= '10' y2='90'/&gt;&lt;line x1='90' y1='10' x2= '90' y2='90'/&gt;","bg":"","fg":"","width":50,"height":50,"keywords":"","category":["basics"],"name":{"en-us":"Absolute","es-mx":"Absoluto"},"desc":{"en-us":"Retuns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font-size='2em'&gt;3&lt;/text&gt;&lt;/g&gt;","bg":"","fg":"","width":50,"height":50,"keywords":"","category":["basics"],"name":{"en-us":"Cube root","es-mx":"raíz cúbica"},"desc":{"en-us":"Returns cube root value","es-mx":"Devuelve el valor raíz del cubo"}},"umk_1589386508390":{"icon":"&lt;line x1='10' y1='10' x2= '90' y2='10'/&gt;&lt;line x1='10' y1='90' x2= '90' y2='90'/&gt;&lt;g stroke-width='2'&gt;&lt;path d='M 20 50 L 70 50 L 70 15 M 75 25 L 70 15 L 65 25'/&gt;&lt;/g&gt;","bg":"","fg":"","width":50,"height":50,"keywords":"","category":["basics"],"name":{"en-us":"Ceil","es-mx":"Fortificar techo"},"desc":{"en-us":"Outputs the inmediate integer towards the positive Infinity","es-mx":"Emite el entero inmediato hacia el infinito positivo"}},"umk_1589386524463":{"icon":"&lt;g stroke-width='1' fill='var(--col-text-1)'&gt;&lt;text x='2' y='90' font-size='8em'&gt;u&lt;/text&gt;&lt;text x='63' y='42' font-size='3.5em'&gt;3&lt;/text&gt;&lt;/g&gt;","bg":"","fg":"","width":50,"height":50,"keywords":"","category":["basics"],"name":{"en-us":"Cube","es-mx":"Cubo"},"desc":{"en-us":"Outputs the cube of the input","es-mx":"Da salida al cubo de la entrada"}},"umk_1589386537157":{"icon":"&lt;path d='M 20 20 L 80 80 M 20 80 L 80 20'/&gt;","bg":"","fg":"","width":50,"height":50,"keywords":"","category":["basics"],"name":{"en-us":"Multiply","es-mx":"Multiplicar"},"desc":{"en-us":"Can be used for scalar, elementwise or matrix multiplication","es-mx":"Se puede usar para multiplicación escalar, por elementos o matriz"}},"umk_1589386555683":{"icon":"&lt;g stroke-width='1' fill='var(--col-text-1)'&gt;&lt;text x='1' y='95' font-size='10em'&gt;÷&lt;/text&gt;&lt;/g&gt;","bg":"","fg":"","width":50,"height":50,"keywords":"","category":["basics"],"name":{"en-us":"Divide","es-mx":"Dividir"},"desc":{"en-us":"Can be used for scalar, elementwise or matrix division","es-mx":"Se puede usar para la división escalar, por elementos o matriz"}},"umk_1589386565541":{"icon":"&lt;g stroke-width='1' fill='var(--col-text-1)'&gt;&lt;text x='5' y='80'  font-size='5em'&gt;u&lt;/text&gt;&lt;text x='45' y='45'  font-size='5em'&gt;a&lt;/text&gt;&lt;/g&gt;","bg":"","fg":"","width":50,"height":50,"keywords":"","category":["basics"],"name":{"en-us":"Scalar power","es-mx":"Poder escalar"},"desc":{"en-us":"Raise the input to the selected power","es-mx":"Eleve la entrada a la potencia seleccionada"}},"umk_1589386591230":{"icon":"&lt;g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font-size='2em'&gt;2&lt;/text&gt;&lt;/g&gt;","bg":"","fg":"","width":50,"height":50,"keywords":"","category":["basics"],"name":{"en-us":"Power","es-mx":"Poder"},"desc":{"en-us":"One input raised to the power of another variable","es-mx":"Una entrada elevada a la potencia de otra variable"}},"umk_1589386600865":{"icon":"&lt;g stroke-width='1' fill='var(--col-text-1)'&gt;&lt;text x='8' y='80'  font-size='5em'&gt;a&lt;/text&gt;&lt;text x='40' y='45'  font-size='5em'&gt;u&lt;/text&gt;&lt;/g&gt;","bg":"","fg":"","width":50,"height":50,"keywords":"","category":["basics"],"name":{"en-us":"Exponential on a constant","es-mx":"Exponencial en una constante"},"desc":{"en-us":"A constant raised to the power of the input","es-mx":"Una constante elevada a la potencia de la entrada."}},"umk_1589386612338":{"icon":"&lt;g stroke-width='1' fill='var(--col-text-1)'&gt;&lt;text x='7' y='80' font-size='5em'&gt;e&lt;/text&gt;&lt;text x='40' y='45' font-size='5em'&gt;u&lt;/text&gt;&lt;/g&gt;","bg":"","fg":"","width":50,"height":50,"keywords":"","category":["basics"],"name":{"en-us":"Exponential","es-mx":"Exponencial"},"desc":{"en-us":"The transendantal number e is raised to the power of input","es-mx":"El número transendantal e se eleva a la potencia de entrada"}},"umk_1589386621263":{"icon":"&lt;g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font-size='3em'&gt;-1&lt;/text&gt;&lt;/g&gt;","bg":"","fg":"","width":50,"height":50,"keywords":"","category":["basics"],"name":{"en-us":"Exponential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10'/&gt;","bg":"","fg":"","width":50,"height":50,"keywords":"","category":["basics"],"name":{"en-us":"Fix","es-mx":"Reparar"},"desc":{"en-us":"Round the input towards the zero","es-mx":"Redondea la entrada hacia el cero"}},"umk_1589386645951":{"icon":"&lt;line x1='10' y1='10' x2= '90' y2='10'/&gt;&lt;line x1='10' y1='90' x2= '90' y2='90'/&gt;&lt;g stroke-width='2'&gt;&lt;path d='M 20 50 L 70 50 L 70 85 M 75 75 L 70 85 L 65 75'/&gt;&lt;/g&gt;","bg":"","fg":"","width":50,"height":50,"keywords":"","category":["basics"],"name":{"en-us":"Floor","es-mx":"Suelo"},"desc":{"en-us":"Outputs the inmediate integer towards the negative Infinity","es-mx":"Emite el entero inmediato hacia el infinito negativo"}},"umk_1589386660500":{"icon":"&lt;text x='5' y='60'fill='var(--col-text-1)' stroke-width='1' font-size='3em'&gt;GCD&lt;/text&gt;","bg":"","fg":"","width":50,"height":50,"keywords":"","category":["basics"],"name":{"en-us":"GCD","es-mx":"GCD"},"desc":{"en-us":"Retunts the greatest common divisor","es-mx":"Devuelve el mayor divisor común"}},"umk_1589386674638":{"icon":"&lt;path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font-size='1em'&gt;2&lt;/text&gt;&lt;/g&gt;","bg":"","fg":"","width":50,"height":50,"keywords":"","category":["basics"],"name":{"en-us":"Hypotenusa","es-mx":"Hipotenusa"},"desc":{"en-us":"Calculates the hypotenusa for the given array or matrix","es-mx":"Calcula la hipotenusa para la matriz o matriz dada"}},"umk_1589386687447":{"icon":"&lt;path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font-size='2em'&gt;n&lt;/text&gt;&lt;/g&gt;","bg":"","fg":"","width":50,"height":50,"keywords":"","category":["basics"],"name":{"en-us":"N-th root(s)","es-mx":"N-ésima raíz (s)"},"desc":{"en-us":"Obtains N-th root of the input which  gets N outputs","es-mx":"Obtiene la raíz N-ésima de la entrada que obtiene N salidas"}},"umk_1589386712466":{"icon":"&lt;text x='5' y='60'fill='var(--col-text-1)' stroke-width='1' font-size='3em'&gt;LCM&lt;/text&gt;","bg":"","fg":"","width":50,"height":50,"keywords":"","category":["basics"],"name":{"en-us":"LCM","es-mx":"LCM"},"desc":{"en-us":"Calculates least common multiple","es-mx":"Calcula el mínimo común múltiplo"}},"umk_1589386733656":{"icon":"&lt;g stroke-width='1' fill='var(--col-text-1)'&gt;&lt;text x='1' y='50'font-size='1.8em'&gt;log(u)&lt;/text&gt;&lt;text x='51' y='62'font-size='1.4em'&gt;n&lt;/text&gt;&lt;/g&gt;","bg":"","fg":"","width":50,"height":50,"keywords":"","category":["basics"],"name":{"en-us":"Log base n","es-mx":"Base de registro n"},"desc":{"en-us":"Computes logarithm value to the base n","es-mx":"Calcula el valor del logaritmo en la base n"}},"umk_1589386760201":{"icon":"&lt;g stroke-width='1' fill='var(--col-text-1)'&gt;&lt;text x='1' y='50'font-size='1.8em'&gt;log(u)&lt;/text&gt;&lt;text x='48' y='65'font-size='1em'&gt;10&lt;/text&gt;&lt;/g&gt;","bg":"","fg":"","width":50,"height":50,"keywords":"","category":["basics"],"name":{"en-us":"Log base 10","es-mx":"Base de registro 10"},"desc":{"en-us":"Computes logarithm value to the base 10","es-mx":"Calcula el valor del logaritmo para la base 10"}},"umk_1589386786107":{"icon":"&lt;g stroke-width='1' fill='var(--col-text-1)'&gt;&lt;text x='1' y='50'font-size='1.8em'&gt;log(u)&lt;/text&gt;&lt;text x='50' y='62'font-size='1.4em'&gt;2&lt;/text&gt;&lt;/g&gt;","bg":"","fg":"","width":50,"height":50,"keywords":"","category":["basics"],"name":{"en-us":"Log base 2","es-mx":"Base de registro 2"},"desc":{"en-us":"Computes logarithm value to the base 2","es-mx":"Calcula el valor del logaritmo en la base 2"}},"umk_1589386828369":{"icon":"&lt;g stroke-width='1' fill='var(--col-text-1)'&gt;&lt;text x='0' y='55'font-size='2.2em'&gt;ln(u)&lt;/text&gt;&lt;/g&gt;","bg":"","fg":"","width":50,"height":50,"keywords":"","category":["basics"],"name":{"en-us":"Ln","es-mx":"Ln"},"desc":{"en-us":"Computes natural logarithm i.e. logarithm value to the base e","es-mx":"Calcula el logaritmo natural, es decir, el valor del logaritmo en la base e"}},"umk_1589386851909":{"icon":"&lt;g stroke-width='1' fill='var(--col-text-1)'&gt;&lt;text x='1' y='50'font-size='1.32em'&gt;log(u+1)&lt;/text&gt;&lt;text x='37' y='60'font-size='1em'&gt;n&lt;/text&gt;&lt;/g&gt;","bg":"","fg":"","width":50,"height":50,"keywords":"","category":["basics"],"name":{"en-us":"Log plus 1 base n","es-mx":"Registro más 1 base n"},"desc":{"en-us":"Computes log for input plus 1 to the base n","es-mx":"Calcula el registro para la entrada más 1 a la base n"}},"umk_1589386875197":{"icon":"&lt;g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y='70'font-size='1em'&gt;2&lt;/text&gt;&lt;/g&gt;","bg":"","fg":"","width":50,"height":50,"keywords":"","category":["basics"],"name":{"en-us":"Modulus","es-mx":"Módulo"},"desc":{"en-us":"Obtains the remainder after division of one input to another input","es-mx":"Obtiene el resto después de la división de una entrada a otra entrada"}},"umk_1589386898267":{"icon":"&lt;g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y='70'font-size='4em'&gt;%&lt;/text&gt;&lt;/g&gt;","bg":"","fg":"","width":50,"height":50,"keywords":"","category":["basics"],"name":{"en-us":"Mod base n","es-mx":"Mod base n"},"desc":{"en-us":"Obtains the remainder after division of one input to n","es-mx":"Obtiene el resto después de la división de una entrada en n"}},"umk_1589386920190":{"icon":"&lt;g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y='70'font-size='4em'&gt;%&lt;/text&gt;&lt;/g&gt;","bg":"","fg":"","width":50,"height":50,"keywords":"","category":["basics"],"name":{"en-us":"Mod base u","es-mx":"Mod base u"},"desc":{"en-us":"Obtains the remainder after division of n to the input","es-mx":"Obtiene el resto después de la división de n en la entrada"}},"umk_1589386948236":{"icon":"&lt;line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font-size='3em'&gt;?&lt;/text&gt;&lt;/g&gt;","bg":"","fg":"","width":50,"height":50,"keywords":"","category":["basics"],"name":{"en-us":"Round","es-mx":"Redondo"},"desc":{"en-us":"Rounds the input to the selected number of decimal places","es-mx":"Redondea la entrada al número seleccionado de lugares decimales"}},"umk_1589386968441":{"icon":"&lt;path fill='none' d='M 10 50 l 10 32 l 30 -70 l 40 0'/&gt;&lt;g stroke-width='2'&gt;&lt;text x='45' y='65'fill='var(--col-text-1)' font-size='4em'&gt;u&lt;/text&gt;&lt;/g&gt;","bg":"","fg":"","width":50,"height":50,"keywords":"","category":["basics"],"name":{"en-us":"Square root","es-mx":"Raíz cuadrada"},"desc":{"en-us":"Calculaltes square root","es-mx":"Calcula la raíz cuadrada"}},"umk_1589386996268":{"icon":"&lt;g stroke-width='1' fill='var(--col-text-1)'&gt;&lt;text x='25' y='90' font-size='5em'&gt;?&lt;/text&gt;&lt;text x='2' y='30' font-size='2em'&gt;-/0/+&lt;/text&gt;&lt;/g&gt;","bg":"","fg":"","width":50,"height":50,"keywords":"","category":["basics"],"name":{"en-us":"Sign","es-mx":"Firmar"},"desc":{"en-us":"Gives sign of the inpu","es-mx":"Da signo de la inpu"}},"umk_1589387014953":{"icon":"&lt;g stroke-width='1' fill='var(--col-text-1)'&gt;&lt;text x='2' y='90' font-size='8em'&gt;u&lt;/text&gt;&lt;text x='63' y='42' font-size='3.5em'&gt;2&lt;/text&gt;&lt;/g&gt;","bg":"","fg":"","width":50,"height":50,"keywords":"","category":["basics"],"name":{"en-us":"Square","es-mx":"Cuadrado"},"desc":{"en-us":"Obtians square of the input","es-mx":"Obtian cuadrado de la entrada"}},"umk_1589529570947":{"icon":"&lt;text x='2' y='60'fill='var(--col-text-1)' stroke-width='1' font-size='2em'&gt;X-GCD&lt;/text&gt;","bg":"","fg":"","width":50,"height":50,"keywords":"","category":["basics"],"name":{"en-us":"Extended GCD","es-mx":"GCD extendido"},"desc":{"en-us":"Obtains the extended greatest common divisor","es-mx":"Obtiene el mayor divisor común extendido"}},"umk_1589564768522":{"icon":"&lt;g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y='67'font-size='0.8em'&gt;2&lt;/text&gt;&lt;/g&gt;","bg":"","fg":"","width":100,"height":50,"keywords":"","category":["basics"],"name":{"en-us":"Logarithmic","es-mx":"Logarítmico"},"desc":{"en-us":"Logarithm value for one input to the bases of another input","es-mx":"Valor de logaritmo para una entrada a las bases de otra entrada"}},"umk_1589609258927":{"icon":"&lt;g stroke-width='1' fill='var(--col-text-1)'&gt;&lt;text x='12' y='60'font-size='2em'&gt;Acos&lt;/text&gt;&lt;/g&gt;","bg":"","fg":"","width":50,"height":50,"keywords":"","category":["trig"],"name":{"en-us":"acos","es-mx":"acos"},"desc":{"en-us":"Returns the inverse cosine of the input","es-mx":"Devuelve el coseno inverso de la entrada"}},"umk_1589609273201":{"icon":"&lt;g stroke-width='1' fill='var(--col-text-1)'&gt;&lt;text x='2.5' y='60'font-size='2em'&gt;Acosh&lt;/text&gt;&lt;/g&gt;","bg":"","fg":"","width":50,"height":50,"keywords":"","category":["trig"],"name":{"en-us":"acosh","es-mx":"acosh"},"desc":{"en-us":"Returns the inverse hyperbolic-cosine of the input","es-mx":"Devuelve el coseno hiperbólico inverso de la entrada"}},"umk_1589609289630":{"icon":"&lt;g stroke-width='1' fill='var(--col-text-1)'&gt;&lt;text x='12' y='60'font-size='2em'&gt;Acot&lt;/text&gt;&lt;/g&gt;","bg":"","fg":"","width":50,"height":50,"keywords":"","category":["trig"],"name":{"en-us":"acot","es-mx":"acot"},"desc":{"en-us":"Returns the inverse cotangent of the input","es-mx":"Devuelve la cotangente inversa de la entrada."}},"umk_1589609306978":{"icon":"&lt;g stroke-width='1' fill='var(--col-text-1)'&gt;&lt;text x='2.5' y='60'font-size='2em'&gt;Acoth&lt;/text&gt;&lt;/g&gt;","bg":"","fg":"","width":50,"height":50,"keywords":"","category":["trig"],"name":{"en-us":"acoth","es-mx":"acoth"},"desc":{"en-us":"Returns the inverse hyperbolic-cotangent of the input","es-mx":"Devuelve la cotangente hiperbólica inversa de la entrada"}},"umk_1589609332484":{"icon":"&lt;g stroke-width='1' fill='var(--col-text-1)'&gt;&lt;text x='12' y='60'font-size='2em'&gt;Acsc&lt;/text&gt;&lt;/g&gt;","bg":"","fg":"","width":50,"height":50,"keywords":"","category":["trig"],"name":{"en-us":"acsc","es-mx":"acsc"},"desc":{"en-us":"Returns the inverse cosecant of the input","es-mx":"Devuelve la cosecante inversa de la entrada"}},"umk_1589609346714":{"icon":"&lt;g stroke-width='1' fill='var(--col-text-1)'&gt;&lt;text x='2.5' y='60'font-size='2em'&gt;Acsch&lt;/text&gt;&lt;/g&gt;","bg":"","fg":"","width":50,"height":50,"keywords":"","category":["trig"],"name":{"en-us":"acsch","es-mx":"acsch"},"desc":{"en-us":"Returns the inverse hyperbolic-cosecantof the input","es-mx":"Devuelve la inversa cosecante hiperbólica de la entrada"}},"umk_1589609362139":{"icon":"&lt;g stroke-width='1' fill='var(--col-text-1)'&gt;&lt;text x='12' y='60'font-size='2em'&gt;Asec&lt;/text&gt;&lt;/g&gt;","bg":"","fg":"","width":50,"height":50,"keywords":"","category":["trig"],"name":{"en-us":"asec","es-mx":"asec"},"desc":{"en-us":"Returns the inverse secant of the input","es-mx":"Devuelve la secante inversa de la entrada."}},"umk_1589609383222":{"icon":"&lt;g stroke-width='1' fill='var(--col-text-1)'&gt;&lt;text x='2.5' y='60'font-size='2em'&gt;Asech&lt;/text&gt;&lt;/g&gt;","bg":"","fg":"","width":50,"height":50,"keywords":"","category":["trig"],"name":{"en-us":"asech","es-mx":"asech"},"desc":{"en-us":"Returns the inverse hyperbolic-secantof the input","es-mx":"Devuelve la secante hiperbólica inversa de la entrada"}},"umk_1589609402551":{"icon":"&lt;g stroke-width='1' fill='var(--col-text-1)'&gt;&lt;text x='12' y='60'font-size='2em'&gt;Asin&lt;/text&gt;&lt;/g&gt;","bg":"","fg":"","width":50,"height":50,"keywords":"","category":["trig"],"name":{"en-us":"asin","es-mx":"asin"},"desc":{"en-us":"Returns the inverse sine of the input","es-mx":"Devuelve el seno inverso de la entrada"}},"umk_1589609418437":{"icon":"&lt;g stroke-width='1' fill='var(--col-text-1)'&gt;&lt;text x='2.5' y='60'font-size='2em'&gt;Asinh&lt;/text&gt;&lt;/g&gt;","bg":"","fg":"","width":50,"height":50,"keywords":"","category":["trig"],"name":{"en-us":"asinh","es-mx":"asinh"},"desc":{"en-us":"Returns the inverse hyperbolic-sine of the input","es-mx":"Devuelve el seno hiperbólico inverso de la entrada"}},"umk_1589609428777":{"icon":"&lt;g stroke-width='1' fill='var(--col-text-1)'&gt;&lt;text x='12' y='60'font-size='2em'&gt;Atan&lt;/text&gt;&lt;/g&gt;","bg":"","fg":"","width":50,"height":50,"keywords":"","category":["trig"],"name":{"en-us":"atan","es-mx":"atan"},"desc":{"en-us":"Returns the inverse tangent of the input","es-mx":"Devuelve la tangente inversa de la entrada."}},"umk_1589609440901":{"icon":"&lt;g stroke-width='1' fill='var(--col-text-1)'&gt;&lt;text x='2.5' y='60'font-size='2em'&gt;Atanh&lt;/text&gt;&lt;/g&gt;","bg":"","fg":"","width":50,"height":50,"keywords":"","category":["trig"],"name":{"en-us":"atanh","es-mx":"atanh"},"desc":{"en-us":"Returns the inverse hyperbolic-tangent of the input","es-mx":"Devuelve la tangente hiperbólica inversa de la entrada"}},"umk_1589609456423":{"icon":"&lt;g stroke-width='1' fill='var(--col-text-1)'&gt;&lt;text x='22' y='60'font-size='2em'&gt;Cos&lt;/text&gt;&lt;/g&gt;","bg":"","fg":"","width":50,"height":50,"keywords":"","category":["trig"],"name":{"en-us":"cos","es-mx":"cos"},"desc":{"en-us":"Returns the cosine of the input","es-mx":"Devuelve el coseno de la entrada."}},"umk_1589609471102":{"icon":"&lt;g stroke-width='1' fill='var(--col-text-1)'&gt;&lt;text x='11' y='60'font-size='2em'&gt;Cosh&lt;/text&gt;&lt;/g&gt;","bg":"","fg":"","width":50,"height":50,"keywords":"","category":["trig"],"name":{"en-us":"cosh","es-mx":"cosh"},"desc":{"en-us":"Returns the hyperbolic-cosine of the input","es-mx":"Devuelve el coseno hiperbólico de la entrada."}},"umk_1589609485885":{"icon":"&lt;g stroke-width='1' fill='var(--col-text-1)'&gt;&lt;text x='22' y='60'font-size='2em'&gt;Cot&lt;/text&gt;&lt;/g&gt;","bg":"","fg":"","width":50,"height":50,"keywords":"","category":["trig"],"name":{"en-us":"cot","es-mx":"cot"},"desc":{"en-us":"Returns the cotangent of the input","es-mx":"Devuelve la cotangente de la entrada."}},"umk_1589609508071":{"icon":"&lt;g stroke-width='1' fill='var(--col-text-1)'&gt;&lt;text x='11' y='60'font-size='2em'&gt;Coth&lt;/text&gt;&lt;/g&gt;","bg":"","fg":"","width":50,"height":50,"keywords":"","category":["trig"],"name":{"en-us":"coth","es-mx":"coth"},"desc":{"en-us":"Returns the hyperbolic-cotangent of the input","es-mx":"Devuelve la cotangente hiperbólica de la entrada."}},"umk_1589609529912":{"icon":"&lt;g stroke-width='1' fill='var(--col-text-1)'&gt;&lt;text x='22' y='60'font-size='2em'&gt;Csc&lt;/text&gt;&lt;/g&gt;","bg":"","fg":"","width":50,"height":50,"keywords":"","category":["trig"],"name":{"en-us":"csc","es-mx":"csc"},"desc":{"en-us":"Returns the cosecant of the input","es-mx":"Devuelve la cosecante de la entrada"}},"umk_1589609543216":{"icon":"&lt;g stroke-width='1' fill='var(--col-text-1)'&gt;&lt;text x='11' y='60'font-size='2em'&gt;Csch&lt;/text&gt;&lt;/g&gt;","bg":"","fg":"","width":50,"height":50,"keywords":"","category":["trig"],"name":{"en-us":"csch","es-mx":"csch"},"desc":{"en-us":"Returns the hyperbolic-cosecantof the input","es-mx":"Devuelve la cosecante hiperbólica de la entrada"}},"umk_1589609558140":{"icon":"&lt;g stroke-width='1' fill='var(--col-text-1)'&gt;&lt;text x='22' y='60'font-size='2em'&gt;Sec&lt;/text&gt;&lt;/g&gt;","bg":"","fg":"","width":50,"height":50,"keywords":"","category":["trig"],"name":{"en-us":"sec","es-mx":"sec"},"desc":{"en-us":"Returns the secant of the input","es-mx":"Devuelve la secante de la entrada."}},"umk_1589609571201":{"icon":"&lt;g stroke-width='1' fill='var(--col-text-1)'&gt;&lt;text x='11' y='60'font-size='2em'&gt;Sech&lt;/text&gt;&lt;/g&gt;","bg":"","fg":"","width":50,"height":50,"keywords":"","category":["trig"],"name":{"en-us":"sech","es-mx":"sech"},"desc":{"en-us":"Returns the hyperbolic-secantof the input","es-mx":"Devuelve la secante hiperbólica de la entrada"}},"umk_1589609587218":{"icon":"&lt;g stroke-width='1' fill='var(--col-text-1)'&gt;&lt;text x='22' y='60'font-size='2em'&gt;Sin&lt;/text&gt;&lt;/g&gt;","bg":"","fg":"","width":50,"height":50,"keywords":"","category":["trig"],"name":{"en-us":"sin","es-mx":"sin"},"desc":{"en-us":"Returns the sine of the input","es-mx":"Devuelve el seno de la entrada."}},"umk_1589609602823":{"icon":"&lt;g stroke-width='1' fill='var(--col-text-1)'&gt;&lt;text x='11' y='60'font-size='2em'&gt;Sinh&lt;/text&gt;&lt;/g&gt;","bg":"","fg":"","width":50,"height":50,"keywords":"","category":["trig"],"name":{"en-us":"sinh","es-mx":"sinh"},"desc":{"en-us":"Returns the hyperbolic-sine of the input","es-mx":"Devuelve el seno hiperbólico de la entrada"}},"umk_1589609617327":{"icon":"&lt;g stroke-width='1' fill='var(--col-text-1)'&gt;&lt;text x='22' y='60'font-size='2em'&gt;Tan&lt;/text&gt;&lt;/g&gt;","bg":"","fg":"","width":50,"height":50,"keywords":"","category":["trig"],"name":{"en-us":"tan","es-mx":"tan"},"desc":{"en-us":"Returns the tangent of the input","es-mx":"Devuelve la tangente de la entrada."}},"umk_1589609633957":{"icon":"&lt;g stroke-width='1' fill='var(--col-text-1)'&gt;&lt;text x='11' y='60'font-size='2em'&gt;Tanh&lt;/text&gt;&lt;/g&gt;","bg":"","fg":"","width":50,"height":50,"keywords":"","category":["trig"],"name":{"en-us":"tanh","es-mx":"tanh"},"desc":{"en-us":"Returns the hyperbolic-tangent of the input","es-mx":"Devuelve la tangente hiperbólica de la entrada"}},"umk_1589836016344":{"icon":"&lt;g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font-size='2em'&gt;u(s)&lt;/text&gt;&lt;/g&gt;","bg":"","fg":"","width":50,"height":50,"keywords":"","category":["continuous"],"name":{"en-us":"Transfer functions","es-mx":"Funciones de transferencia"},"desc":{"en-us":"Implement the continuous transfer function","es-mx":"Implemente la función de transferencia continua"}}},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</si>
</sst>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84" zoomScaleNormal="100" workbookViewId="0">
      <selection activeCell="B198" sqref="B198:C207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type","intTypeFe":"Forward Euler","intTypeEm":"Explicit midpoint method","intTypeHm":"Heun's method","intTypeRm":"Ralston's method","intTypeK3":"Kutta's third-order method","intTypeH3":"Heun's third-order method","intTypeR3":"Ralston's third-order method","intTypeS3":"Third-order Strong Stability Preserving Runge-Kutta (SSPRK3)","intTypeK4":"Classic fourth-order method","intType38":"3/8-rule fourth-order method"},"es-mx":{"hide":"Esconder","hide_left_desc":"Hides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integración","intTypeFe":"Adelante Euler","intTypeEm":"Método explícito de punto medio","intTypeHm":"Método de Heun","intTypeRm":"Método de Ralston","intTypeK3":"Método de tercer orden de Kutta","intTypeH3":"Método de tercer orden de Heun","intTypeR3":"Método de tercer orden de Ralston","intTypeS3":"Runge-Kutta de preservación de estabilidad fuerte de tercer orden (SSPRK3)","intTypeK4":"Método clásico de cuarto orden","intType38":"Método de cuarto orden de 3/8 reglas"}};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741</v>
      </c>
      <c r="B113" t="s">
        <v>742</v>
      </c>
      <c r="C113" t="s">
        <v>743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744</v>
      </c>
      <c r="B114" t="s">
        <v>745</v>
      </c>
      <c r="C114" t="s">
        <v>746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747</v>
      </c>
      <c r="B115" t="s">
        <v>757</v>
      </c>
      <c r="C115" t="s">
        <v>754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748</v>
      </c>
      <c r="B116" t="s">
        <v>753</v>
      </c>
      <c r="C116" t="s">
        <v>755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749</v>
      </c>
      <c r="B117" t="s">
        <v>751</v>
      </c>
      <c r="C117" t="s">
        <v>756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750</v>
      </c>
      <c r="B118" t="s">
        <v>752</v>
      </c>
      <c r="C118" t="s">
        <v>752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758</v>
      </c>
      <c r="B119" t="s">
        <v>759</v>
      </c>
      <c r="C119" t="s">
        <v>760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761</v>
      </c>
      <c r="B120" t="s">
        <v>763</v>
      </c>
      <c r="C120" t="s">
        <v>769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762</v>
      </c>
      <c r="B121" t="s">
        <v>764</v>
      </c>
      <c r="C121" t="s">
        <v>770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768</v>
      </c>
      <c r="B122" t="s">
        <v>765</v>
      </c>
      <c r="C122" t="s">
        <v>771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766</v>
      </c>
      <c r="B123" t="s">
        <v>767</v>
      </c>
      <c r="C123" t="s">
        <v>772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776</v>
      </c>
      <c r="B124" t="s">
        <v>774</v>
      </c>
      <c r="C124" t="s">
        <v>781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795</v>
      </c>
      <c r="B125" t="s">
        <v>797</v>
      </c>
      <c r="C125" t="s">
        <v>799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796</v>
      </c>
      <c r="B126" t="s">
        <v>798</v>
      </c>
      <c r="C126" t="s">
        <v>798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777</v>
      </c>
      <c r="B127" t="s">
        <v>779</v>
      </c>
      <c r="C127" t="s">
        <v>779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778</v>
      </c>
      <c r="B128" t="s">
        <v>780</v>
      </c>
      <c r="C128" t="s">
        <v>782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783</v>
      </c>
      <c r="B129" t="s">
        <v>787</v>
      </c>
      <c r="C129" t="s">
        <v>791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785</v>
      </c>
      <c r="B130" t="s">
        <v>788</v>
      </c>
      <c r="C130" t="s">
        <v>792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784</v>
      </c>
      <c r="B131" t="s">
        <v>789</v>
      </c>
      <c r="C131" t="s">
        <v>793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786</v>
      </c>
      <c r="B132" t="s">
        <v>790</v>
      </c>
      <c r="C132" t="s">
        <v>794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844</v>
      </c>
      <c r="B133" t="s">
        <v>845</v>
      </c>
      <c r="C133" t="s">
        <v>846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801</v>
      </c>
      <c r="B134" t="s">
        <v>805</v>
      </c>
      <c r="C134" t="s">
        <v>806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803</v>
      </c>
      <c r="B135" t="s">
        <v>802</v>
      </c>
      <c r="C135" t="s">
        <v>807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800</v>
      </c>
      <c r="B136" t="s">
        <v>804</v>
      </c>
      <c r="C136" t="s">
        <v>808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830</v>
      </c>
      <c r="B137" t="s">
        <v>831</v>
      </c>
      <c r="C137" t="s">
        <v>832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833</v>
      </c>
      <c r="B138" t="s">
        <v>835</v>
      </c>
      <c r="C138" t="s">
        <v>837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834</v>
      </c>
      <c r="B139" t="s">
        <v>836</v>
      </c>
      <c r="C139" t="s">
        <v>838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847</v>
      </c>
      <c r="B140" t="s">
        <v>98</v>
      </c>
      <c r="C140" t="s">
        <v>848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851</v>
      </c>
      <c r="B141" t="s">
        <v>849</v>
      </c>
      <c r="C141" t="s">
        <v>853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850</v>
      </c>
      <c r="B142" t="s">
        <v>852</v>
      </c>
      <c r="C142" t="s">
        <v>854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855</v>
      </c>
      <c r="B143" t="s">
        <v>856</v>
      </c>
      <c r="C143" t="s">
        <v>857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858</v>
      </c>
      <c r="B144" t="s">
        <v>94</v>
      </c>
      <c r="C144" t="s">
        <v>867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859</v>
      </c>
      <c r="B145" t="s">
        <v>860</v>
      </c>
      <c r="C145" t="s">
        <v>868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861</v>
      </c>
      <c r="B146" t="s">
        <v>863</v>
      </c>
      <c r="C146" t="s">
        <v>869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862</v>
      </c>
      <c r="B147" t="s">
        <v>866</v>
      </c>
      <c r="C147" t="s">
        <v>870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864</v>
      </c>
      <c r="B148" t="s">
        <v>865</v>
      </c>
      <c r="C148" t="s">
        <v>871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873</v>
      </c>
      <c r="B149" t="s">
        <v>872</v>
      </c>
      <c r="C149" t="s">
        <v>874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875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876</v>
      </c>
      <c r="B151" t="s">
        <v>877</v>
      </c>
      <c r="C151" t="s">
        <v>880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878</v>
      </c>
      <c r="B152" t="s">
        <v>879</v>
      </c>
      <c r="C152" t="s">
        <v>881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907</v>
      </c>
      <c r="B153" t="s">
        <v>911</v>
      </c>
      <c r="C153" t="s">
        <v>912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908</v>
      </c>
      <c r="B154" t="s">
        <v>909</v>
      </c>
      <c r="C154" t="s">
        <v>910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949</v>
      </c>
      <c r="B155" t="s">
        <v>961</v>
      </c>
      <c r="C155" t="s">
        <v>963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950</v>
      </c>
      <c r="B156" t="s">
        <v>952</v>
      </c>
      <c r="C156" t="s">
        <v>969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951</v>
      </c>
      <c r="B157" t="s">
        <v>962</v>
      </c>
      <c r="C157" t="s">
        <v>964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953</v>
      </c>
      <c r="B158" t="s">
        <v>957</v>
      </c>
      <c r="C158" t="s">
        <v>965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954</v>
      </c>
      <c r="B159" t="s">
        <v>958</v>
      </c>
      <c r="C159" t="s">
        <v>966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955</v>
      </c>
      <c r="B160" t="s">
        <v>959</v>
      </c>
      <c r="C160" t="s">
        <v>967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956</v>
      </c>
      <c r="B161" t="s">
        <v>960</v>
      </c>
      <c r="C161" t="s">
        <v>968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979</v>
      </c>
      <c r="B162" t="s">
        <v>980</v>
      </c>
      <c r="C162" t="s">
        <v>981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983</v>
      </c>
      <c r="B163" t="s">
        <v>984</v>
      </c>
      <c r="C163" t="s">
        <v>985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994</v>
      </c>
      <c r="B164" t="s">
        <v>999</v>
      </c>
      <c r="C164" t="s">
        <v>1000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995</v>
      </c>
      <c r="B165" t="s">
        <v>996</v>
      </c>
      <c r="C165" t="s">
        <v>997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1001</v>
      </c>
      <c r="B166" t="s">
        <v>1004</v>
      </c>
      <c r="C166" t="s">
        <v>1007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1002</v>
      </c>
      <c r="B167" t="s">
        <v>1005</v>
      </c>
      <c r="C167" t="s">
        <v>1008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1003</v>
      </c>
      <c r="B168" t="s">
        <v>1006</v>
      </c>
      <c r="C168" t="s">
        <v>1009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1020</v>
      </c>
      <c r="B169" t="s">
        <v>1015</v>
      </c>
      <c r="C169" t="s">
        <v>1011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1021</v>
      </c>
      <c r="B170" t="s">
        <v>1010</v>
      </c>
      <c r="C170" t="s">
        <v>1012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1022</v>
      </c>
      <c r="B171" t="s">
        <v>1013</v>
      </c>
      <c r="C171" t="s">
        <v>1014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1023</v>
      </c>
      <c r="B172" t="s">
        <v>1016</v>
      </c>
      <c r="C172" t="s">
        <v>1017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1024</v>
      </c>
      <c r="B173" t="s">
        <v>1018</v>
      </c>
      <c r="C173" t="s">
        <v>1019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1025</v>
      </c>
      <c r="B174" t="s">
        <v>1026</v>
      </c>
      <c r="C174" t="s">
        <v>1027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1028</v>
      </c>
      <c r="B175" t="s">
        <v>1029</v>
      </c>
      <c r="C175" t="s">
        <v>1030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1033</v>
      </c>
      <c r="B176" t="s">
        <v>1031</v>
      </c>
      <c r="C176" t="s">
        <v>1032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1034</v>
      </c>
      <c r="B177" t="s">
        <v>1035</v>
      </c>
      <c r="C177" t="s">
        <v>1036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1037</v>
      </c>
      <c r="B178" t="s">
        <v>1050</v>
      </c>
      <c r="C178" t="s">
        <v>1051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1038</v>
      </c>
      <c r="B179" t="s">
        <v>1039</v>
      </c>
      <c r="C179" t="s">
        <v>1040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1041</v>
      </c>
      <c r="B180" t="s">
        <v>1042</v>
      </c>
      <c r="C180" t="s">
        <v>1043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1044</v>
      </c>
      <c r="B181" t="s">
        <v>1046</v>
      </c>
      <c r="C181" t="s">
        <v>1048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1045</v>
      </c>
      <c r="B182" t="s">
        <v>1047</v>
      </c>
      <c r="C182" t="s">
        <v>1049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1052</v>
      </c>
      <c r="B183" t="s">
        <v>1053</v>
      </c>
      <c r="C183" t="s">
        <v>1054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1188</v>
      </c>
      <c r="B184" t="s">
        <v>1189</v>
      </c>
      <c r="C184" t="s">
        <v>1479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1182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1183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1191</v>
      </c>
      <c r="B187" t="s">
        <v>1192</v>
      </c>
      <c r="C187" t="s">
        <v>1197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1193</v>
      </c>
      <c r="B188" t="s">
        <v>1190</v>
      </c>
      <c r="C188" t="s">
        <v>1198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1187</v>
      </c>
      <c r="B189" t="s">
        <v>1196</v>
      </c>
      <c r="C189" t="s">
        <v>1199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1184</v>
      </c>
      <c r="B190" t="s">
        <v>798</v>
      </c>
      <c r="C190" t="s">
        <v>798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1186</v>
      </c>
      <c r="B191" t="s">
        <v>1194</v>
      </c>
      <c r="C191" t="s">
        <v>1200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1185</v>
      </c>
      <c r="B192" t="s">
        <v>1195</v>
      </c>
      <c r="C192" t="s">
        <v>1201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1207</v>
      </c>
      <c r="B193" t="s">
        <v>1208</v>
      </c>
      <c r="C193" t="s">
        <v>1209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1215</v>
      </c>
      <c r="B194" t="s">
        <v>1211</v>
      </c>
      <c r="C194" t="s">
        <v>1212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1216</v>
      </c>
      <c r="B195" t="s">
        <v>1213</v>
      </c>
      <c r="C195" t="s">
        <v>1214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1480</v>
      </c>
      <c r="B196" t="s">
        <v>1480</v>
      </c>
      <c r="C196" t="s">
        <v>1481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1609</v>
      </c>
      <c r="B197" t="s">
        <v>1610</v>
      </c>
      <c r="C197" t="s">
        <v>1640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1611</v>
      </c>
      <c r="B198" t="s">
        <v>1612</v>
      </c>
      <c r="C198" t="s">
        <v>1641</v>
      </c>
      <c r="K198" t="str">
        <f t="shared" si="10"/>
        <v>"intTypeFe":"Forward Euler",</v>
      </c>
      <c r="L198" t="str">
        <f t="shared" si="11"/>
        <v>"intTypeFe":"Adelante Euler",</v>
      </c>
    </row>
    <row r="199" spans="1:12" x14ac:dyDescent="0.3">
      <c r="A199" t="s">
        <v>1613</v>
      </c>
      <c r="B199" t="s">
        <v>1614</v>
      </c>
      <c r="C199" t="s">
        <v>1623</v>
      </c>
      <c r="K199" t="str">
        <f t="shared" si="10"/>
        <v>"intTypeEm":"Explicit midpoint method",</v>
      </c>
      <c r="L199" t="str">
        <f t="shared" si="11"/>
        <v>"intTypeEm":"Método explícito de punto medio",</v>
      </c>
    </row>
    <row r="200" spans="1:12" x14ac:dyDescent="0.3">
      <c r="A200" t="s">
        <v>1632</v>
      </c>
      <c r="B200" t="s">
        <v>1615</v>
      </c>
      <c r="C200" t="s">
        <v>1624</v>
      </c>
      <c r="K200" t="str">
        <f t="shared" si="10"/>
        <v>"intTypeHm":"Heun's method",</v>
      </c>
      <c r="L200" t="str">
        <f t="shared" si="11"/>
        <v>"intTypeHm":"Método de Heun",</v>
      </c>
    </row>
    <row r="201" spans="1:12" x14ac:dyDescent="0.3">
      <c r="A201" t="s">
        <v>1634</v>
      </c>
      <c r="B201" t="s">
        <v>1616</v>
      </c>
      <c r="C201" t="s">
        <v>1625</v>
      </c>
      <c r="K201" t="str">
        <f t="shared" si="10"/>
        <v>"intTypeRm":"Ralston's method",</v>
      </c>
      <c r="L201" t="str">
        <f t="shared" si="11"/>
        <v>"intTypeRm":"Método de Ralston",</v>
      </c>
    </row>
    <row r="202" spans="1:12" x14ac:dyDescent="0.3">
      <c r="A202" t="s">
        <v>1633</v>
      </c>
      <c r="B202" t="s">
        <v>1617</v>
      </c>
      <c r="C202" t="s">
        <v>1626</v>
      </c>
      <c r="K202" t="str">
        <f t="shared" si="10"/>
        <v>"intTypeK3":"Kutta's third-order method",</v>
      </c>
      <c r="L202" t="str">
        <f t="shared" si="11"/>
        <v>"intTypeK3":"Método de tercer orden de Kutta",</v>
      </c>
    </row>
    <row r="203" spans="1:12" x14ac:dyDescent="0.3">
      <c r="A203" t="s">
        <v>1636</v>
      </c>
      <c r="B203" t="s">
        <v>1618</v>
      </c>
      <c r="C203" t="s">
        <v>1627</v>
      </c>
      <c r="K203" t="str">
        <f t="shared" si="10"/>
        <v>"intTypeH3":"Heun's third-order method",</v>
      </c>
      <c r="L203" t="str">
        <f t="shared" si="11"/>
        <v>"intTypeH3":"Método de tercer orden de Heun",</v>
      </c>
    </row>
    <row r="204" spans="1:12" x14ac:dyDescent="0.3">
      <c r="A204" t="s">
        <v>1635</v>
      </c>
      <c r="B204" t="s">
        <v>1619</v>
      </c>
      <c r="C204" t="s">
        <v>1628</v>
      </c>
      <c r="K204" t="str">
        <f t="shared" si="10"/>
        <v>"intTypeR3":"Ralston's third-order method",</v>
      </c>
      <c r="L204" t="str">
        <f t="shared" si="11"/>
        <v>"intTypeR3":"Método de tercer orden de Ralston",</v>
      </c>
    </row>
    <row r="205" spans="1:12" x14ac:dyDescent="0.3">
      <c r="A205" t="s">
        <v>1637</v>
      </c>
      <c r="B205" t="s">
        <v>1620</v>
      </c>
      <c r="C205" t="s">
        <v>1629</v>
      </c>
      <c r="K205" t="str">
        <f t="shared" si="10"/>
        <v>"intTypeS3":"Third-order Strong Stability Preserving Runge-Kutta (SSPRK3)",</v>
      </c>
      <c r="L205" t="str">
        <f t="shared" si="11"/>
        <v>"intTypeS3":"Runge-Kutta de preservación de estabilidad fuerte de tercer orden (SSPRK3)",</v>
      </c>
    </row>
    <row r="206" spans="1:12" x14ac:dyDescent="0.3">
      <c r="A206" t="s">
        <v>1638</v>
      </c>
      <c r="B206" t="s">
        <v>1621</v>
      </c>
      <c r="C206" t="s">
        <v>1630</v>
      </c>
      <c r="K206" t="str">
        <f t="shared" si="10"/>
        <v>"intTypeK4":"Classic fourth-order method",</v>
      </c>
      <c r="L206" t="str">
        <f t="shared" si="11"/>
        <v>"intTypeK4":"Método clásico de cuarto orden",</v>
      </c>
    </row>
    <row r="207" spans="1:12" x14ac:dyDescent="0.3">
      <c r="A207" t="s">
        <v>1639</v>
      </c>
      <c r="B207" t="s">
        <v>1622</v>
      </c>
      <c r="C207" t="s">
        <v>1631</v>
      </c>
      <c r="K207" t="str">
        <f t="shared" si="10"/>
        <v>"intType38":"3/8-rule fourth-order method"}</v>
      </c>
      <c r="L207" t="str">
        <f t="shared" si="11"/>
        <v>"intType38":"Método de cuarto orden de 3/8 reglas"}</v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2"/>
  <sheetViews>
    <sheetView topLeftCell="F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5" t="s">
        <v>341</v>
      </c>
      <c r="F1" s="25"/>
      <c r="G1" s="25"/>
      <c r="H1" s="25"/>
      <c r="I1" s="25"/>
      <c r="J1" s="25"/>
      <c r="K1" s="25"/>
      <c r="M1" s="25" t="s">
        <v>329</v>
      </c>
      <c r="N1" s="25"/>
      <c r="O1" s="25" t="s">
        <v>330</v>
      </c>
      <c r="P1" s="25"/>
      <c r="T1" s="18" t="s">
        <v>1218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974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982</v>
      </c>
      <c r="M4" t="s">
        <v>975</v>
      </c>
      <c r="N4" t="s">
        <v>976</v>
      </c>
      <c r="O4" t="s">
        <v>977</v>
      </c>
      <c r="P4" t="s">
        <v>978</v>
      </c>
    </row>
    <row r="5" spans="1:20" x14ac:dyDescent="0.3">
      <c r="A5">
        <v>3</v>
      </c>
      <c r="B5" t="b">
        <v>0</v>
      </c>
      <c r="C5" t="b">
        <v>0</v>
      </c>
      <c r="D5" t="s">
        <v>1217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1202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1210</v>
      </c>
      <c r="M6" t="s">
        <v>1203</v>
      </c>
      <c r="N6" t="s">
        <v>1204</v>
      </c>
      <c r="O6" t="s">
        <v>1205</v>
      </c>
      <c r="P6" t="s">
        <v>1206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272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272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272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883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882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272</v>
      </c>
      <c r="M13" t="s">
        <v>202</v>
      </c>
      <c r="N13" t="s">
        <v>1179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775</v>
      </c>
      <c r="M14" t="s">
        <v>1178</v>
      </c>
      <c r="N14" t="s">
        <v>1180</v>
      </c>
      <c r="O14" t="s">
        <v>1179</v>
      </c>
      <c r="P14" t="s">
        <v>1181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884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885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886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887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931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928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929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930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6" si="2">IF(E25,"CTRL_","")&amp;IF(F25,"ALT_","")&amp;IF(G25,"SHIFT_","")&amp;H25</f>
        <v>delete</v>
      </c>
      <c r="L25" t="s">
        <v>888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22">
        <f>IF(ISBLANK(H26), "", VLOOKUP(LOWER(H26), javascriptKeycodes!A:B, 2, FALSE))</f>
        <v>90</v>
      </c>
      <c r="J26" s="22" t="str">
        <f>IF(ISBLANK(H26), "", VLOOKUP(LOWER(H26), javascriptKeycodes!A:C, 3, FALSE))</f>
        <v>key_z</v>
      </c>
      <c r="K26" s="22" t="str">
        <f t="shared" si="2"/>
        <v>CTRL_Z</v>
      </c>
      <c r="L26" t="s">
        <v>896</v>
      </c>
      <c r="M26" t="s">
        <v>143</v>
      </c>
      <c r="N26" t="s">
        <v>212</v>
      </c>
      <c r="O26" t="s">
        <v>459</v>
      </c>
      <c r="P26" t="s">
        <v>497</v>
      </c>
    </row>
    <row r="27" spans="1:16" x14ac:dyDescent="0.3">
      <c r="A27">
        <v>25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ref="K27:K50" si="3">IF(E27,"CTRL_","")&amp;IF(F27,"ALT_","")&amp;IF(G27,"SHIFT_","")&amp;H27</f>
        <v>CTRL_SHIFT_Z</v>
      </c>
      <c r="L27" t="s">
        <v>895</v>
      </c>
      <c r="M27" t="s">
        <v>144</v>
      </c>
      <c r="N27" t="s">
        <v>213</v>
      </c>
      <c r="O27" t="s">
        <v>460</v>
      </c>
      <c r="P27" t="s">
        <v>498</v>
      </c>
    </row>
    <row r="28" spans="1:16" x14ac:dyDescent="0.3">
      <c r="A28">
        <v>26</v>
      </c>
      <c r="B28" t="b">
        <v>1</v>
      </c>
      <c r="C28" t="b">
        <v>0</v>
      </c>
      <c r="D28" t="s">
        <v>913</v>
      </c>
      <c r="F28" s="20" t="b">
        <v>1</v>
      </c>
      <c r="G28" s="20"/>
      <c r="H28" s="20" t="s">
        <v>619</v>
      </c>
      <c r="I28" s="22">
        <f>IF(ISBLANK(H28), "", VLOOKUP(LOWER(H28), javascriptKeycodes!A:B, 2, FALSE))</f>
        <v>78</v>
      </c>
      <c r="J28" s="22" t="str">
        <f>IF(ISBLANK(H28), "", VLOOKUP(LOWER(H28), javascriptKeycodes!A:C, 3, FALSE))</f>
        <v>key_n</v>
      </c>
      <c r="K28" s="22" t="str">
        <f t="shared" si="3"/>
        <v>ALT_N</v>
      </c>
      <c r="M28" t="s">
        <v>914</v>
      </c>
      <c r="N28" t="s">
        <v>916</v>
      </c>
      <c r="O28" t="s">
        <v>915</v>
      </c>
      <c r="P28" t="s">
        <v>917</v>
      </c>
    </row>
    <row r="29" spans="1:16" x14ac:dyDescent="0.3">
      <c r="A29">
        <v>27</v>
      </c>
      <c r="B29" t="b">
        <v>0</v>
      </c>
      <c r="C29" t="b">
        <v>0</v>
      </c>
      <c r="D29" t="s">
        <v>169</v>
      </c>
      <c r="E29" t="b">
        <v>1</v>
      </c>
      <c r="F29" s="6"/>
      <c r="G29" s="6"/>
      <c r="H29" s="6" t="s">
        <v>404</v>
      </c>
      <c r="I29" s="22">
        <f>IF(ISBLANK(H29), "", VLOOKUP(LOWER(H29), javascriptKeycodes!A:B, 2, FALSE))</f>
        <v>107</v>
      </c>
      <c r="J29" s="22" t="str">
        <f>IF(ISBLANK(H29), "", VLOOKUP(LOWER(H29), javascriptKeycodes!A:C, 3, FALSE))</f>
        <v>key_add</v>
      </c>
      <c r="K29" s="22" t="str">
        <f t="shared" si="3"/>
        <v>CTRL_add</v>
      </c>
      <c r="L29" t="s">
        <v>892</v>
      </c>
      <c r="M29" t="s">
        <v>129</v>
      </c>
      <c r="N29" t="s">
        <v>216</v>
      </c>
      <c r="O29" t="s">
        <v>462</v>
      </c>
      <c r="P29" t="s">
        <v>500</v>
      </c>
    </row>
    <row r="30" spans="1:16" x14ac:dyDescent="0.3">
      <c r="A30">
        <v>28</v>
      </c>
      <c r="B30" t="b">
        <v>0</v>
      </c>
      <c r="C30" t="b">
        <v>0</v>
      </c>
      <c r="D30" t="s">
        <v>170</v>
      </c>
      <c r="E30" t="b">
        <v>1</v>
      </c>
      <c r="F30" s="6"/>
      <c r="G30" s="6"/>
      <c r="H30" s="6" t="s">
        <v>405</v>
      </c>
      <c r="I30" s="22">
        <f>IF(ISBLANK(H30), "", VLOOKUP(LOWER(H30), javascriptKeycodes!A:B, 2, FALSE))</f>
        <v>109</v>
      </c>
      <c r="J30" s="22" t="str">
        <f>IF(ISBLANK(H30), "", VLOOKUP(LOWER(H30), javascriptKeycodes!A:C, 3, FALSE))</f>
        <v>key_sub</v>
      </c>
      <c r="K30" s="22" t="str">
        <f t="shared" si="3"/>
        <v>CTRL_subtract</v>
      </c>
      <c r="L30" t="s">
        <v>891</v>
      </c>
      <c r="M30" t="s">
        <v>128</v>
      </c>
      <c r="N30" t="s">
        <v>217</v>
      </c>
      <c r="O30" t="s">
        <v>463</v>
      </c>
      <c r="P30" t="s">
        <v>501</v>
      </c>
    </row>
    <row r="31" spans="1:16" x14ac:dyDescent="0.3">
      <c r="A31">
        <v>29</v>
      </c>
      <c r="B31" t="b">
        <v>0</v>
      </c>
      <c r="C31" t="b">
        <v>0</v>
      </c>
      <c r="D31" t="s">
        <v>172</v>
      </c>
      <c r="E31" t="b">
        <v>1</v>
      </c>
      <c r="F31" s="6"/>
      <c r="G31" s="6"/>
      <c r="H31" s="6" t="s">
        <v>674</v>
      </c>
      <c r="I31" s="22">
        <f>IF(ISBLANK(H31), "", VLOOKUP(LOWER(H31), javascriptKeycodes!A:B, 2, FALSE))</f>
        <v>48</v>
      </c>
      <c r="J31" s="22" t="str">
        <f>IF(ISBLANK(H31), "", VLOOKUP(LOWER(H31), javascriptKeycodes!A:C, 3, FALSE))</f>
        <v>key_0</v>
      </c>
      <c r="K31" s="22" t="str">
        <f t="shared" si="3"/>
        <v>CTRL_K_0</v>
      </c>
      <c r="L31" t="s">
        <v>893</v>
      </c>
      <c r="M31" t="s">
        <v>131</v>
      </c>
      <c r="N31" t="s">
        <v>218</v>
      </c>
      <c r="O31" t="s">
        <v>464</v>
      </c>
      <c r="P31" t="s">
        <v>502</v>
      </c>
    </row>
    <row r="32" spans="1:16" x14ac:dyDescent="0.3">
      <c r="A32">
        <v>30</v>
      </c>
      <c r="B32" t="b">
        <v>0</v>
      </c>
      <c r="C32" t="b">
        <v>1</v>
      </c>
      <c r="D32" t="s">
        <v>171</v>
      </c>
      <c r="E32" t="b">
        <v>1</v>
      </c>
      <c r="F32" s="6"/>
      <c r="G32" s="7" t="b">
        <v>1</v>
      </c>
      <c r="H32" s="7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3"/>
        <v>CTRL_SHIFT_K_0</v>
      </c>
      <c r="L32" t="s">
        <v>894</v>
      </c>
      <c r="M32" t="s">
        <v>130</v>
      </c>
      <c r="N32" t="s">
        <v>219</v>
      </c>
      <c r="O32" t="s">
        <v>465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773</v>
      </c>
      <c r="E33" t="b">
        <v>1</v>
      </c>
      <c r="F33" s="6" t="b">
        <v>1</v>
      </c>
      <c r="G33" s="19" t="b">
        <v>1</v>
      </c>
      <c r="H33" s="6" t="s">
        <v>264</v>
      </c>
      <c r="I33" s="22">
        <f>IF(ISBLANK(H33), "", VLOOKUP(LOWER(H33), javascriptKeycodes!A:B, 2, FALSE))</f>
        <v>65</v>
      </c>
      <c r="J33" s="22" t="str">
        <f>IF(ISBLANK(H33), "", VLOOKUP(LOWER(H33), javascriptKeycodes!A:C, 3, FALSE))</f>
        <v>key_a</v>
      </c>
      <c r="K33" s="22" t="str">
        <f t="shared" si="3"/>
        <v>CTRL_ALT_SHIFT_A</v>
      </c>
      <c r="L33" t="s">
        <v>272</v>
      </c>
      <c r="M33" t="s">
        <v>222</v>
      </c>
      <c r="N33" t="s">
        <v>223</v>
      </c>
      <c r="O33" t="s">
        <v>469</v>
      </c>
      <c r="P33" t="s">
        <v>507</v>
      </c>
    </row>
    <row r="34" spans="1:16" x14ac:dyDescent="0.3">
      <c r="A34">
        <v>32</v>
      </c>
      <c r="B34" t="b">
        <v>1</v>
      </c>
      <c r="C34" t="b">
        <v>0</v>
      </c>
      <c r="D34" t="s">
        <v>189</v>
      </c>
      <c r="F34" s="7" t="b">
        <v>1</v>
      </c>
      <c r="G34" s="6"/>
      <c r="H34" s="6" t="s">
        <v>257</v>
      </c>
      <c r="I34" s="22">
        <f>IF(ISBLANK(H34), "", VLOOKUP(LOWER(H34), javascriptKeycodes!A:B, 2, FALSE))</f>
        <v>86</v>
      </c>
      <c r="J34" s="22" t="str">
        <f>IF(ISBLANK(H34), "", VLOOKUP(LOWER(H34), javascriptKeycodes!A:C, 3, FALSE))</f>
        <v>key_v</v>
      </c>
      <c r="K34" s="22" t="str">
        <f t="shared" si="3"/>
        <v>ALT_V</v>
      </c>
      <c r="L34" t="s">
        <v>435</v>
      </c>
      <c r="M34" t="s">
        <v>127</v>
      </c>
      <c r="N34" t="s">
        <v>215</v>
      </c>
      <c r="O34" t="s">
        <v>461</v>
      </c>
      <c r="P34" t="s">
        <v>499</v>
      </c>
    </row>
    <row r="35" spans="1:16" x14ac:dyDescent="0.3">
      <c r="A35">
        <v>33</v>
      </c>
      <c r="B35" t="b">
        <v>0</v>
      </c>
      <c r="C35" t="b">
        <v>0</v>
      </c>
      <c r="D35" t="s">
        <v>189</v>
      </c>
      <c r="E35" t="b">
        <v>1</v>
      </c>
      <c r="F35" s="9" t="b">
        <v>1</v>
      </c>
      <c r="G35" s="9" t="b">
        <v>1</v>
      </c>
      <c r="H35" s="9" t="s">
        <v>261</v>
      </c>
      <c r="I35" s="22">
        <f>IF(ISBLANK(H35), "", VLOOKUP(LOWER(H35), javascriptKeycodes!A:B, 2, FALSE))</f>
        <v>70</v>
      </c>
      <c r="J35" s="22" t="str">
        <f>IF(ISBLANK(H35), "", VLOOKUP(LOWER(H35), javascriptKeycodes!A:C, 3, FALSE))</f>
        <v>key_f</v>
      </c>
      <c r="K35" s="22" t="str">
        <f t="shared" si="3"/>
        <v>CTRL_ALT_SHIFT_F</v>
      </c>
      <c r="L35" t="s">
        <v>688</v>
      </c>
      <c r="M35" t="s">
        <v>684</v>
      </c>
      <c r="N35" t="s">
        <v>685</v>
      </c>
      <c r="O35" t="s">
        <v>686</v>
      </c>
      <c r="P35" t="s">
        <v>687</v>
      </c>
    </row>
    <row r="36" spans="1:16" x14ac:dyDescent="0.3">
      <c r="A36">
        <v>34</v>
      </c>
      <c r="B36" t="b">
        <v>0</v>
      </c>
      <c r="C36" t="b">
        <v>0</v>
      </c>
      <c r="D36" t="s">
        <v>173</v>
      </c>
      <c r="E36" t="b">
        <v>1</v>
      </c>
      <c r="F36" s="6"/>
      <c r="G36" s="6"/>
      <c r="H36" s="6" t="s">
        <v>247</v>
      </c>
      <c r="I36" s="22">
        <f>IF(ISBLANK(H36), "", VLOOKUP(LOWER(H36), javascriptKeycodes!A:B, 2, FALSE))</f>
        <v>77</v>
      </c>
      <c r="J36" s="22" t="str">
        <f>IF(ISBLANK(H36), "", VLOOKUP(LOWER(H36), javascriptKeycodes!A:C, 3, FALSE))</f>
        <v>key_m</v>
      </c>
      <c r="K36" s="22" t="str">
        <f t="shared" si="3"/>
        <v>CTRL_M</v>
      </c>
      <c r="L36" t="s">
        <v>889</v>
      </c>
      <c r="M36" t="s">
        <v>145</v>
      </c>
      <c r="N36" t="s">
        <v>220</v>
      </c>
      <c r="O36" t="s">
        <v>466</v>
      </c>
      <c r="P36" t="s">
        <v>504</v>
      </c>
    </row>
    <row r="37" spans="1:16" x14ac:dyDescent="0.3">
      <c r="A37">
        <v>35</v>
      </c>
      <c r="B37" t="b">
        <v>0</v>
      </c>
      <c r="C37" t="b">
        <v>1</v>
      </c>
      <c r="D37" t="s">
        <v>174</v>
      </c>
      <c r="E37" t="b">
        <v>1</v>
      </c>
      <c r="F37" s="6"/>
      <c r="G37" s="7" t="b">
        <v>1</v>
      </c>
      <c r="H37" s="7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3"/>
        <v>CTRL_SHIFT_M</v>
      </c>
      <c r="L37" t="s">
        <v>890</v>
      </c>
      <c r="M37" t="s">
        <v>146</v>
      </c>
      <c r="N37" t="s">
        <v>221</v>
      </c>
      <c r="O37" t="s">
        <v>467</v>
      </c>
      <c r="P37" t="s">
        <v>505</v>
      </c>
    </row>
    <row r="38" spans="1:16" x14ac:dyDescent="0.3">
      <c r="A38">
        <v>36</v>
      </c>
      <c r="B38" t="b">
        <v>0</v>
      </c>
      <c r="C38" t="b">
        <v>0</v>
      </c>
      <c r="D38" t="s">
        <v>987</v>
      </c>
      <c r="E38" t="b">
        <v>1</v>
      </c>
      <c r="F38" s="6"/>
      <c r="G38" s="6"/>
      <c r="H38" s="6" t="s">
        <v>250</v>
      </c>
      <c r="I38" s="22">
        <f>IF(ISBLANK(H38), "", VLOOKUP(LOWER(H38), javascriptKeycodes!A:B, 2, FALSE))</f>
        <v>82</v>
      </c>
      <c r="J38" s="22" t="str">
        <f>IF(ISBLANK(H38), "", VLOOKUP(LOWER(H38), javascriptKeycodes!A:C, 3, FALSE))</f>
        <v>key_r</v>
      </c>
      <c r="K38" s="22" t="str">
        <f t="shared" si="3"/>
        <v>CTRL_R</v>
      </c>
      <c r="L38" t="s">
        <v>906</v>
      </c>
      <c r="M38" t="s">
        <v>897</v>
      </c>
      <c r="N38" t="s">
        <v>898</v>
      </c>
      <c r="O38" t="s">
        <v>901</v>
      </c>
      <c r="P38" t="s">
        <v>903</v>
      </c>
    </row>
    <row r="39" spans="1:16" x14ac:dyDescent="0.3">
      <c r="A39">
        <v>37</v>
      </c>
      <c r="B39" t="b">
        <v>0</v>
      </c>
      <c r="C39" t="b">
        <v>1</v>
      </c>
      <c r="D39" t="s">
        <v>988</v>
      </c>
      <c r="E39" t="b">
        <v>1</v>
      </c>
      <c r="F39" s="6"/>
      <c r="G39" s="6" t="b">
        <v>1</v>
      </c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3"/>
        <v>CTRL_SHIFT_R</v>
      </c>
      <c r="L39" t="s">
        <v>905</v>
      </c>
      <c r="M39" t="s">
        <v>900</v>
      </c>
      <c r="N39" t="s">
        <v>899</v>
      </c>
      <c r="O39" t="s">
        <v>902</v>
      </c>
      <c r="P39" t="s">
        <v>904</v>
      </c>
    </row>
    <row r="40" spans="1:16" x14ac:dyDescent="0.3">
      <c r="A40">
        <v>38</v>
      </c>
      <c r="B40" t="b">
        <v>0</v>
      </c>
      <c r="C40" t="b">
        <v>0</v>
      </c>
      <c r="D40" t="s">
        <v>165</v>
      </c>
      <c r="E40" t="b">
        <v>1</v>
      </c>
      <c r="F40" s="20"/>
      <c r="G40" s="20"/>
      <c r="H40" s="20" t="s">
        <v>261</v>
      </c>
      <c r="I40" s="22">
        <f>IF(ISBLANK(H40), "", VLOOKUP(LOWER(H40), javascriptKeycodes!A:B, 2, FALSE))</f>
        <v>70</v>
      </c>
      <c r="J40" s="22" t="str">
        <f>IF(ISBLANK(H40), "", VLOOKUP(LOWER(H40), javascriptKeycodes!A:C, 3, FALSE))</f>
        <v>key_f</v>
      </c>
      <c r="K40" s="22" t="str">
        <f t="shared" si="3"/>
        <v>CTRL_F</v>
      </c>
      <c r="L40" t="s">
        <v>926</v>
      </c>
      <c r="M40" t="s">
        <v>918</v>
      </c>
      <c r="N40" t="s">
        <v>922</v>
      </c>
      <c r="O40" t="s">
        <v>920</v>
      </c>
      <c r="P40" t="s">
        <v>924</v>
      </c>
    </row>
    <row r="41" spans="1:16" x14ac:dyDescent="0.3">
      <c r="A41">
        <v>39</v>
      </c>
      <c r="B41" t="b">
        <v>0</v>
      </c>
      <c r="C41" t="b">
        <v>0</v>
      </c>
      <c r="D41" t="s">
        <v>998</v>
      </c>
      <c r="E41" t="b">
        <v>1</v>
      </c>
      <c r="F41" s="20"/>
      <c r="G41" s="20"/>
      <c r="H41" s="20" t="s">
        <v>265</v>
      </c>
      <c r="I41" s="22">
        <f>IF(ISBLANK(H41), "", VLOOKUP(LOWER(H41), javascriptKeycodes!A:B, 2, FALSE))</f>
        <v>66</v>
      </c>
      <c r="J41" s="22" t="str">
        <f>IF(ISBLANK(H41), "", VLOOKUP(LOWER(H41), javascriptKeycodes!A:C, 3, FALSE))</f>
        <v>key_b</v>
      </c>
      <c r="K41" s="22" t="str">
        <f t="shared" si="3"/>
        <v>CTRL_B</v>
      </c>
      <c r="L41" t="s">
        <v>927</v>
      </c>
      <c r="M41" t="s">
        <v>919</v>
      </c>
      <c r="N41" t="s">
        <v>923</v>
      </c>
      <c r="O41" t="s">
        <v>921</v>
      </c>
      <c r="P41" t="s">
        <v>925</v>
      </c>
    </row>
    <row r="42" spans="1:16" x14ac:dyDescent="0.3">
      <c r="A42">
        <v>40</v>
      </c>
      <c r="B42" t="b">
        <v>0</v>
      </c>
      <c r="C42" t="b">
        <v>0</v>
      </c>
      <c r="D42" t="s">
        <v>280</v>
      </c>
      <c r="F42" s="6"/>
      <c r="G42" s="6"/>
      <c r="H42" s="6"/>
      <c r="I42" s="22" t="str">
        <f>IF(ISBLANK(H42), "", VLOOKUP(LOWER(H42), javascriptKeycodes!A:B, 2, FALSE))</f>
        <v/>
      </c>
      <c r="J42" s="22" t="str">
        <f>IF(ISBLANK(H42), "", VLOOKUP(LOWER(H42), javascriptKeycodes!A:C, 3, FALSE))</f>
        <v/>
      </c>
      <c r="K42" s="22" t="str">
        <f t="shared" si="3"/>
        <v/>
      </c>
      <c r="L42" t="s">
        <v>986</v>
      </c>
      <c r="M42" t="s">
        <v>279</v>
      </c>
      <c r="N42" t="s">
        <v>281</v>
      </c>
      <c r="O42" t="s">
        <v>468</v>
      </c>
      <c r="P42" t="s">
        <v>506</v>
      </c>
    </row>
    <row r="43" spans="1:16" x14ac:dyDescent="0.3">
      <c r="A43">
        <v>41</v>
      </c>
      <c r="B43" t="b">
        <v>1</v>
      </c>
      <c r="C43" t="b">
        <v>0</v>
      </c>
      <c r="D43" t="s">
        <v>180</v>
      </c>
      <c r="F43" s="7" t="b">
        <v>1</v>
      </c>
      <c r="G43" s="6"/>
      <c r="H43" s="6" t="s">
        <v>264</v>
      </c>
      <c r="I43" s="22">
        <f>IF(ISBLANK(H43), "", VLOOKUP(LOWER(H43), javascriptKeycodes!A:B, 2, FALSE))</f>
        <v>65</v>
      </c>
      <c r="J43" s="22" t="str">
        <f>IF(ISBLANK(H43), "", VLOOKUP(LOWER(H43), javascriptKeycodes!A:C, 3, FALSE))</f>
        <v>key_a</v>
      </c>
      <c r="K43" s="22" t="str">
        <f t="shared" si="3"/>
        <v>ALT_A</v>
      </c>
      <c r="L43" t="s">
        <v>272</v>
      </c>
      <c r="M43" t="s">
        <v>122</v>
      </c>
      <c r="N43" t="s">
        <v>227</v>
      </c>
      <c r="O43" t="s">
        <v>470</v>
      </c>
      <c r="P43" t="s">
        <v>508</v>
      </c>
    </row>
    <row r="44" spans="1:16" x14ac:dyDescent="0.3">
      <c r="A44">
        <v>42</v>
      </c>
      <c r="B44" t="b">
        <v>0</v>
      </c>
      <c r="C44" t="b">
        <v>0</v>
      </c>
      <c r="D44" t="s">
        <v>190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3"/>
        <v/>
      </c>
      <c r="L44" t="s">
        <v>272</v>
      </c>
      <c r="M44" t="s">
        <v>150</v>
      </c>
      <c r="N44" t="s">
        <v>228</v>
      </c>
      <c r="O44" t="s">
        <v>471</v>
      </c>
      <c r="P44" t="s">
        <v>509</v>
      </c>
    </row>
    <row r="45" spans="1:16" x14ac:dyDescent="0.3">
      <c r="A45">
        <v>43</v>
      </c>
      <c r="B45" t="b">
        <v>0</v>
      </c>
      <c r="C45" t="b">
        <v>0</v>
      </c>
      <c r="D45" t="s">
        <v>181</v>
      </c>
      <c r="E45" t="b">
        <v>1</v>
      </c>
      <c r="F45" s="6"/>
      <c r="G45" s="6" t="b">
        <v>1</v>
      </c>
      <c r="H45" s="6" t="s">
        <v>265</v>
      </c>
      <c r="I45" s="22">
        <f>IF(ISBLANK(H45), "", VLOOKUP(LOWER(H45), javascriptKeycodes!A:B, 2, FALSE))</f>
        <v>66</v>
      </c>
      <c r="J45" s="22" t="str">
        <f>IF(ISBLANK(H45), "", VLOOKUP(LOWER(H45), javascriptKeycodes!A:C, 3, FALSE))</f>
        <v>key_b</v>
      </c>
      <c r="K45" s="22" t="str">
        <f t="shared" si="3"/>
        <v>CTRL_SHIFT_B</v>
      </c>
      <c r="L45" t="s">
        <v>272</v>
      </c>
      <c r="M45" t="s">
        <v>121</v>
      </c>
      <c r="N45" t="s">
        <v>229</v>
      </c>
      <c r="O45" t="s">
        <v>472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182</v>
      </c>
      <c r="E46" t="b">
        <v>1</v>
      </c>
      <c r="F46" s="6"/>
      <c r="G46" s="6"/>
      <c r="H46" s="6" t="s">
        <v>266</v>
      </c>
      <c r="I46" s="22">
        <f>IF(ISBLANK(H46), "", VLOOKUP(LOWER(H46), javascriptKeycodes!A:B, 2, FALSE))</f>
        <v>87</v>
      </c>
      <c r="J46" s="22" t="str">
        <f>IF(ISBLANK(H46), "", VLOOKUP(LOWER(H46), javascriptKeycodes!A:C, 3, FALSE))</f>
        <v>key_w</v>
      </c>
      <c r="K46" s="22" t="str">
        <f t="shared" si="3"/>
        <v>CTRL_W</v>
      </c>
      <c r="L46" t="s">
        <v>272</v>
      </c>
      <c r="M46" t="s">
        <v>119</v>
      </c>
      <c r="N46" t="s">
        <v>230</v>
      </c>
      <c r="O46" t="s">
        <v>473</v>
      </c>
      <c r="P46" t="s">
        <v>511</v>
      </c>
    </row>
    <row r="47" spans="1:16" x14ac:dyDescent="0.3">
      <c r="A47">
        <v>45</v>
      </c>
      <c r="B47" t="b">
        <v>1</v>
      </c>
      <c r="C47" t="b">
        <v>0</v>
      </c>
      <c r="D47" t="s">
        <v>191</v>
      </c>
      <c r="F47" s="7" t="b">
        <v>1</v>
      </c>
      <c r="G47" s="6"/>
      <c r="H47" s="6" t="s">
        <v>267</v>
      </c>
      <c r="I47" s="22">
        <f>IF(ISBLANK(H47), "", VLOOKUP(LOWER(H47), javascriptKeycodes!A:B, 2, FALSE))</f>
        <v>72</v>
      </c>
      <c r="J47" s="22" t="str">
        <f>IF(ISBLANK(H47), "", VLOOKUP(LOWER(H47), javascriptKeycodes!A:C, 3, FALSE))</f>
        <v>key_h</v>
      </c>
      <c r="K47" s="22" t="str">
        <f t="shared" si="3"/>
        <v>ALT_H</v>
      </c>
      <c r="L47" t="s">
        <v>435</v>
      </c>
      <c r="M47" t="s">
        <v>147</v>
      </c>
      <c r="N47" t="s">
        <v>231</v>
      </c>
      <c r="O47" t="s">
        <v>474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183</v>
      </c>
      <c r="E48" t="b">
        <v>1</v>
      </c>
      <c r="F48" s="6"/>
      <c r="G48" s="6"/>
      <c r="H48" s="6" t="s">
        <v>245</v>
      </c>
      <c r="I48" s="22">
        <f>IF(ISBLANK(H48), "", VLOOKUP(LOWER(H48), javascriptKeycodes!A:B, 2, FALSE))</f>
        <v>68</v>
      </c>
      <c r="J48" s="22" t="str">
        <f>IF(ISBLANK(H48), "", VLOOKUP(LOWER(H48), javascriptKeycodes!A:C, 3, FALSE))</f>
        <v>key_d</v>
      </c>
      <c r="K48" s="22" t="str">
        <f t="shared" si="3"/>
        <v>CTRL_D</v>
      </c>
      <c r="L48" t="s">
        <v>272</v>
      </c>
      <c r="M48" t="s">
        <v>148</v>
      </c>
      <c r="N48" t="s">
        <v>232</v>
      </c>
      <c r="O48" t="s">
        <v>475</v>
      </c>
      <c r="P48" t="s">
        <v>513</v>
      </c>
    </row>
    <row r="49" spans="1:16" x14ac:dyDescent="0.3">
      <c r="A49">
        <v>47</v>
      </c>
      <c r="B49" t="b">
        <v>0</v>
      </c>
      <c r="C49" t="b">
        <v>1</v>
      </c>
      <c r="D49" t="s">
        <v>186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3"/>
        <v>CTRL_H</v>
      </c>
      <c r="L49" t="s">
        <v>272</v>
      </c>
      <c r="M49" t="s">
        <v>184</v>
      </c>
      <c r="N49" t="s">
        <v>233</v>
      </c>
      <c r="O49" t="s">
        <v>476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185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 t="shared" si="3"/>
        <v/>
      </c>
      <c r="L50" t="s">
        <v>272</v>
      </c>
      <c r="M50" t="s">
        <v>149</v>
      </c>
      <c r="N50" t="s">
        <v>233</v>
      </c>
      <c r="O50" t="s">
        <v>477</v>
      </c>
      <c r="P50" t="s">
        <v>514</v>
      </c>
    </row>
    <row r="51" spans="1:16" x14ac:dyDescent="0.3">
      <c r="F51" s="6"/>
      <c r="G51" s="6"/>
      <c r="H51" s="6"/>
      <c r="I51" s="6"/>
      <c r="J51" s="7"/>
      <c r="K51" s="10"/>
    </row>
    <row r="52" spans="1:16" x14ac:dyDescent="0.3">
      <c r="F52" s="6"/>
      <c r="G52" s="6"/>
      <c r="H52" s="6"/>
      <c r="I52" s="6"/>
      <c r="J52" s="7"/>
      <c r="K52" s="10"/>
    </row>
  </sheetData>
  <mergeCells count="3">
    <mergeCell ref="M1:N1"/>
    <mergeCell ref="O1:P1"/>
    <mergeCell ref="E1:K1"/>
  </mergeCells>
  <conditionalFormatting sqref="G53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893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894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891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892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970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971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972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973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IF(ISBLANK(menu!K34),"",menu!K34)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IF(ISBLANK(menu!K35),"",menu!K35)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IF(ISBLANK(menu!K29),"",menu!K29)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IF(ISBLANK(menu!K30),"",menu!K30)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IF(ISBLANK(menu!K31),"",menu!K31)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IF(ISBLANK(menu!K32),"",menu!K32)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IF(ISBLANK(menu!K36),"",menu!K36)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IF(ISBLANK(menu!K37),"",menu!K37)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IF(ISBLANK(menu!K38),"",menu!K38)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IF(ISBLANK(menu!K39),"",menu!K39)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IF(ISBLANK(menu!K42),"",menu!K42)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IF(ISBLANK(menu!K33),"",menu!K33)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IF(ISBLANK(menu!K43),"",menu!K43)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IF(ISBLANK(menu!K44),"",menu!K44)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IF(ISBLANK(menu!K45),"",menu!K45)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IF(ISBLANK(menu!K46),"",menu!K46)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IF(ISBLANK(menu!K47),"",menu!K47)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IF(ISBLANK(menu!K48),"",menu!K48)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IF(ISBLANK(menu!K49),"",menu!K49)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IF(ISBLANK(menu!K50),"",menu!K50)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IF(ISBLANK(menu!K51),"",menu!K51)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IF(ISBLANK(menu!K52),"",menu!K52)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IF(ISBLANK(menu!K53),"",menu!K53)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IF(ISBLANK(menu!K54),"",menu!K54)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IF(ISBLANK(menu!K55),"",menu!K55)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IF(ISBLANK(menu!K56),"",menu!K56)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IF(ISBLANK(menu!K57),"",menu!K57)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IF(ISBLANK(menu!K58),"",menu!K58)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IF(ISBLANK(menu!K59),"",menu!K59)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IF(ISBLANK(menu!K60),"",menu!K60)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IF(ISBLANK(menu!K61),"",menu!K61)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IF(ISBLANK(menu!K62),"",menu!K62)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IF(ISBLANK(menu!K63),"",menu!K63)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IF(ISBLANK(menu!K64),"",menu!K64)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IF(ISBLANK(menu!K65),"",menu!K65)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IF(ISBLANK(menu!K66),"",menu!K66)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IF(ISBLANK(menu!K67),"",menu!K67)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IF(ISBLANK(menu!K68),"",menu!K68)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IF(ISBLANK(menu!K69),"",menu!K69)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IF(ISBLANK(menu!K70),"",menu!K70)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IF(ISBLANK(menu!K71),"",menu!K71)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IF(ISBLANK(menu!K72),"",menu!K72)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IF(ISBLANK(menu!K73),"",menu!K73)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IF(ISBLANK(menu!K74),"",menu!K74)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IF(ISBLANK(menu!K75),"",menu!K75)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IF(ISBLANK(menu!K76),"",menu!K76)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IF(ISBLANK(menu!K77),"",menu!K77)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IF(ISBLANK(menu!K78),"",menu!K78)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IF(ISBLANK(menu!K79),"",menu!K79)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IF(ISBLANK(menu!K80),"",menu!K80)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IF(ISBLANK(menu!K81),"",menu!K81)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IF(ISBLANK(menu!K82),"",menu!K82)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IF(ISBLANK(menu!K83),"",menu!K83)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IF(ISBLANK(menu!K84),"",menu!K84)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IF(ISBLANK(menu!K85),"",menu!K85)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IF(ISBLANK(menu!K86),"",menu!K86)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IF(ISBLANK(menu!K87),"",menu!K87)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IF(ISBLANK(menu!K88),"",menu!K88)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IF(ISBLANK(menu!K89),"",menu!K89)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IF(ISBLANK(menu!K90),"",menu!K90)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IF(ISBLANK(menu!K91),"",menu!K91)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IF(ISBLANK(menu!K92),"",menu!K92)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IF(ISBLANK(menu!K93),"",menu!K93)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IF(ISBLANK(menu!K94),"",menu!K94)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IF(ISBLANK(menu!K95),"",menu!K95)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IF(ISBLANK(menu!K96),"",menu!K96)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IF(ISBLANK(menu!K97),"",menu!K97)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IF(ISBLANK(menu!K98),"",menu!K98)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IF(ISBLANK(menu!K99),"",menu!K99)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IF(ISBLANK(menu!K100),"",menu!K100)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IF(ISBLANK(menu!K101),"",menu!K101)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IF(ISBLANK(menu!K102),"",menu!K102)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IF(ISBLANK(menu!K103),"",menu!K103)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1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6" t="s">
        <v>329</v>
      </c>
      <c r="D1" s="26"/>
      <c r="E1" s="26" t="s">
        <v>330</v>
      </c>
      <c r="F1" s="26"/>
      <c r="M1" s="17" t="s">
        <v>1488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1252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1253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1254</v>
      </c>
      <c r="C5" s="11" t="s">
        <v>47</v>
      </c>
      <c r="D5" s="11" t="s">
        <v>1250</v>
      </c>
      <c r="E5" s="11" t="s">
        <v>712</v>
      </c>
      <c r="F5" s="11" t="s">
        <v>1251</v>
      </c>
    </row>
    <row r="6" spans="1:13" x14ac:dyDescent="0.3">
      <c r="A6" s="11" t="s">
        <v>1482</v>
      </c>
      <c r="B6" s="11" t="s">
        <v>1484</v>
      </c>
      <c r="C6" s="11" t="s">
        <v>1483</v>
      </c>
      <c r="D6" s="11" t="s">
        <v>1486</v>
      </c>
      <c r="E6" s="11" t="s">
        <v>1485</v>
      </c>
      <c r="F6" s="11" t="s">
        <v>1487</v>
      </c>
    </row>
    <row r="7" spans="1:13" x14ac:dyDescent="0.3">
      <c r="A7" s="11" t="s">
        <v>1245</v>
      </c>
      <c r="B7" s="11" t="s">
        <v>1255</v>
      </c>
      <c r="C7" s="11" t="s">
        <v>1246</v>
      </c>
      <c r="D7" s="11" t="s">
        <v>1247</v>
      </c>
      <c r="E7" s="11" t="s">
        <v>1248</v>
      </c>
      <c r="F7" s="11" t="s">
        <v>1249</v>
      </c>
    </row>
    <row r="8" spans="1:13" x14ac:dyDescent="0.3">
      <c r="A8" s="11" t="s">
        <v>1272</v>
      </c>
      <c r="B8" s="11" t="s">
        <v>1258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1256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1257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1" spans="1:13" x14ac:dyDescent="0.3">
      <c r="A11" s="11" t="s">
        <v>45</v>
      </c>
      <c r="B11" s="11" t="s">
        <v>1259</v>
      </c>
      <c r="C11" s="11" t="s">
        <v>51</v>
      </c>
      <c r="D11" s="11" t="s">
        <v>72</v>
      </c>
      <c r="E11" s="11" t="s">
        <v>719</v>
      </c>
      <c r="F11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80"/>
  <sheetViews>
    <sheetView tabSelected="1" workbookViewId="0">
      <selection activeCell="I9" sqref="A9:XFD9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6" t="s">
        <v>329</v>
      </c>
      <c r="J1" s="26"/>
      <c r="K1" s="26" t="s">
        <v>330</v>
      </c>
      <c r="L1" s="26"/>
      <c r="R1" s="18" t="s">
        <v>1690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50</v>
      </c>
      <c r="F3">
        <v>50</v>
      </c>
      <c r="G3" t="s">
        <v>735</v>
      </c>
      <c r="H3" t="s">
        <v>740</v>
      </c>
      <c r="I3" t="s">
        <v>296</v>
      </c>
      <c r="J3" t="s">
        <v>739</v>
      </c>
      <c r="K3" t="s">
        <v>736</v>
      </c>
      <c r="L3" t="s">
        <v>737</v>
      </c>
    </row>
    <row r="4" spans="1:18" x14ac:dyDescent="0.3">
      <c r="A4" s="23" t="s">
        <v>839</v>
      </c>
      <c r="B4" t="s">
        <v>1682</v>
      </c>
      <c r="C4" t="s">
        <v>299</v>
      </c>
      <c r="D4" t="s">
        <v>732</v>
      </c>
      <c r="E4">
        <v>50</v>
      </c>
      <c r="F4">
        <v>50</v>
      </c>
      <c r="G4" t="s">
        <v>840</v>
      </c>
      <c r="H4" t="s">
        <v>40</v>
      </c>
      <c r="I4" t="s">
        <v>302</v>
      </c>
      <c r="J4" t="s">
        <v>841</v>
      </c>
      <c r="K4" t="s">
        <v>842</v>
      </c>
      <c r="L4" t="s">
        <v>843</v>
      </c>
    </row>
    <row r="5" spans="1:18" x14ac:dyDescent="0.3">
      <c r="A5" s="23" t="s">
        <v>989</v>
      </c>
      <c r="B5" t="s">
        <v>993</v>
      </c>
      <c r="C5" t="s">
        <v>299</v>
      </c>
      <c r="D5" t="s">
        <v>732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991</v>
      </c>
      <c r="K5" t="s">
        <v>990</v>
      </c>
      <c r="L5" t="s">
        <v>992</v>
      </c>
    </row>
    <row r="6" spans="1:18" x14ac:dyDescent="0.3">
      <c r="A6" s="23" t="s">
        <v>943</v>
      </c>
      <c r="B6" t="s">
        <v>942</v>
      </c>
      <c r="C6" t="s">
        <v>299</v>
      </c>
      <c r="D6" t="s">
        <v>732</v>
      </c>
      <c r="E6">
        <v>50</v>
      </c>
      <c r="F6">
        <v>50</v>
      </c>
      <c r="G6" t="s">
        <v>944</v>
      </c>
      <c r="H6" t="s">
        <v>54</v>
      </c>
      <c r="I6" t="s">
        <v>945</v>
      </c>
      <c r="J6" t="s">
        <v>946</v>
      </c>
      <c r="K6" t="s">
        <v>947</v>
      </c>
      <c r="L6" t="s">
        <v>948</v>
      </c>
    </row>
    <row r="7" spans="1:18" x14ac:dyDescent="0.3">
      <c r="A7" s="23" t="s">
        <v>1055</v>
      </c>
      <c r="B7" t="s">
        <v>1219</v>
      </c>
      <c r="C7" t="s">
        <v>299</v>
      </c>
      <c r="D7" t="s">
        <v>732</v>
      </c>
      <c r="E7">
        <v>50</v>
      </c>
      <c r="F7">
        <v>50</v>
      </c>
      <c r="G7" t="s">
        <v>1060</v>
      </c>
      <c r="H7" t="s">
        <v>40</v>
      </c>
      <c r="I7" t="s">
        <v>1056</v>
      </c>
      <c r="J7" t="s">
        <v>1057</v>
      </c>
      <c r="K7" t="s">
        <v>1058</v>
      </c>
      <c r="L7" t="s">
        <v>1059</v>
      </c>
    </row>
    <row r="8" spans="1:18" x14ac:dyDescent="0.3">
      <c r="A8" s="23" t="s">
        <v>1152</v>
      </c>
      <c r="B8" t="s">
        <v>1458</v>
      </c>
      <c r="C8" t="s">
        <v>299</v>
      </c>
      <c r="D8" t="s">
        <v>732</v>
      </c>
      <c r="E8">
        <v>50</v>
      </c>
      <c r="F8">
        <v>50</v>
      </c>
      <c r="G8" t="s">
        <v>1153</v>
      </c>
      <c r="H8" t="s">
        <v>41</v>
      </c>
      <c r="I8" t="s">
        <v>1154</v>
      </c>
      <c r="J8" t="s">
        <v>1156</v>
      </c>
      <c r="K8" t="s">
        <v>1155</v>
      </c>
      <c r="L8" t="s">
        <v>1157</v>
      </c>
    </row>
    <row r="9" spans="1:18" x14ac:dyDescent="0.3">
      <c r="A9" s="23" t="s">
        <v>1158</v>
      </c>
      <c r="B9" t="s">
        <v>1683</v>
      </c>
      <c r="C9" t="s">
        <v>299</v>
      </c>
      <c r="D9" t="s">
        <v>732</v>
      </c>
      <c r="E9">
        <v>50</v>
      </c>
      <c r="F9">
        <v>50</v>
      </c>
      <c r="H9" t="s">
        <v>43</v>
      </c>
      <c r="I9" t="s">
        <v>1159</v>
      </c>
      <c r="J9" t="s">
        <v>1160</v>
      </c>
      <c r="K9" t="s">
        <v>1159</v>
      </c>
      <c r="L9" t="s">
        <v>1161</v>
      </c>
    </row>
    <row r="10" spans="1:18" x14ac:dyDescent="0.3">
      <c r="A10" s="23" t="s">
        <v>1162</v>
      </c>
      <c r="B10" t="s">
        <v>1173</v>
      </c>
      <c r="D10" t="s">
        <v>732</v>
      </c>
      <c r="E10">
        <v>30</v>
      </c>
      <c r="F10">
        <v>50</v>
      </c>
      <c r="H10" t="s">
        <v>1245</v>
      </c>
      <c r="I10" t="s">
        <v>1164</v>
      </c>
      <c r="J10" t="s">
        <v>1168</v>
      </c>
      <c r="K10" t="s">
        <v>1166</v>
      </c>
      <c r="L10" t="s">
        <v>1170</v>
      </c>
    </row>
    <row r="11" spans="1:18" x14ac:dyDescent="0.3">
      <c r="A11" s="23" t="s">
        <v>1163</v>
      </c>
      <c r="B11" t="s">
        <v>1172</v>
      </c>
      <c r="D11" t="s">
        <v>732</v>
      </c>
      <c r="E11">
        <v>50</v>
      </c>
      <c r="F11">
        <v>50</v>
      </c>
      <c r="H11" t="s">
        <v>1245</v>
      </c>
      <c r="I11" t="s">
        <v>1165</v>
      </c>
      <c r="J11" t="s">
        <v>1169</v>
      </c>
      <c r="K11" t="s">
        <v>1167</v>
      </c>
      <c r="L11" t="s">
        <v>1171</v>
      </c>
    </row>
    <row r="12" spans="1:18" x14ac:dyDescent="0.3">
      <c r="A12" s="23" t="s">
        <v>1232</v>
      </c>
      <c r="B12" t="s">
        <v>1220</v>
      </c>
      <c r="E12">
        <v>50</v>
      </c>
      <c r="F12">
        <v>50</v>
      </c>
      <c r="H12" t="s">
        <v>40</v>
      </c>
      <c r="I12" t="s">
        <v>1224</v>
      </c>
      <c r="J12" t="s">
        <v>1228</v>
      </c>
      <c r="K12" t="s">
        <v>1477</v>
      </c>
      <c r="L12" t="s">
        <v>1230</v>
      </c>
    </row>
    <row r="13" spans="1:18" x14ac:dyDescent="0.3">
      <c r="A13" s="23" t="s">
        <v>1235</v>
      </c>
      <c r="B13" t="s">
        <v>1222</v>
      </c>
      <c r="E13">
        <v>50</v>
      </c>
      <c r="F13">
        <v>50</v>
      </c>
      <c r="H13" t="s">
        <v>40</v>
      </c>
      <c r="I13" t="s">
        <v>1227</v>
      </c>
      <c r="J13" t="s">
        <v>1240</v>
      </c>
      <c r="K13" t="s">
        <v>1476</v>
      </c>
      <c r="L13" t="s">
        <v>1241</v>
      </c>
    </row>
    <row r="14" spans="1:18" x14ac:dyDescent="0.3">
      <c r="A14" s="23" t="s">
        <v>1233</v>
      </c>
      <c r="B14" t="s">
        <v>1223</v>
      </c>
      <c r="E14">
        <v>50</v>
      </c>
      <c r="F14">
        <v>50</v>
      </c>
      <c r="H14" t="s">
        <v>40</v>
      </c>
      <c r="I14" t="s">
        <v>1225</v>
      </c>
      <c r="J14" t="s">
        <v>1229</v>
      </c>
      <c r="K14" t="s">
        <v>1478</v>
      </c>
      <c r="L14" t="s">
        <v>1231</v>
      </c>
    </row>
    <row r="15" spans="1:18" x14ac:dyDescent="0.3">
      <c r="A15" s="23" t="s">
        <v>1237</v>
      </c>
      <c r="B15" t="s">
        <v>1236</v>
      </c>
      <c r="E15">
        <v>50</v>
      </c>
      <c r="F15">
        <v>50</v>
      </c>
      <c r="H15" t="s">
        <v>40</v>
      </c>
      <c r="I15" t="s">
        <v>1238</v>
      </c>
      <c r="J15" t="s">
        <v>1243</v>
      </c>
      <c r="K15" t="s">
        <v>1238</v>
      </c>
      <c r="L15" t="s">
        <v>1244</v>
      </c>
    </row>
    <row r="16" spans="1:18" x14ac:dyDescent="0.3">
      <c r="A16" s="23" t="s">
        <v>1234</v>
      </c>
      <c r="B16" t="s">
        <v>1221</v>
      </c>
      <c r="E16">
        <v>50</v>
      </c>
      <c r="F16">
        <v>50</v>
      </c>
      <c r="H16" t="s">
        <v>40</v>
      </c>
      <c r="I16" t="s">
        <v>1226</v>
      </c>
      <c r="J16" t="s">
        <v>1239</v>
      </c>
      <c r="K16" t="s">
        <v>1475</v>
      </c>
      <c r="L16" t="s">
        <v>1242</v>
      </c>
    </row>
    <row r="17" spans="1:12" x14ac:dyDescent="0.3">
      <c r="A17" s="23" t="s">
        <v>1291</v>
      </c>
      <c r="B17" t="s">
        <v>1278</v>
      </c>
      <c r="E17">
        <v>50</v>
      </c>
      <c r="F17">
        <v>50</v>
      </c>
      <c r="H17" t="s">
        <v>1272</v>
      </c>
      <c r="I17" t="s">
        <v>1280</v>
      </c>
      <c r="J17" t="s">
        <v>1287</v>
      </c>
      <c r="K17" t="s">
        <v>1280</v>
      </c>
      <c r="L17" t="s">
        <v>1288</v>
      </c>
    </row>
    <row r="18" spans="1:12" x14ac:dyDescent="0.3">
      <c r="A18" s="23" t="s">
        <v>1262</v>
      </c>
      <c r="B18" t="s">
        <v>1273</v>
      </c>
      <c r="E18">
        <v>50</v>
      </c>
      <c r="F18">
        <v>50</v>
      </c>
      <c r="H18" t="s">
        <v>1272</v>
      </c>
      <c r="I18" t="s">
        <v>1266</v>
      </c>
      <c r="J18" t="s">
        <v>1266</v>
      </c>
      <c r="K18" t="s">
        <v>1270</v>
      </c>
      <c r="L18" t="s">
        <v>1270</v>
      </c>
    </row>
    <row r="19" spans="1:12" x14ac:dyDescent="0.3">
      <c r="A19" s="23" t="s">
        <v>1261</v>
      </c>
      <c r="B19" t="s">
        <v>1274</v>
      </c>
      <c r="E19">
        <v>50</v>
      </c>
      <c r="F19">
        <v>50</v>
      </c>
      <c r="H19" t="s">
        <v>1272</v>
      </c>
      <c r="I19" t="s">
        <v>1264</v>
      </c>
      <c r="J19" t="s">
        <v>1264</v>
      </c>
      <c r="K19" t="s">
        <v>1268</v>
      </c>
      <c r="L19" t="s">
        <v>1268</v>
      </c>
    </row>
    <row r="20" spans="1:12" x14ac:dyDescent="0.3">
      <c r="A20" s="23" t="s">
        <v>1289</v>
      </c>
      <c r="B20" t="s">
        <v>1275</v>
      </c>
      <c r="E20">
        <v>50</v>
      </c>
      <c r="F20">
        <v>50</v>
      </c>
      <c r="H20" t="s">
        <v>1272</v>
      </c>
      <c r="I20" t="s">
        <v>1282</v>
      </c>
      <c r="J20" t="s">
        <v>1282</v>
      </c>
      <c r="K20" t="s">
        <v>1284</v>
      </c>
      <c r="L20" t="s">
        <v>1284</v>
      </c>
    </row>
    <row r="21" spans="1:12" x14ac:dyDescent="0.3">
      <c r="A21" s="23" t="s">
        <v>1260</v>
      </c>
      <c r="B21" t="s">
        <v>1277</v>
      </c>
      <c r="E21">
        <v>50</v>
      </c>
      <c r="F21">
        <v>50</v>
      </c>
      <c r="H21" t="s">
        <v>1272</v>
      </c>
      <c r="I21" t="s">
        <v>1265</v>
      </c>
      <c r="J21" t="s">
        <v>1265</v>
      </c>
      <c r="K21" t="s">
        <v>1269</v>
      </c>
      <c r="L21" t="s">
        <v>1269</v>
      </c>
    </row>
    <row r="22" spans="1:12" x14ac:dyDescent="0.3">
      <c r="A22" s="23" t="s">
        <v>1290</v>
      </c>
      <c r="B22" t="s">
        <v>1276</v>
      </c>
      <c r="E22">
        <v>50</v>
      </c>
      <c r="F22">
        <v>50</v>
      </c>
      <c r="H22" t="s">
        <v>1272</v>
      </c>
      <c r="I22" t="s">
        <v>1283</v>
      </c>
      <c r="J22" t="s">
        <v>1283</v>
      </c>
      <c r="K22" t="s">
        <v>1285</v>
      </c>
      <c r="L22" t="s">
        <v>1285</v>
      </c>
    </row>
    <row r="23" spans="1:12" x14ac:dyDescent="0.3">
      <c r="A23" s="23" t="s">
        <v>1263</v>
      </c>
      <c r="B23" t="s">
        <v>1293</v>
      </c>
      <c r="E23">
        <v>50</v>
      </c>
      <c r="F23">
        <v>50</v>
      </c>
      <c r="H23" t="s">
        <v>1272</v>
      </c>
      <c r="I23" t="s">
        <v>1267</v>
      </c>
      <c r="J23" t="s">
        <v>1267</v>
      </c>
      <c r="K23" t="s">
        <v>1271</v>
      </c>
      <c r="L23" t="s">
        <v>1271</v>
      </c>
    </row>
    <row r="24" spans="1:12" x14ac:dyDescent="0.3">
      <c r="A24" s="23" t="s">
        <v>1292</v>
      </c>
      <c r="B24" t="s">
        <v>1279</v>
      </c>
      <c r="E24">
        <v>50</v>
      </c>
      <c r="F24">
        <v>50</v>
      </c>
      <c r="H24" t="s">
        <v>1272</v>
      </c>
      <c r="I24" t="s">
        <v>1281</v>
      </c>
      <c r="J24" t="s">
        <v>1281</v>
      </c>
      <c r="K24" t="s">
        <v>1286</v>
      </c>
      <c r="L24" t="s">
        <v>1286</v>
      </c>
    </row>
    <row r="25" spans="1:12" x14ac:dyDescent="0.3">
      <c r="A25" s="23" t="s">
        <v>1429</v>
      </c>
      <c r="B25" t="s">
        <v>1461</v>
      </c>
      <c r="E25">
        <v>50</v>
      </c>
      <c r="F25">
        <v>50</v>
      </c>
      <c r="H25" t="s">
        <v>41</v>
      </c>
      <c r="I25" t="s">
        <v>1294</v>
      </c>
      <c r="J25" t="s">
        <v>1304</v>
      </c>
      <c r="K25" t="s">
        <v>1372</v>
      </c>
      <c r="L25" t="s">
        <v>1396</v>
      </c>
    </row>
    <row r="26" spans="1:12" x14ac:dyDescent="0.3">
      <c r="A26" s="23" t="s">
        <v>1430</v>
      </c>
      <c r="B26" t="s">
        <v>1460</v>
      </c>
      <c r="E26">
        <v>50</v>
      </c>
      <c r="F26">
        <v>50</v>
      </c>
      <c r="H26" t="s">
        <v>41</v>
      </c>
      <c r="I26" t="s">
        <v>1295</v>
      </c>
      <c r="J26" t="s">
        <v>1305</v>
      </c>
      <c r="K26" t="s">
        <v>1373</v>
      </c>
      <c r="L26" t="s">
        <v>1397</v>
      </c>
    </row>
    <row r="27" spans="1:12" x14ac:dyDescent="0.3">
      <c r="A27" s="23" t="s">
        <v>1431</v>
      </c>
      <c r="B27" t="s">
        <v>1320</v>
      </c>
      <c r="E27">
        <v>50</v>
      </c>
      <c r="F27">
        <v>50</v>
      </c>
      <c r="H27" t="s">
        <v>41</v>
      </c>
      <c r="I27" t="s">
        <v>1296</v>
      </c>
      <c r="J27" t="s">
        <v>1325</v>
      </c>
      <c r="K27" t="s">
        <v>1374</v>
      </c>
      <c r="L27" t="s">
        <v>1398</v>
      </c>
    </row>
    <row r="28" spans="1:12" x14ac:dyDescent="0.3">
      <c r="A28" s="23" t="s">
        <v>1432</v>
      </c>
      <c r="B28" t="s">
        <v>1459</v>
      </c>
      <c r="E28">
        <v>50</v>
      </c>
      <c r="F28">
        <v>50</v>
      </c>
      <c r="H28" t="s">
        <v>41</v>
      </c>
      <c r="I28" t="s">
        <v>1297</v>
      </c>
      <c r="J28" t="s">
        <v>1306</v>
      </c>
      <c r="K28" t="s">
        <v>1375</v>
      </c>
      <c r="L28" t="s">
        <v>1399</v>
      </c>
    </row>
    <row r="29" spans="1:12" x14ac:dyDescent="0.3">
      <c r="A29" s="23" t="s">
        <v>1433</v>
      </c>
      <c r="B29" t="s">
        <v>1298</v>
      </c>
      <c r="E29">
        <v>50</v>
      </c>
      <c r="F29">
        <v>50</v>
      </c>
      <c r="H29" t="s">
        <v>41</v>
      </c>
      <c r="I29" t="s">
        <v>1299</v>
      </c>
      <c r="J29" t="s">
        <v>1307</v>
      </c>
      <c r="K29" t="s">
        <v>1376</v>
      </c>
      <c r="L29" t="s">
        <v>1400</v>
      </c>
    </row>
    <row r="30" spans="1:12" x14ac:dyDescent="0.3">
      <c r="A30" s="23" t="s">
        <v>1434</v>
      </c>
      <c r="B30" t="s">
        <v>1462</v>
      </c>
      <c r="E30">
        <v>50</v>
      </c>
      <c r="F30">
        <v>50</v>
      </c>
      <c r="H30" t="s">
        <v>41</v>
      </c>
      <c r="I30" t="s">
        <v>1300</v>
      </c>
      <c r="J30" t="s">
        <v>1308</v>
      </c>
      <c r="K30" t="s">
        <v>1377</v>
      </c>
      <c r="L30" t="s">
        <v>1401</v>
      </c>
    </row>
    <row r="31" spans="1:12" x14ac:dyDescent="0.3">
      <c r="A31" s="23" t="s">
        <v>1435</v>
      </c>
      <c r="B31" t="s">
        <v>1319</v>
      </c>
      <c r="E31">
        <v>50</v>
      </c>
      <c r="F31">
        <v>50</v>
      </c>
      <c r="H31" t="s">
        <v>41</v>
      </c>
      <c r="I31" t="s">
        <v>1302</v>
      </c>
      <c r="J31" t="s">
        <v>1309</v>
      </c>
      <c r="K31" t="s">
        <v>1378</v>
      </c>
      <c r="L31" t="s">
        <v>1402</v>
      </c>
    </row>
    <row r="32" spans="1:12" x14ac:dyDescent="0.3">
      <c r="A32" s="23" t="s">
        <v>1436</v>
      </c>
      <c r="B32" t="s">
        <v>1346</v>
      </c>
      <c r="E32">
        <v>50</v>
      </c>
      <c r="F32">
        <v>50</v>
      </c>
      <c r="H32" t="s">
        <v>41</v>
      </c>
      <c r="I32" t="s">
        <v>1301</v>
      </c>
      <c r="J32" t="s">
        <v>1311</v>
      </c>
      <c r="K32" t="s">
        <v>1379</v>
      </c>
      <c r="L32" t="s">
        <v>1403</v>
      </c>
    </row>
    <row r="33" spans="1:12" x14ac:dyDescent="0.3">
      <c r="A33" s="23" t="s">
        <v>1437</v>
      </c>
      <c r="B33" t="s">
        <v>1321</v>
      </c>
      <c r="E33">
        <v>50</v>
      </c>
      <c r="F33">
        <v>50</v>
      </c>
      <c r="H33" t="s">
        <v>41</v>
      </c>
      <c r="I33" t="s">
        <v>1312</v>
      </c>
      <c r="J33" t="s">
        <v>1310</v>
      </c>
      <c r="K33" t="s">
        <v>1380</v>
      </c>
      <c r="L33" t="s">
        <v>1404</v>
      </c>
    </row>
    <row r="34" spans="1:12" x14ac:dyDescent="0.3">
      <c r="A34" s="23" t="s">
        <v>1438</v>
      </c>
      <c r="B34" t="s">
        <v>1322</v>
      </c>
      <c r="E34">
        <v>50</v>
      </c>
      <c r="F34">
        <v>50</v>
      </c>
      <c r="H34" t="s">
        <v>41</v>
      </c>
      <c r="I34" t="s">
        <v>1303</v>
      </c>
      <c r="J34" t="s">
        <v>1313</v>
      </c>
      <c r="K34" t="s">
        <v>1381</v>
      </c>
      <c r="L34" t="s">
        <v>1405</v>
      </c>
    </row>
    <row r="35" spans="1:12" x14ac:dyDescent="0.3">
      <c r="A35" s="23" t="s">
        <v>1439</v>
      </c>
      <c r="B35" t="s">
        <v>1323</v>
      </c>
      <c r="E35">
        <v>50</v>
      </c>
      <c r="F35">
        <v>50</v>
      </c>
      <c r="H35" t="s">
        <v>41</v>
      </c>
      <c r="I35" t="s">
        <v>1314</v>
      </c>
      <c r="J35" t="s">
        <v>1315</v>
      </c>
      <c r="K35" t="s">
        <v>1382</v>
      </c>
      <c r="L35" t="s">
        <v>1406</v>
      </c>
    </row>
    <row r="36" spans="1:12" x14ac:dyDescent="0.3">
      <c r="A36" s="23" t="s">
        <v>1440</v>
      </c>
      <c r="B36" t="s">
        <v>1318</v>
      </c>
      <c r="E36">
        <v>50</v>
      </c>
      <c r="F36">
        <v>50</v>
      </c>
      <c r="H36" t="s">
        <v>41</v>
      </c>
      <c r="I36" t="s">
        <v>1317</v>
      </c>
      <c r="J36" t="s">
        <v>1316</v>
      </c>
      <c r="K36" t="s">
        <v>1383</v>
      </c>
      <c r="L36" t="s">
        <v>1407</v>
      </c>
    </row>
    <row r="37" spans="1:12" x14ac:dyDescent="0.3">
      <c r="A37" s="23" t="s">
        <v>1441</v>
      </c>
      <c r="B37" t="s">
        <v>1326</v>
      </c>
      <c r="E37">
        <v>50</v>
      </c>
      <c r="F37">
        <v>50</v>
      </c>
      <c r="H37" t="s">
        <v>41</v>
      </c>
      <c r="I37" t="s">
        <v>1327</v>
      </c>
      <c r="J37" t="s">
        <v>1324</v>
      </c>
      <c r="K37" t="s">
        <v>1384</v>
      </c>
      <c r="L37" t="s">
        <v>1408</v>
      </c>
    </row>
    <row r="38" spans="1:12" x14ac:dyDescent="0.3">
      <c r="A38" s="23" t="s">
        <v>1442</v>
      </c>
      <c r="B38" t="s">
        <v>1337</v>
      </c>
      <c r="E38">
        <v>50</v>
      </c>
      <c r="F38">
        <v>50</v>
      </c>
      <c r="H38" t="s">
        <v>41</v>
      </c>
      <c r="I38" t="s">
        <v>1328</v>
      </c>
      <c r="J38" t="s">
        <v>1329</v>
      </c>
      <c r="K38" t="s">
        <v>1328</v>
      </c>
      <c r="L38" t="s">
        <v>1409</v>
      </c>
    </row>
    <row r="39" spans="1:12" x14ac:dyDescent="0.3">
      <c r="A39" s="23" t="s">
        <v>1443</v>
      </c>
      <c r="B39" t="s">
        <v>1332</v>
      </c>
      <c r="E39">
        <v>50</v>
      </c>
      <c r="F39">
        <v>50</v>
      </c>
      <c r="H39" t="s">
        <v>41</v>
      </c>
      <c r="I39" t="s">
        <v>1330</v>
      </c>
      <c r="J39" t="s">
        <v>1331</v>
      </c>
      <c r="K39" t="s">
        <v>1385</v>
      </c>
      <c r="L39" t="s">
        <v>1410</v>
      </c>
    </row>
    <row r="40" spans="1:12" x14ac:dyDescent="0.3">
      <c r="A40" s="23" t="s">
        <v>1444</v>
      </c>
      <c r="B40" t="s">
        <v>1335</v>
      </c>
      <c r="E40">
        <v>50</v>
      </c>
      <c r="F40">
        <v>50</v>
      </c>
      <c r="H40" t="s">
        <v>41</v>
      </c>
      <c r="I40" t="s">
        <v>1333</v>
      </c>
      <c r="J40" t="s">
        <v>1334</v>
      </c>
      <c r="K40" t="s">
        <v>1386</v>
      </c>
      <c r="L40" t="s">
        <v>1411</v>
      </c>
    </row>
    <row r="41" spans="1:12" x14ac:dyDescent="0.3">
      <c r="A41" s="23" t="s">
        <v>1445</v>
      </c>
      <c r="B41" t="s">
        <v>1336</v>
      </c>
      <c r="E41">
        <v>50</v>
      </c>
      <c r="F41">
        <v>50</v>
      </c>
      <c r="H41" t="s">
        <v>41</v>
      </c>
      <c r="I41" t="s">
        <v>1359</v>
      </c>
      <c r="J41" t="s">
        <v>1362</v>
      </c>
      <c r="K41" t="s">
        <v>1359</v>
      </c>
      <c r="L41" t="s">
        <v>1412</v>
      </c>
    </row>
    <row r="42" spans="1:12" x14ac:dyDescent="0.3">
      <c r="A42" s="23" t="s">
        <v>1446</v>
      </c>
      <c r="B42" t="s">
        <v>1338</v>
      </c>
      <c r="E42">
        <v>50</v>
      </c>
      <c r="F42">
        <v>50</v>
      </c>
      <c r="H42" t="s">
        <v>41</v>
      </c>
      <c r="I42" t="s">
        <v>1358</v>
      </c>
      <c r="J42" t="s">
        <v>1425</v>
      </c>
      <c r="K42" t="s">
        <v>1387</v>
      </c>
      <c r="L42" t="s">
        <v>1413</v>
      </c>
    </row>
    <row r="43" spans="1:12" x14ac:dyDescent="0.3">
      <c r="A43" s="23" t="s">
        <v>1447</v>
      </c>
      <c r="B43" t="s">
        <v>1339</v>
      </c>
      <c r="E43">
        <v>50</v>
      </c>
      <c r="F43">
        <v>50</v>
      </c>
      <c r="H43" t="s">
        <v>41</v>
      </c>
      <c r="I43" t="s">
        <v>1357</v>
      </c>
      <c r="J43" t="s">
        <v>1426</v>
      </c>
      <c r="K43" t="s">
        <v>1388</v>
      </c>
      <c r="L43" t="s">
        <v>1414</v>
      </c>
    </row>
    <row r="44" spans="1:12" x14ac:dyDescent="0.3">
      <c r="A44" s="23" t="s">
        <v>1448</v>
      </c>
      <c r="B44" t="s">
        <v>1360</v>
      </c>
      <c r="E44">
        <v>50</v>
      </c>
      <c r="F44">
        <v>50</v>
      </c>
      <c r="H44" t="s">
        <v>41</v>
      </c>
      <c r="I44" t="s">
        <v>1361</v>
      </c>
      <c r="J44" t="s">
        <v>1427</v>
      </c>
      <c r="K44" t="s">
        <v>1389</v>
      </c>
      <c r="L44" t="s">
        <v>1415</v>
      </c>
    </row>
    <row r="45" spans="1:12" x14ac:dyDescent="0.3">
      <c r="A45" s="23" t="s">
        <v>1449</v>
      </c>
      <c r="B45" t="s">
        <v>1340</v>
      </c>
      <c r="E45">
        <v>50</v>
      </c>
      <c r="F45">
        <v>50</v>
      </c>
      <c r="H45" t="s">
        <v>41</v>
      </c>
      <c r="I45" t="s">
        <v>1356</v>
      </c>
      <c r="J45" t="s">
        <v>1428</v>
      </c>
      <c r="K45" t="s">
        <v>1356</v>
      </c>
      <c r="L45" t="s">
        <v>1416</v>
      </c>
    </row>
    <row r="46" spans="1:12" x14ac:dyDescent="0.3">
      <c r="A46" s="23" t="s">
        <v>1450</v>
      </c>
      <c r="B46" t="s">
        <v>1341</v>
      </c>
      <c r="E46">
        <v>50</v>
      </c>
      <c r="F46">
        <v>50</v>
      </c>
      <c r="H46" t="s">
        <v>41</v>
      </c>
      <c r="I46" t="s">
        <v>1355</v>
      </c>
      <c r="J46" t="s">
        <v>1363</v>
      </c>
      <c r="K46" t="s">
        <v>1390</v>
      </c>
      <c r="L46" t="s">
        <v>1417</v>
      </c>
    </row>
    <row r="47" spans="1:12" x14ac:dyDescent="0.3">
      <c r="A47" s="23" t="s">
        <v>1451</v>
      </c>
      <c r="B47" t="s">
        <v>1342</v>
      </c>
      <c r="E47">
        <v>50</v>
      </c>
      <c r="F47">
        <v>50</v>
      </c>
      <c r="H47" t="s">
        <v>41</v>
      </c>
      <c r="I47" t="s">
        <v>1365</v>
      </c>
      <c r="J47" t="s">
        <v>1364</v>
      </c>
      <c r="K47" t="s">
        <v>1391</v>
      </c>
      <c r="L47" t="s">
        <v>1418</v>
      </c>
    </row>
    <row r="48" spans="1:12" x14ac:dyDescent="0.3">
      <c r="A48" s="23" t="s">
        <v>1452</v>
      </c>
      <c r="B48" t="s">
        <v>1352</v>
      </c>
      <c r="E48">
        <v>50</v>
      </c>
      <c r="F48">
        <v>50</v>
      </c>
      <c r="H48" t="s">
        <v>41</v>
      </c>
      <c r="I48" t="s">
        <v>1353</v>
      </c>
      <c r="J48" t="s">
        <v>1366</v>
      </c>
      <c r="K48" t="s">
        <v>1353</v>
      </c>
      <c r="L48" t="s">
        <v>1419</v>
      </c>
    </row>
    <row r="49" spans="1:12" x14ac:dyDescent="0.3">
      <c r="A49" s="23" t="s">
        <v>1453</v>
      </c>
      <c r="B49" t="s">
        <v>1343</v>
      </c>
      <c r="E49">
        <v>50</v>
      </c>
      <c r="F49">
        <v>50</v>
      </c>
      <c r="H49" t="s">
        <v>41</v>
      </c>
      <c r="I49" t="s">
        <v>1354</v>
      </c>
      <c r="J49" t="s">
        <v>1367</v>
      </c>
      <c r="K49" t="s">
        <v>1354</v>
      </c>
      <c r="L49" t="s">
        <v>1420</v>
      </c>
    </row>
    <row r="50" spans="1:12" x14ac:dyDescent="0.3">
      <c r="A50" s="23" t="s">
        <v>1454</v>
      </c>
      <c r="B50" t="s">
        <v>1344</v>
      </c>
      <c r="E50">
        <v>50</v>
      </c>
      <c r="F50">
        <v>50</v>
      </c>
      <c r="H50" t="s">
        <v>41</v>
      </c>
      <c r="I50" t="s">
        <v>1351</v>
      </c>
      <c r="J50" t="s">
        <v>1368</v>
      </c>
      <c r="K50" t="s">
        <v>1392</v>
      </c>
      <c r="L50" t="s">
        <v>1421</v>
      </c>
    </row>
    <row r="51" spans="1:12" x14ac:dyDescent="0.3">
      <c r="A51" s="23" t="s">
        <v>1455</v>
      </c>
      <c r="B51" t="s">
        <v>1349</v>
      </c>
      <c r="E51">
        <v>50</v>
      </c>
      <c r="F51">
        <v>50</v>
      </c>
      <c r="H51" t="s">
        <v>41</v>
      </c>
      <c r="I51" t="s">
        <v>1350</v>
      </c>
      <c r="J51" t="s">
        <v>1369</v>
      </c>
      <c r="K51" t="s">
        <v>1393</v>
      </c>
      <c r="L51" t="s">
        <v>1422</v>
      </c>
    </row>
    <row r="52" spans="1:12" x14ac:dyDescent="0.3">
      <c r="A52" s="23" t="s">
        <v>1456</v>
      </c>
      <c r="B52" t="s">
        <v>1345</v>
      </c>
      <c r="E52">
        <v>50</v>
      </c>
      <c r="F52">
        <v>50</v>
      </c>
      <c r="H52" t="s">
        <v>41</v>
      </c>
      <c r="I52" t="s">
        <v>1348</v>
      </c>
      <c r="J52" t="s">
        <v>1370</v>
      </c>
      <c r="K52" t="s">
        <v>1394</v>
      </c>
      <c r="L52" t="s">
        <v>1423</v>
      </c>
    </row>
    <row r="53" spans="1:12" x14ac:dyDescent="0.3">
      <c r="A53" s="23" t="s">
        <v>1457</v>
      </c>
      <c r="B53" t="s">
        <v>1347</v>
      </c>
      <c r="E53">
        <v>50</v>
      </c>
      <c r="F53">
        <v>50</v>
      </c>
      <c r="H53" t="s">
        <v>41</v>
      </c>
      <c r="I53" t="s">
        <v>1227</v>
      </c>
      <c r="J53" t="s">
        <v>1371</v>
      </c>
      <c r="K53" t="s">
        <v>1395</v>
      </c>
      <c r="L53" t="s">
        <v>1424</v>
      </c>
    </row>
    <row r="54" spans="1:12" x14ac:dyDescent="0.3">
      <c r="A54" s="23" t="s">
        <v>1467</v>
      </c>
      <c r="B54" t="s">
        <v>1468</v>
      </c>
      <c r="E54">
        <v>50</v>
      </c>
      <c r="F54">
        <v>50</v>
      </c>
      <c r="H54" t="s">
        <v>41</v>
      </c>
      <c r="I54" t="s">
        <v>1465</v>
      </c>
      <c r="J54" t="s">
        <v>1463</v>
      </c>
      <c r="K54" t="s">
        <v>1464</v>
      </c>
      <c r="L54" t="s">
        <v>1466</v>
      </c>
    </row>
    <row r="55" spans="1:12" x14ac:dyDescent="0.3">
      <c r="A55" s="23" t="s">
        <v>1470</v>
      </c>
      <c r="B55" t="s">
        <v>1469</v>
      </c>
      <c r="E55">
        <v>100</v>
      </c>
      <c r="F55">
        <v>50</v>
      </c>
      <c r="H55" t="s">
        <v>41</v>
      </c>
      <c r="I55" t="s">
        <v>1472</v>
      </c>
      <c r="J55" t="s">
        <v>1471</v>
      </c>
      <c r="K55" t="s">
        <v>1473</v>
      </c>
      <c r="L55" t="s">
        <v>1474</v>
      </c>
    </row>
    <row r="56" spans="1:12" x14ac:dyDescent="0.3">
      <c r="A56" s="23" t="s">
        <v>1537</v>
      </c>
      <c r="B56" t="s">
        <v>1572</v>
      </c>
      <c r="E56">
        <v>50</v>
      </c>
      <c r="F56">
        <v>50</v>
      </c>
      <c r="H56" t="s">
        <v>1482</v>
      </c>
      <c r="I56" t="s">
        <v>1489</v>
      </c>
      <c r="J56" t="s">
        <v>1514</v>
      </c>
      <c r="K56" t="s">
        <v>1489</v>
      </c>
      <c r="L56" t="s">
        <v>1585</v>
      </c>
    </row>
    <row r="57" spans="1:12" x14ac:dyDescent="0.3">
      <c r="A57" s="23" t="s">
        <v>1538</v>
      </c>
      <c r="B57" t="s">
        <v>1562</v>
      </c>
      <c r="E57">
        <v>50</v>
      </c>
      <c r="F57">
        <v>50</v>
      </c>
      <c r="H57" t="s">
        <v>1482</v>
      </c>
      <c r="I57" t="s">
        <v>1490</v>
      </c>
      <c r="J57" t="s">
        <v>1515</v>
      </c>
      <c r="K57" t="s">
        <v>1490</v>
      </c>
      <c r="L57" t="s">
        <v>1586</v>
      </c>
    </row>
    <row r="58" spans="1:12" x14ac:dyDescent="0.3">
      <c r="A58" s="23" t="s">
        <v>1539</v>
      </c>
      <c r="B58" t="s">
        <v>1571</v>
      </c>
      <c r="E58">
        <v>50</v>
      </c>
      <c r="F58">
        <v>50</v>
      </c>
      <c r="H58" t="s">
        <v>1482</v>
      </c>
      <c r="I58" t="s">
        <v>1491</v>
      </c>
      <c r="J58" t="s">
        <v>1516</v>
      </c>
      <c r="K58" t="s">
        <v>1491</v>
      </c>
      <c r="L58" t="s">
        <v>1587</v>
      </c>
    </row>
    <row r="59" spans="1:12" x14ac:dyDescent="0.3">
      <c r="A59" s="23" t="s">
        <v>1540</v>
      </c>
      <c r="B59" t="s">
        <v>1565</v>
      </c>
      <c r="E59">
        <v>50</v>
      </c>
      <c r="F59">
        <v>50</v>
      </c>
      <c r="H59" t="s">
        <v>1482</v>
      </c>
      <c r="I59" t="s">
        <v>1492</v>
      </c>
      <c r="J59" t="s">
        <v>1517</v>
      </c>
      <c r="K59" t="s">
        <v>1492</v>
      </c>
      <c r="L59" t="s">
        <v>1588</v>
      </c>
    </row>
    <row r="60" spans="1:12" x14ac:dyDescent="0.3">
      <c r="A60" s="23" t="s">
        <v>1541</v>
      </c>
      <c r="B60" t="s">
        <v>1570</v>
      </c>
      <c r="E60">
        <v>50</v>
      </c>
      <c r="F60">
        <v>50</v>
      </c>
      <c r="H60" t="s">
        <v>1482</v>
      </c>
      <c r="I60" t="s">
        <v>1493</v>
      </c>
      <c r="J60" t="s">
        <v>1513</v>
      </c>
      <c r="K60" t="s">
        <v>1493</v>
      </c>
      <c r="L60" t="s">
        <v>1589</v>
      </c>
    </row>
    <row r="61" spans="1:12" x14ac:dyDescent="0.3">
      <c r="A61" s="23" t="s">
        <v>1542</v>
      </c>
      <c r="B61" t="s">
        <v>1566</v>
      </c>
      <c r="E61">
        <v>50</v>
      </c>
      <c r="F61">
        <v>50</v>
      </c>
      <c r="H61" t="s">
        <v>1482</v>
      </c>
      <c r="I61" t="s">
        <v>1494</v>
      </c>
      <c r="J61" t="s">
        <v>1518</v>
      </c>
      <c r="K61" t="s">
        <v>1494</v>
      </c>
      <c r="L61" t="s">
        <v>1590</v>
      </c>
    </row>
    <row r="62" spans="1:12" x14ac:dyDescent="0.3">
      <c r="A62" s="23" t="s">
        <v>1543</v>
      </c>
      <c r="B62" t="s">
        <v>1569</v>
      </c>
      <c r="E62">
        <v>50</v>
      </c>
      <c r="F62">
        <v>50</v>
      </c>
      <c r="H62" t="s">
        <v>1482</v>
      </c>
      <c r="I62" t="s">
        <v>1495</v>
      </c>
      <c r="J62" t="s">
        <v>1519</v>
      </c>
      <c r="K62" t="s">
        <v>1495</v>
      </c>
      <c r="L62" t="s">
        <v>1591</v>
      </c>
    </row>
    <row r="63" spans="1:12" x14ac:dyDescent="0.3">
      <c r="A63" s="23" t="s">
        <v>1544</v>
      </c>
      <c r="B63" t="s">
        <v>1561</v>
      </c>
      <c r="E63">
        <v>50</v>
      </c>
      <c r="F63">
        <v>50</v>
      </c>
      <c r="H63" t="s">
        <v>1482</v>
      </c>
      <c r="I63" t="s">
        <v>1496</v>
      </c>
      <c r="J63" t="s">
        <v>1520</v>
      </c>
      <c r="K63" t="s">
        <v>1496</v>
      </c>
      <c r="L63" t="s">
        <v>1592</v>
      </c>
    </row>
    <row r="64" spans="1:12" x14ac:dyDescent="0.3">
      <c r="A64" s="23" t="s">
        <v>1545</v>
      </c>
      <c r="B64" t="s">
        <v>1568</v>
      </c>
      <c r="E64">
        <v>50</v>
      </c>
      <c r="F64">
        <v>50</v>
      </c>
      <c r="H64" t="s">
        <v>1482</v>
      </c>
      <c r="I64" t="s">
        <v>1497</v>
      </c>
      <c r="J64" t="s">
        <v>1521</v>
      </c>
      <c r="K64" t="s">
        <v>1497</v>
      </c>
      <c r="L64" t="s">
        <v>1593</v>
      </c>
    </row>
    <row r="65" spans="1:12" x14ac:dyDescent="0.3">
      <c r="A65" s="23" t="s">
        <v>1546</v>
      </c>
      <c r="B65" t="s">
        <v>1563</v>
      </c>
      <c r="E65">
        <v>50</v>
      </c>
      <c r="F65">
        <v>50</v>
      </c>
      <c r="H65" t="s">
        <v>1482</v>
      </c>
      <c r="I65" t="s">
        <v>1498</v>
      </c>
      <c r="J65" t="s">
        <v>1522</v>
      </c>
      <c r="K65" t="s">
        <v>1498</v>
      </c>
      <c r="L65" t="s">
        <v>1594</v>
      </c>
    </row>
    <row r="66" spans="1:12" x14ac:dyDescent="0.3">
      <c r="A66" s="23" t="s">
        <v>1547</v>
      </c>
      <c r="B66" t="s">
        <v>1567</v>
      </c>
      <c r="E66">
        <v>50</v>
      </c>
      <c r="F66">
        <v>50</v>
      </c>
      <c r="H66" t="s">
        <v>1482</v>
      </c>
      <c r="I66" t="s">
        <v>1499</v>
      </c>
      <c r="J66" t="s">
        <v>1523</v>
      </c>
      <c r="K66" t="s">
        <v>1499</v>
      </c>
      <c r="L66" t="s">
        <v>1595</v>
      </c>
    </row>
    <row r="67" spans="1:12" x14ac:dyDescent="0.3">
      <c r="A67" s="23" t="s">
        <v>1548</v>
      </c>
      <c r="B67" t="s">
        <v>1564</v>
      </c>
      <c r="E67">
        <v>50</v>
      </c>
      <c r="F67">
        <v>50</v>
      </c>
      <c r="H67" t="s">
        <v>1482</v>
      </c>
      <c r="I67" t="s">
        <v>1500</v>
      </c>
      <c r="J67" t="s">
        <v>1524</v>
      </c>
      <c r="K67" t="s">
        <v>1500</v>
      </c>
      <c r="L67" t="s">
        <v>1596</v>
      </c>
    </row>
    <row r="68" spans="1:12" x14ac:dyDescent="0.3">
      <c r="A68" s="23" t="s">
        <v>1549</v>
      </c>
      <c r="B68" t="s">
        <v>1584</v>
      </c>
      <c r="E68">
        <v>50</v>
      </c>
      <c r="F68">
        <v>50</v>
      </c>
      <c r="H68" t="s">
        <v>1482</v>
      </c>
      <c r="I68" t="s">
        <v>1501</v>
      </c>
      <c r="J68" t="s">
        <v>1525</v>
      </c>
      <c r="K68" t="s">
        <v>1501</v>
      </c>
      <c r="L68" t="s">
        <v>1597</v>
      </c>
    </row>
    <row r="69" spans="1:12" x14ac:dyDescent="0.3">
      <c r="A69" s="23" t="s">
        <v>1550</v>
      </c>
      <c r="B69" t="s">
        <v>1573</v>
      </c>
      <c r="E69">
        <v>50</v>
      </c>
      <c r="F69">
        <v>50</v>
      </c>
      <c r="H69" t="s">
        <v>1482</v>
      </c>
      <c r="I69" t="s">
        <v>1502</v>
      </c>
      <c r="J69" t="s">
        <v>1526</v>
      </c>
      <c r="K69" t="s">
        <v>1502</v>
      </c>
      <c r="L69" t="s">
        <v>1598</v>
      </c>
    </row>
    <row r="70" spans="1:12" x14ac:dyDescent="0.3">
      <c r="A70" s="23" t="s">
        <v>1551</v>
      </c>
      <c r="B70" t="s">
        <v>1583</v>
      </c>
      <c r="E70">
        <v>50</v>
      </c>
      <c r="F70">
        <v>50</v>
      </c>
      <c r="H70" t="s">
        <v>1482</v>
      </c>
      <c r="I70" t="s">
        <v>1503</v>
      </c>
      <c r="J70" t="s">
        <v>1527</v>
      </c>
      <c r="K70" t="s">
        <v>1503</v>
      </c>
      <c r="L70" t="s">
        <v>1599</v>
      </c>
    </row>
    <row r="71" spans="1:12" x14ac:dyDescent="0.3">
      <c r="A71" s="23" t="s">
        <v>1552</v>
      </c>
      <c r="B71" t="s">
        <v>1574</v>
      </c>
      <c r="E71">
        <v>50</v>
      </c>
      <c r="F71">
        <v>50</v>
      </c>
      <c r="H71" t="s">
        <v>1482</v>
      </c>
      <c r="I71" t="s">
        <v>1504</v>
      </c>
      <c r="J71" t="s">
        <v>1528</v>
      </c>
      <c r="K71" t="s">
        <v>1504</v>
      </c>
      <c r="L71" t="s">
        <v>1600</v>
      </c>
    </row>
    <row r="72" spans="1:12" x14ac:dyDescent="0.3">
      <c r="A72" s="23" t="s">
        <v>1553</v>
      </c>
      <c r="B72" t="s">
        <v>1582</v>
      </c>
      <c r="E72">
        <v>50</v>
      </c>
      <c r="F72">
        <v>50</v>
      </c>
      <c r="H72" t="s">
        <v>1482</v>
      </c>
      <c r="I72" t="s">
        <v>1506</v>
      </c>
      <c r="J72" t="s">
        <v>1529</v>
      </c>
      <c r="K72" t="s">
        <v>1506</v>
      </c>
      <c r="L72" t="s">
        <v>1601</v>
      </c>
    </row>
    <row r="73" spans="1:12" x14ac:dyDescent="0.3">
      <c r="A73" s="23" t="s">
        <v>1554</v>
      </c>
      <c r="B73" t="s">
        <v>1575</v>
      </c>
      <c r="E73">
        <v>50</v>
      </c>
      <c r="F73">
        <v>50</v>
      </c>
      <c r="H73" t="s">
        <v>1482</v>
      </c>
      <c r="I73" t="s">
        <v>1505</v>
      </c>
      <c r="J73" t="s">
        <v>1530</v>
      </c>
      <c r="K73" t="s">
        <v>1505</v>
      </c>
      <c r="L73" t="s">
        <v>1602</v>
      </c>
    </row>
    <row r="74" spans="1:12" x14ac:dyDescent="0.3">
      <c r="A74" s="23" t="s">
        <v>1555</v>
      </c>
      <c r="B74" t="s">
        <v>1581</v>
      </c>
      <c r="E74">
        <v>50</v>
      </c>
      <c r="F74">
        <v>50</v>
      </c>
      <c r="H74" t="s">
        <v>1482</v>
      </c>
      <c r="I74" t="s">
        <v>1507</v>
      </c>
      <c r="J74" t="s">
        <v>1531</v>
      </c>
      <c r="K74" t="s">
        <v>1507</v>
      </c>
      <c r="L74" t="s">
        <v>1603</v>
      </c>
    </row>
    <row r="75" spans="1:12" x14ac:dyDescent="0.3">
      <c r="A75" s="23" t="s">
        <v>1556</v>
      </c>
      <c r="B75" t="s">
        <v>1576</v>
      </c>
      <c r="E75">
        <v>50</v>
      </c>
      <c r="F75">
        <v>50</v>
      </c>
      <c r="H75" t="s">
        <v>1482</v>
      </c>
      <c r="I75" t="s">
        <v>1508</v>
      </c>
      <c r="J75" t="s">
        <v>1532</v>
      </c>
      <c r="K75" t="s">
        <v>1508</v>
      </c>
      <c r="L75" t="s">
        <v>1604</v>
      </c>
    </row>
    <row r="76" spans="1:12" x14ac:dyDescent="0.3">
      <c r="A76" s="23" t="s">
        <v>1557</v>
      </c>
      <c r="B76" t="s">
        <v>1580</v>
      </c>
      <c r="E76">
        <v>50</v>
      </c>
      <c r="F76">
        <v>50</v>
      </c>
      <c r="H76" t="s">
        <v>1482</v>
      </c>
      <c r="I76" t="s">
        <v>1509</v>
      </c>
      <c r="J76" t="s">
        <v>1533</v>
      </c>
      <c r="K76" t="s">
        <v>1509</v>
      </c>
      <c r="L76" t="s">
        <v>1605</v>
      </c>
    </row>
    <row r="77" spans="1:12" x14ac:dyDescent="0.3">
      <c r="A77" s="23" t="s">
        <v>1558</v>
      </c>
      <c r="B77" t="s">
        <v>1577</v>
      </c>
      <c r="E77">
        <v>50</v>
      </c>
      <c r="F77">
        <v>50</v>
      </c>
      <c r="H77" t="s">
        <v>1482</v>
      </c>
      <c r="I77" t="s">
        <v>1510</v>
      </c>
      <c r="J77" t="s">
        <v>1534</v>
      </c>
      <c r="K77" t="s">
        <v>1510</v>
      </c>
      <c r="L77" t="s">
        <v>1606</v>
      </c>
    </row>
    <row r="78" spans="1:12" x14ac:dyDescent="0.3">
      <c r="A78" s="23" t="s">
        <v>1559</v>
      </c>
      <c r="B78" t="s">
        <v>1579</v>
      </c>
      <c r="E78">
        <v>50</v>
      </c>
      <c r="F78">
        <v>50</v>
      </c>
      <c r="H78" t="s">
        <v>1482</v>
      </c>
      <c r="I78" t="s">
        <v>1511</v>
      </c>
      <c r="J78" t="s">
        <v>1535</v>
      </c>
      <c r="K78" t="s">
        <v>1511</v>
      </c>
      <c r="L78" t="s">
        <v>1607</v>
      </c>
    </row>
    <row r="79" spans="1:12" x14ac:dyDescent="0.3">
      <c r="A79" s="23" t="s">
        <v>1560</v>
      </c>
      <c r="B79" t="s">
        <v>1578</v>
      </c>
      <c r="E79">
        <v>50</v>
      </c>
      <c r="F79">
        <v>50</v>
      </c>
      <c r="H79" t="s">
        <v>1482</v>
      </c>
      <c r="I79" t="s">
        <v>1512</v>
      </c>
      <c r="J79" t="s">
        <v>1536</v>
      </c>
      <c r="K79" t="s">
        <v>1512</v>
      </c>
      <c r="L79" t="s">
        <v>1608</v>
      </c>
    </row>
    <row r="80" spans="1:12" x14ac:dyDescent="0.3">
      <c r="A80" s="23" t="s">
        <v>1689</v>
      </c>
      <c r="B80" t="s">
        <v>1684</v>
      </c>
      <c r="E80">
        <v>50</v>
      </c>
      <c r="F80">
        <v>50</v>
      </c>
      <c r="H80" t="s">
        <v>43</v>
      </c>
      <c r="I80" t="s">
        <v>1685</v>
      </c>
      <c r="J80" t="s">
        <v>1687</v>
      </c>
      <c r="K80" t="s">
        <v>1686</v>
      </c>
      <c r="L80" t="s">
        <v>1688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dimension ref="A1:J23"/>
  <sheetViews>
    <sheetView workbookViewId="0">
      <selection activeCell="E10" sqref="E10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1642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1644</v>
      </c>
      <c r="B2" t="s">
        <v>1655</v>
      </c>
      <c r="C2" t="s">
        <v>1654</v>
      </c>
      <c r="D2" t="s">
        <v>1653</v>
      </c>
      <c r="E2">
        <v>0</v>
      </c>
      <c r="F2" t="s">
        <v>1612</v>
      </c>
      <c r="G2" t="s">
        <v>1641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1645</v>
      </c>
      <c r="B3" t="s">
        <v>1656</v>
      </c>
      <c r="C3" t="s">
        <v>1657</v>
      </c>
      <c r="D3" t="s">
        <v>1658</v>
      </c>
      <c r="E3">
        <v>2</v>
      </c>
      <c r="F3" t="s">
        <v>1614</v>
      </c>
      <c r="G3" t="s">
        <v>1623</v>
      </c>
      <c r="J3" t="str">
        <f t="shared" ref="J3:J23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"em":{a:[[0,0],[0.5,0]],b:[0,1],c:[0,0.5],m:2,desc:{"en-us":"Explicit midpoint method","es-mx":"Método explícito de punto medio"}},</v>
      </c>
    </row>
    <row r="4" spans="1:10" x14ac:dyDescent="0.3">
      <c r="A4" t="s">
        <v>1646</v>
      </c>
      <c r="B4" t="s">
        <v>1659</v>
      </c>
      <c r="C4" t="s">
        <v>1660</v>
      </c>
      <c r="D4" t="s">
        <v>1657</v>
      </c>
      <c r="E4">
        <v>1</v>
      </c>
      <c r="F4" t="s">
        <v>1615</v>
      </c>
      <c r="G4" t="s">
        <v>1624</v>
      </c>
      <c r="J4" t="str">
        <f t="shared" si="0"/>
        <v>"hm":{a:[[0,0],[1,0]],b:[0.5,0.5],c:[0,1],m:1,desc:{"en-us":"Heun's method","es-mx":"Método de Heun"}},</v>
      </c>
    </row>
    <row r="5" spans="1:10" x14ac:dyDescent="0.3">
      <c r="A5" t="s">
        <v>1647</v>
      </c>
      <c r="B5" t="s">
        <v>1663</v>
      </c>
      <c r="C5" t="s">
        <v>1662</v>
      </c>
      <c r="D5" t="s">
        <v>1661</v>
      </c>
      <c r="E5">
        <v>3</v>
      </c>
      <c r="F5" t="s">
        <v>1616</v>
      </c>
      <c r="G5" t="s">
        <v>1625</v>
      </c>
      <c r="J5" t="str">
        <f t="shared" si="0"/>
        <v>"rm":{a:[[0,0],[2/3,0]],b:[0.25,0.75],c:[0,2/3],m:3,desc:{"en-us":"Ralston's method","es-mx":"Método de Ralston"}},</v>
      </c>
    </row>
    <row r="6" spans="1:10" x14ac:dyDescent="0.3">
      <c r="A6" t="s">
        <v>1648</v>
      </c>
      <c r="B6" t="s">
        <v>1664</v>
      </c>
      <c r="C6" t="s">
        <v>1665</v>
      </c>
      <c r="D6" t="s">
        <v>1666</v>
      </c>
      <c r="E6">
        <v>2</v>
      </c>
      <c r="F6" t="s">
        <v>1617</v>
      </c>
      <c r="G6" t="s">
        <v>1626</v>
      </c>
      <c r="J6" t="str">
        <f t="shared" si="0"/>
        <v>"k3":{a:[[0,0,0],[1/2,0,0],[-1,2,0]],b:[1/6,2/3,1/6],c:[0,1/2,1],m:2,desc:{"en-us":"Kutta's third-order method","es-mx":"Método de tercer orden de Kutta"}},</v>
      </c>
    </row>
    <row r="7" spans="1:10" x14ac:dyDescent="0.3">
      <c r="A7" t="s">
        <v>1649</v>
      </c>
      <c r="B7" t="s">
        <v>1667</v>
      </c>
      <c r="C7" t="s">
        <v>1668</v>
      </c>
      <c r="D7" t="s">
        <v>1669</v>
      </c>
      <c r="E7">
        <v>3</v>
      </c>
      <c r="F7" t="s">
        <v>1618</v>
      </c>
      <c r="G7" t="s">
        <v>1627</v>
      </c>
      <c r="J7" t="str">
        <f t="shared" si="0"/>
        <v>"h3":{a:[[0,0,0],[1/3,0,0],[0,2/3,0]],b:[0.25,0,0.75],c:[0,1/3,2/3],m:3,desc:{"en-us":"Heun's third-order method","es-mx":"Método de tercer orden de Heun"}},</v>
      </c>
    </row>
    <row r="8" spans="1:10" x14ac:dyDescent="0.3">
      <c r="A8" t="s">
        <v>1650</v>
      </c>
      <c r="B8" t="s">
        <v>1670</v>
      </c>
      <c r="C8" t="s">
        <v>1671</v>
      </c>
      <c r="D8" t="s">
        <v>1672</v>
      </c>
      <c r="E8">
        <v>4</v>
      </c>
      <c r="F8" t="s">
        <v>1619</v>
      </c>
      <c r="G8" t="s">
        <v>1628</v>
      </c>
      <c r="J8" t="str">
        <f t="shared" si="0"/>
        <v>"r3":{a:[[0,0,0],[1/2,0,0],[0,3/4,0]],b:[2/9,1/3,4/9],c:[0,1/2,3/4],m:4,desc:{"en-us":"Ralston's third-order method","es-mx":"Método de tercer orden de Ralston"}},</v>
      </c>
    </row>
    <row r="9" spans="1:10" x14ac:dyDescent="0.3">
      <c r="A9" t="s">
        <v>1651</v>
      </c>
      <c r="B9" t="s">
        <v>1673</v>
      </c>
      <c r="C9" t="s">
        <v>1674</v>
      </c>
      <c r="D9" t="s">
        <v>1675</v>
      </c>
      <c r="E9">
        <v>2</v>
      </c>
      <c r="F9" t="s">
        <v>1620</v>
      </c>
      <c r="G9" t="s">
        <v>1629</v>
      </c>
      <c r="J9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0" spans="1:10" x14ac:dyDescent="0.3">
      <c r="A10" t="s">
        <v>1652</v>
      </c>
      <c r="B10" t="s">
        <v>1676</v>
      </c>
      <c r="C10" t="s">
        <v>1677</v>
      </c>
      <c r="D10" t="s">
        <v>1678</v>
      </c>
      <c r="E10">
        <v>2</v>
      </c>
      <c r="F10" t="s">
        <v>1621</v>
      </c>
      <c r="G10" t="s">
        <v>1630</v>
      </c>
      <c r="J10" t="str">
        <f t="shared" si="0"/>
        <v>"k4":{a:[[0,0,0,0],[1/2,0,0,0],[0,1/2,0,0],[0,0,1,0]],b:[1/6,1/3,1/3,1/6],c:[0,1/2,1/2,1],m:2,desc:{"en-us":"Classic fourth-order method","es-mx":"Método clásico de cuarto orden"}},</v>
      </c>
    </row>
    <row r="11" spans="1:10" x14ac:dyDescent="0.3">
      <c r="A11" t="s">
        <v>1643</v>
      </c>
      <c r="B11" t="s">
        <v>1679</v>
      </c>
      <c r="C11" t="s">
        <v>1680</v>
      </c>
      <c r="D11" t="s">
        <v>1681</v>
      </c>
      <c r="E11">
        <v>3</v>
      </c>
      <c r="F11" t="s">
        <v>1622</v>
      </c>
      <c r="G11" t="s">
        <v>1631</v>
      </c>
      <c r="J11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2" spans="1:10" x14ac:dyDescent="0.3">
      <c r="J12" t="str">
        <f t="shared" si="0"/>
        <v/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</sheetData>
  <conditionalFormatting sqref="A2:A11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777</v>
      </c>
      <c r="B1" t="s">
        <v>778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814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815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829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809</v>
      </c>
      <c r="C5" t="s">
        <v>822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810</v>
      </c>
      <c r="C6" t="s">
        <v>823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811</v>
      </c>
      <c r="C7" t="s">
        <v>824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812</v>
      </c>
      <c r="C8" t="s">
        <v>825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813</v>
      </c>
      <c r="C9" t="s">
        <v>826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816</v>
      </c>
      <c r="C10" t="s">
        <v>827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817</v>
      </c>
      <c r="C11" t="s">
        <v>828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818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819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820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821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932</v>
      </c>
      <c r="B1" t="s">
        <v>934</v>
      </c>
      <c r="C1" t="s">
        <v>933</v>
      </c>
      <c r="D1" t="s">
        <v>1062</v>
      </c>
      <c r="E1" t="s">
        <v>1064</v>
      </c>
      <c r="F1" t="s">
        <v>1063</v>
      </c>
      <c r="G1" t="s">
        <v>1061</v>
      </c>
      <c r="H1" t="s">
        <v>935</v>
      </c>
      <c r="I1" t="s">
        <v>936</v>
      </c>
      <c r="J1" t="s">
        <v>1066</v>
      </c>
      <c r="K1" t="s">
        <v>1067</v>
      </c>
      <c r="L1" t="s">
        <v>1065</v>
      </c>
      <c r="M1" t="s">
        <v>329</v>
      </c>
      <c r="N1" t="s">
        <v>330</v>
      </c>
      <c r="P1" s="15" t="s">
        <v>939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938</v>
      </c>
      <c r="B2" t="s">
        <v>1089</v>
      </c>
      <c r="C2" t="s">
        <v>1090</v>
      </c>
      <c r="D2" t="s">
        <v>1091</v>
      </c>
      <c r="E2" t="s">
        <v>1092</v>
      </c>
      <c r="F2" t="s">
        <v>1093</v>
      </c>
      <c r="G2" t="s">
        <v>1094</v>
      </c>
      <c r="H2" t="s">
        <v>732</v>
      </c>
      <c r="I2" t="s">
        <v>732</v>
      </c>
      <c r="J2" t="s">
        <v>1084</v>
      </c>
      <c r="K2" t="s">
        <v>1083</v>
      </c>
      <c r="L2" t="s">
        <v>938</v>
      </c>
      <c r="M2" t="s">
        <v>1176</v>
      </c>
      <c r="N2" t="s">
        <v>1174</v>
      </c>
      <c r="P2" s="15" t="s">
        <v>940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1129</v>
      </c>
      <c r="B3" t="s">
        <v>1077</v>
      </c>
      <c r="C3" t="s">
        <v>1078</v>
      </c>
      <c r="D3" t="s">
        <v>1079</v>
      </c>
      <c r="E3" t="s">
        <v>1080</v>
      </c>
      <c r="F3" t="s">
        <v>1081</v>
      </c>
      <c r="G3" t="s">
        <v>1082</v>
      </c>
      <c r="H3" t="s">
        <v>732</v>
      </c>
      <c r="I3" t="s">
        <v>732</v>
      </c>
      <c r="J3" t="s">
        <v>1084</v>
      </c>
      <c r="K3" t="s">
        <v>1083</v>
      </c>
      <c r="L3" t="s">
        <v>938</v>
      </c>
      <c r="M3" t="s">
        <v>1122</v>
      </c>
      <c r="N3" t="s">
        <v>1144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1130</v>
      </c>
      <c r="B4" t="s">
        <v>1101</v>
      </c>
      <c r="C4" t="s">
        <v>1102</v>
      </c>
      <c r="D4" t="s">
        <v>1103</v>
      </c>
      <c r="E4" t="s">
        <v>1104</v>
      </c>
      <c r="F4" t="s">
        <v>1105</v>
      </c>
      <c r="G4" t="s">
        <v>1106</v>
      </c>
      <c r="H4" t="s">
        <v>732</v>
      </c>
      <c r="I4" t="s">
        <v>732</v>
      </c>
      <c r="J4" t="s">
        <v>1084</v>
      </c>
      <c r="K4" t="s">
        <v>1083</v>
      </c>
      <c r="L4" t="s">
        <v>938</v>
      </c>
      <c r="M4" t="s">
        <v>1123</v>
      </c>
      <c r="N4" t="s">
        <v>1145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1131</v>
      </c>
      <c r="B5" t="s">
        <v>1113</v>
      </c>
      <c r="C5" t="s">
        <v>1114</v>
      </c>
      <c r="D5" t="s">
        <v>1115</v>
      </c>
      <c r="E5" t="s">
        <v>1116</v>
      </c>
      <c r="F5" t="s">
        <v>1117</v>
      </c>
      <c r="G5" t="s">
        <v>1118</v>
      </c>
      <c r="H5" t="s">
        <v>1068</v>
      </c>
      <c r="I5" t="s">
        <v>732</v>
      </c>
      <c r="J5" t="s">
        <v>1075</v>
      </c>
      <c r="K5" t="s">
        <v>1076</v>
      </c>
      <c r="L5" t="s">
        <v>938</v>
      </c>
      <c r="M5" t="s">
        <v>1124</v>
      </c>
      <c r="N5" t="s">
        <v>1146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1132</v>
      </c>
      <c r="B6" t="s">
        <v>1119</v>
      </c>
      <c r="C6" t="s">
        <v>1120</v>
      </c>
      <c r="D6" t="s">
        <v>1121</v>
      </c>
      <c r="E6" t="s">
        <v>1080</v>
      </c>
      <c r="F6" t="s">
        <v>1081</v>
      </c>
      <c r="G6" t="s">
        <v>1082</v>
      </c>
      <c r="H6" t="s">
        <v>732</v>
      </c>
      <c r="I6" t="s">
        <v>732</v>
      </c>
      <c r="J6" t="s">
        <v>1084</v>
      </c>
      <c r="K6" t="s">
        <v>1083</v>
      </c>
      <c r="L6" t="s">
        <v>938</v>
      </c>
      <c r="M6" t="s">
        <v>1128</v>
      </c>
      <c r="N6" t="s">
        <v>1147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941</v>
      </c>
      <c r="B7" t="s">
        <v>1069</v>
      </c>
      <c r="C7" t="s">
        <v>1070</v>
      </c>
      <c r="D7" t="s">
        <v>1071</v>
      </c>
      <c r="E7" t="s">
        <v>1072</v>
      </c>
      <c r="F7" t="s">
        <v>1073</v>
      </c>
      <c r="G7" t="s">
        <v>1074</v>
      </c>
      <c r="H7" t="s">
        <v>1068</v>
      </c>
      <c r="I7" t="s">
        <v>1068</v>
      </c>
      <c r="J7" t="s">
        <v>1075</v>
      </c>
      <c r="K7" t="s">
        <v>1076</v>
      </c>
      <c r="L7" t="s">
        <v>941</v>
      </c>
      <c r="M7" t="s">
        <v>1177</v>
      </c>
      <c r="N7" t="s">
        <v>1175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1133</v>
      </c>
      <c r="B8" t="s">
        <v>1085</v>
      </c>
      <c r="C8" t="s">
        <v>732</v>
      </c>
      <c r="D8" t="s">
        <v>1086</v>
      </c>
      <c r="E8" t="s">
        <v>1087</v>
      </c>
      <c r="F8" t="s">
        <v>732</v>
      </c>
      <c r="G8" t="s">
        <v>1088</v>
      </c>
      <c r="H8" t="s">
        <v>1068</v>
      </c>
      <c r="I8" t="s">
        <v>1068</v>
      </c>
      <c r="J8" t="s">
        <v>1075</v>
      </c>
      <c r="K8" t="s">
        <v>1076</v>
      </c>
      <c r="L8" t="s">
        <v>941</v>
      </c>
      <c r="M8" t="s">
        <v>1125</v>
      </c>
      <c r="N8" t="s">
        <v>1148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1134</v>
      </c>
      <c r="B9" t="s">
        <v>1095</v>
      </c>
      <c r="C9" t="s">
        <v>1096</v>
      </c>
      <c r="D9" t="s">
        <v>1097</v>
      </c>
      <c r="E9" t="s">
        <v>1098</v>
      </c>
      <c r="F9" t="s">
        <v>1099</v>
      </c>
      <c r="G9" t="s">
        <v>1100</v>
      </c>
      <c r="H9" t="s">
        <v>1068</v>
      </c>
      <c r="I9" t="s">
        <v>1068</v>
      </c>
      <c r="J9" t="s">
        <v>1075</v>
      </c>
      <c r="K9" t="s">
        <v>1076</v>
      </c>
      <c r="L9" t="s">
        <v>941</v>
      </c>
      <c r="M9" t="s">
        <v>1126</v>
      </c>
      <c r="N9" t="s">
        <v>1149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1135</v>
      </c>
      <c r="B10" t="s">
        <v>1107</v>
      </c>
      <c r="C10" t="s">
        <v>1108</v>
      </c>
      <c r="D10" t="s">
        <v>1109</v>
      </c>
      <c r="E10" t="s">
        <v>1110</v>
      </c>
      <c r="F10" t="s">
        <v>1111</v>
      </c>
      <c r="G10" t="s">
        <v>1112</v>
      </c>
      <c r="H10" t="s">
        <v>1068</v>
      </c>
      <c r="I10" t="s">
        <v>1068</v>
      </c>
      <c r="J10" t="s">
        <v>1075</v>
      </c>
      <c r="K10" t="s">
        <v>1076</v>
      </c>
      <c r="L10" t="s">
        <v>941</v>
      </c>
      <c r="M10" t="s">
        <v>1127</v>
      </c>
      <c r="N10" t="s">
        <v>1150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1136</v>
      </c>
      <c r="B11" t="s">
        <v>1137</v>
      </c>
      <c r="C11" t="s">
        <v>1138</v>
      </c>
      <c r="D11" t="s">
        <v>1139</v>
      </c>
      <c r="E11" t="s">
        <v>1140</v>
      </c>
      <c r="F11" t="s">
        <v>1141</v>
      </c>
      <c r="G11" t="s">
        <v>1142</v>
      </c>
      <c r="H11" t="s">
        <v>1068</v>
      </c>
      <c r="I11" t="s">
        <v>1068</v>
      </c>
      <c r="J11" t="s">
        <v>1075</v>
      </c>
      <c r="K11" t="s">
        <v>1076</v>
      </c>
      <c r="L11" t="s">
        <v>941</v>
      </c>
      <c r="M11" t="s">
        <v>1143</v>
      </c>
      <c r="N11" t="s">
        <v>1151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937</v>
      </c>
      <c r="C12" t="s">
        <v>937</v>
      </c>
      <c r="F12" t="s">
        <v>937</v>
      </c>
      <c r="H12" t="s">
        <v>937</v>
      </c>
      <c r="I12" t="s">
        <v>937</v>
      </c>
      <c r="K12" t="s">
        <v>937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937</v>
      </c>
      <c r="C13" t="s">
        <v>937</v>
      </c>
      <c r="F13" t="s">
        <v>937</v>
      </c>
      <c r="H13" t="s">
        <v>937</v>
      </c>
      <c r="I13" t="s">
        <v>937</v>
      </c>
      <c r="K13" t="s">
        <v>937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2020-05-21T03:37:01Z</dcterms:modified>
</cp:coreProperties>
</file>