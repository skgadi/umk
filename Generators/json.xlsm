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BA7C3096-7D91-4B40-B52D-2CF74200DF1B}" xr6:coauthVersionLast="47" xr6:coauthVersionMax="47" xr10:uidLastSave="{00000000-0000-0000-0000-000000000000}"/>
  <bookViews>
    <workbookView xWindow="-120" yWindow="-120" windowWidth="20730" windowHeight="11040" firstSheet="10" activeTab="15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-prev" sheetId="18" r:id="rId15"/>
    <sheet name="int" sheetId="20" r:id="rId16"/>
    <sheet name="constsNvars" sheetId="16" r:id="rId17"/>
    <sheet name="themes" sheetId="17" r:id="rId18"/>
    <sheet name="settings" sheetId="19" r:id="rId19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6" i="20" l="1"/>
  <c r="H15" i="20"/>
  <c r="H14" i="20"/>
  <c r="H13" i="20"/>
  <c r="H12" i="20"/>
  <c r="H11" i="20"/>
  <c r="H10" i="20"/>
  <c r="H9" i="20"/>
  <c r="H8" i="20"/>
  <c r="H7" i="20"/>
  <c r="H6" i="20"/>
  <c r="H3" i="20"/>
  <c r="H4" i="20"/>
  <c r="H5" i="20"/>
  <c r="H2" i="20"/>
  <c r="K136" i="10"/>
  <c r="L136" i="10"/>
  <c r="K137" i="10"/>
  <c r="L137" i="10"/>
  <c r="G1" i="20" l="1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<sst xmlns="http://schemas.openxmlformats.org/spreadsheetml/2006/main" count="3270" uniqueCount="2242">
  <si>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</si>
  <si>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</si>
  <si>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</si>
  <si>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</si>
  <si>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</si>
  <si>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</si>
  <si>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</si>
  <si>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</si>
  <si>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</si>
  <si>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</si>
  <si>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</si>
  <si>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</si>
  <si>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</si>
  <si>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</si>
  <si>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</si>
  <si>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</si>
  <si>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</si>
  <si>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</si>
  <si>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</si>
  <si>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</si>
  <si>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</si>
  <si>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</si>
  <si>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</si>
  <si>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</si>
  <si>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</si>
  <si>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</si>
  <si>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</si>
  <si>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</si>
  <si>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</si>
  <si>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</si>
  <si>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</si>
  <si>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</si>
  <si>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</si>
  <si>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</si>
  <si>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</si>
  <si>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</si>
  <si>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</si>
  <si>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</si>
  <si>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</si>
  <si>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</si>
  <si>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</si>
  <si>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</si>
  <si>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</si>
  <si>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</si>
  <si>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</si>
  <si>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</si>
  <si>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</si>
  <si>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</si>
  <si>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</si>
  <si>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</si>
  <si>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</si>
  <si>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</si>
  <si>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</si>
  <si>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</si>
  <si>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</si>
  <si>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</si>
  <si>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</si>
  <si>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</si>
  <si>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</si>
  <si>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</si>
  <si>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</si>
  <si>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</si>
  <si>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</si>
  <si>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</si>
  <si>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</si>
  <si>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</si>
  <si>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</si>
  <si>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</si>
  <si>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</si>
  <si>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</si>
  <si>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</si>
  <si>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</si>
  <si>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</si>
  <si>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</si>
  <si>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</si>
  <si>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</si>
  <si>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</si>
  <si>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</si>
  <si>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</si>
  <si>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</si>
  <si>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</si>
  <si>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</si>
  <si>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</si>
  <si>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</si>
  <si>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</si>
  <si>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</si>
  <si>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</si>
  <si>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</si>
  <si>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</si>
  <si>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</si>
  <si>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</si>
  <si>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</si>
  <si>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</si>
  <si>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</si>
  <si>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</si>
  <si>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</si>
  <si>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</si>
  <si>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</si>
  <si>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</si>
  <si>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</si>
  <si>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</si>
  <si>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</si>
  <si>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</si>
  <si>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</si>
  <si>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</si>
  <si>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</si>
  <si>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</si>
  <si>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</si>
  <si>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</si>
  <si>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</si>
  <si>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</si>
  <si>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</si>
  <si>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</si>
  <si>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</si>
  <si>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</si>
  <si>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</si>
  <si>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</si>
  <si>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</si>
  <si>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</si>
  <si>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</si>
  <si>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</si>
  <si>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</si>
  <si>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</si>
  <si>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</si>
  <si>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</si>
  <si>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</si>
  <si>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</si>
  <si>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</si>
  <si>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</si>
  <si>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</si>
  <si>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</si>
  <si>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</si>
  <si>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</si>
  <si>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</si>
  <si>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</si>
  <si>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</si>
  <si>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</si>
  <si>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</si>
  <si>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</si>
  <si>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</si>
  <si>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</si>
  <si>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</si>
  <si>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</si>
  <si>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</si>
  <si>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</si>
  <si>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</si>
  <si>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</si>
  <si>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</si>
  <si>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</si>
  <si>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</si>
  <si>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</si>
  <si>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</si>
  <si>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</si>
  <si>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</si>
  <si>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</si>
  <si>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</si>
  <si>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</si>
  <si>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</si>
  <si>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</si>
  <si>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</si>
  <si>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</si>
  <si>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</si>
  <si>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</si>
  <si>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</si>
  <si>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</si>
  <si>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</si>
  <si>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</si>
  <si>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</si>
  <si>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</si>
  <si>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</si>
  <si>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</si>
  <si>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</si>
  <si>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</si>
  <si>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</si>
  <si>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</si>
  <si>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</si>
  <si>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</si>
  <si>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</si>
  <si>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</si>
  <si>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</si>
  <si>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</si>
  <si>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</si>
  <si>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</si>
  <si>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</si>
  <si>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</si>
  <si>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</si>
  <si>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</si>
  <si>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</si>
  <si>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</si>
  <si>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</si>
  <si>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</si>
  <si>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</si>
  <si>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</si>
  <si>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</si>
  <si>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</si>
  <si>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</si>
  <si>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</si>
  <si>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</si>
  <si>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</si>
  <si>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</si>
  <si>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</si>
  <si>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</si>
  <si>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</si>
  <si>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</si>
  <si>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</si>
  <si>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</si>
  <si>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</si>
  <si>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</si>
  <si>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</si>
  <si>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</si>
  <si>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</si>
  <si>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</si>
  <si>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</si>
  <si>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</si>
  <si>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</si>
  <si>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</si>
  <si>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</si>
  <si>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</si>
  <si>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</si>
  <si>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</si>
  <si>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</si>
  <si>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</si>
  <si>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</si>
  <si>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</si>
  <si>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</si>
  <si>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</si>
  <si>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</si>
  <si>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</si>
  <si>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</si>
  <si>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</si>
  <si>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</si>
  <si>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</si>
  <si>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</si>
  <si>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</si>
  <si>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</si>
  <si>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</si>
  <si>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</si>
  <si>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</si>
  <si>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</si>
  <si>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</si>
  <si>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</si>
  <si>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</si>
  <si>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</si>
  <si>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</si>
  <si>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</si>
  <si>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</si>
  <si>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</si>
  <si>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</si>
  <si>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</si>
  <si>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</si>
  <si>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</si>
  <si>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</si>
  <si>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</si>
  <si>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</si>
  <si>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</si>
  <si>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</si>
  <si>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</si>
  <si>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</si>
  <si>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</si>
  <si>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</si>
  <si>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</si>
  <si>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</si>
  <si>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</si>
  <si>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</si>
  <si>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</si>
  <si>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</si>
  <si>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</si>
  <si>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</si>
  <si>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</si>
  <si>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</si>
  <si>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</si>
  <si>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</si>
  <si>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</si>
  <si>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</si>
  <si>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</si>
  <si>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</si>
  <si>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</si>
  <si>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</si>
  <si>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</si>
  <si>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</si>
  <si>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</si>
  <si>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</si>
  <si>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</si>
  <si>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</si>
  <si>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</si>
  <si>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</si>
  <si>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</si>
  <si>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</si>
  <si>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</si>
  <si>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</si>
  <si>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</si>
  <si>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</si>
  <si>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</si>
  <si>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</si>
  <si>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</si>
  <si>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</si>
  <si>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</si>
  <si>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</si>
  <si>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</si>
  <si>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</si>
  <si>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</si>
  <si>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</si>
  <si>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</si>
  <si>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</si>
  <si>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</si>
  <si>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</si>
  <si>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</si>
  <si>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</si>
  <si>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</si>
  <si>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</si>
  <si>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</si>
  <si>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</si>
  <si>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</si>
  <si>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</si>
  <si>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</si>
  <si>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</si>
  <si>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</si>
  <si>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</si>
  <si>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</si>
  <si>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</si>
  <si>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</si>
  <si>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</si>
  <si>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</si>
  <si>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</si>
  <si>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</si>
  <si>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</si>
  <si>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</si>
  <si>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</si>
  <si>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</si>
  <si>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</si>
  <si>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</si>
  <si>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</si>
  <si>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</si>
  <si>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</si>
  <si>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</si>
  <si>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</si>
  <si>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</si>
  <si>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</si>
  <si>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</si>
  <si>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</si>
  <si>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</si>
  <si>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</si>
  <si>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</si>
  <si>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</si>
  <si>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</si>
  <si>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</si>
  <si>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</si>
  <si>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</si>
  <si>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</si>
  <si>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</si>
  <si>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</si>
  <si>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</si>
  <si>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</si>
  <si>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</si>
  <si>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</si>
  <si>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</si>
  <si>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</si>
  <si>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</si>
  <si>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</si>
  <si>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</si>
  <si>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</si>
  <si>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</si>
  <si>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</si>
  <si>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</si>
  <si>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</si>
  <si>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</si>
  <si>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</si>
  <si>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</si>
  <si>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</si>
  <si>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</si>
  <si>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</si>
  <si>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</si>
  <si>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</si>
  <si>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</si>
  <si>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</si>
  <si>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</si>
  <si>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</si>
  <si>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</si>
  <si>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</si>
  <si>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</si>
  <si>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</si>
  <si>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</si>
  <si>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</si>
  <si>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</si>
  <si>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</si>
  <si>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</si>
  <si>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</si>
  <si>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</si>
  <si>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</si>
  <si>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</si>
  <si>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</si>
  <si>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</si>
  <si>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</si>
  <si>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</si>
  <si>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</si>
  <si>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</si>
  <si>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</si>
  <si>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</si>
  <si>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</si>
  <si>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</si>
  <si>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</si>
  <si>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</si>
  <si>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</si>
  <si>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</si>
  <si>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</si>
  <si>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</si>
  <si>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</si>
  <si>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</si>
  <si>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</si>
  <si>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</si>
  <si>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</si>
  <si>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</si>
  <si>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</si>
  <si>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</si>
  <si>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</si>
  <si>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</si>
  <si>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</si>
  <si>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</si>
  <si>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</si>
  <si>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</si>
  <si>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</si>
  <si>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</si>
  <si>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</si>
  <si>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</si>
  <si>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</si>
  <si>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</si>
  <si>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</si>
  <si>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</si>
  <si>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</si>
  <si>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</si>
  <si>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</si>
  <si>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</si>
  <si>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</si>
  <si>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</si>
  <si>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</si>
  <si>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</si>
  <si>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</si>
  <si>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</si>
  <si>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</si>
  <si>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</si>
  <si>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</si>
  <si>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</si>
  <si>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</si>
  <si>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</si>
  <si>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</si>
  <si>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</si>
  <si>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</si>
  <si>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</si>
  <si>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</si>
  <si>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</si>
  <si>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</si>
  <si>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</si>
  <si>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</si>
  <si>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</si>
  <si>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</si>
  <si>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</si>
  <si>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</si>
  <si>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</si>
  <si>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</si>
  <si>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</si>
  <si>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</si>
  <si>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</si>
  <si>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</si>
  <si>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</si>
  <si>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</si>
  <si>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</si>
  <si>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</si>
  <si>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</si>
  <si>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</si>
  <si>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</si>
  <si>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</si>
  <si>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</si>
  <si>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</si>
  <si>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</si>
  <si>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</si>
  <si>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</si>
  <si>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</si>
  <si>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</si>
  <si>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</si>
  <si>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</si>
  <si>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</si>
  <si>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</si>
  <si>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</si>
  <si>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</si>
  <si>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</si>
  <si>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</si>
  <si>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</si>
  <si>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</si>
  <si>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</si>
  <si>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</si>
  <si>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</si>
  <si>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</si>
  <si>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</si>
  <si>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</si>
  <si>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</si>
  <si>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</si>
  <si>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</si>
  <si>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</si>
  <si>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</si>
  <si>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</si>
  <si>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</si>
  <si>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</si>
  <si>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</si>
  <si>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</si>
  <si>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</si>
  <si>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</si>
  <si>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</si>
  <si>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</si>
  <si>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</si>
  <si>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</si>
  <si>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</si>
  <si>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</si>
  <si>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</si>
  <si>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</si>
  <si>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</si>
  <si>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</si>
  <si>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</si>
  <si>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</si>
  <si>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</si>
  <si>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</si>
  <si>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</si>
  <si>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</si>
  <si>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</si>
  <si>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</si>
  <si>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</si>
  <si>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</si>
  <si>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</si>
  <si>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</si>
  <si>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</si>
  <si>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</si>
  <si>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</si>
  <si>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</si>
  <si>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</si>
  <si>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</si>
  <si>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</si>
  <si>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</si>
  <si>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</si>
  <si>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</si>
  <si>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</si>
  <si>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</si>
  <si>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</si>
  <si>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</si>
  <si>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</si>
  <si>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</si>
  <si>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</si>
  <si>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</si>
  <si>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</si>
  <si>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</si>
  <si>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</si>
  <si>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</si>
  <si>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</si>
  <si>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</si>
  <si>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</si>
  <si>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</si>
  <si>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</si>
  <si>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</si>
  <si>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</si>
  <si>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</si>
  <si>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</si>
  <si>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</si>
  <si>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</si>
  <si>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</si>
  <si>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</si>
  <si>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</si>
  <si>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</si>
  <si>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</si>
  <si>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</si>
  <si>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</si>
  <si>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</si>
  <si>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</si>
  <si>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</si>
  <si>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</si>
  <si>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</si>
  <si>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</si>
  <si>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</si>
  <si>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</si>
  <si>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</si>
  <si>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</si>
  <si>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</si>
  <si>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</si>
  <si>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</si>
  <si>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</si>
  <si>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</si>
  <si>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</si>
  <si>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</si>
  <si>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</si>
  <si>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</si>
  <si>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</si>
  <si>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</si>
  <si>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</si>
  <si>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</si>
  <si>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</si>
  <si>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</si>
  <si>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</si>
  <si>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</si>
  <si>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</si>
  <si>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</si>
  <si>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</si>
  <si>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</si>
  <si>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</si>
  <si>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</si>
  <si>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</si>
  <si>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</si>
  <si>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</si>
  <si>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</si>
  <si>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</si>
  <si>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</si>
  <si>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</si>
  <si>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</si>
  <si>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</si>
  <si>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</si>
  <si>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</si>
  <si>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</si>
  <si>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</si>
  <si>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</si>
  <si>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</si>
  <si>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</si>
  <si>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</si>
  <si>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</si>
  <si>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</si>
  <si>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</si>
  <si>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</si>
  <si>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</si>
  <si>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</si>
  <si>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</si>
  <si>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</si>
  <si>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</si>
  <si>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</si>
  <si>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</si>
  <si>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</si>
  <si>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</si>
  <si>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</si>
  <si>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</si>
  <si>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</si>
  <si>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</si>
  <si>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</si>
  <si>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</si>
  <si>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</si>
  <si>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</si>
  <si>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</si>
  <si>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</si>
  <si>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</si>
  <si>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</si>
  <si>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</si>
  <si>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</si>
  <si>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</si>
  <si>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</si>
  <si>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</si>
  <si>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</si>
  <si>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</si>
  <si>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</si>
  <si>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</si>
  <si>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</si>
  <si>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</si>
  <si>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</si>
  <si>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</si>
  <si>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</si>
  <si>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</si>
  <si>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</si>
  <si>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</si>
  <si>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</si>
  <si>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</si>
  <si>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</si>
  <si>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</si>
  <si>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</si>
  <si>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</si>
  <si>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</si>
  <si>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</si>
  <si>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</si>
  <si>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</si>
  <si>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</si>
  <si>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</si>
  <si>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</si>
  <si>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</si>
  <si>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</si>
  <si>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</si>
  <si>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</si>
  <si>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</si>
  <si>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</si>
  <si>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</si>
  <si>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</si>
  <si>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</si>
  <si>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</si>
  <si>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</si>
  <si>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</si>
  <si>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</si>
  <si>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</si>
  <si>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</si>
  <si>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</si>
  <si>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</si>
  <si>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</si>
  <si>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</si>
  <si>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</si>
  <si>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</si>
  <si>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</si>
  <si>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</si>
  <si>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</si>
  <si>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</si>
  <si>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</si>
  <si>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</si>
  <si>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</si>
  <si>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</si>
  <si>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</si>
  <si>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</si>
  <si>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</si>
  <si>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</si>
  <si>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</si>
  <si>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</si>
  <si>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</si>
  <si>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</si>
  <si>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</si>
  <si>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</si>
  <si>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</si>
  <si>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</si>
  <si>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</si>
  <si>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</si>
  <si>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</si>
  <si>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</si>
  <si>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</si>
  <si>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</si>
  <si>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</si>
  <si>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</si>
  <si>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</si>
  <si>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</si>
  <si>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</si>
  <si>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</si>
  <si>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</si>
  <si>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</si>
  <si>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</si>
  <si>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</si>
  <si>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</si>
  <si>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</si>
  <si>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</si>
  <si>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</si>
  <si>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</si>
  <si>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</si>
  <si>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</si>
  <si>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</si>
  <si>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</si>
  <si>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</si>
  <si>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</si>
  <si>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</si>
  <si>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</si>
  <si>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</si>
  <si>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</si>
  <si>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</si>
  <si>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</si>
  <si>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</si>
  <si>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</si>
  <si>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</si>
  <si>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</si>
  <si>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</si>
  <si>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</si>
  <si>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</si>
  <si>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</si>
  <si>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</si>
  <si>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</si>
  <si>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</si>
  <si>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</si>
  <si>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</si>
  <si>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</si>
  <si>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</si>
  <si>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</si>
  <si>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</si>
  <si>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</si>
  <si>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</si>
  <si>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</si>
  <si>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</si>
  <si>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</si>
  <si>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</si>
  <si>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</si>
  <si>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</si>
  <si>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</si>
  <si>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</si>
  <si>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</si>
  <si>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</si>
  <si>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</si>
  <si>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</si>
  <si>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</si>
  <si>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</si>
  <si>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</si>
  <si>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</si>
  <si>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</si>
  <si>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</si>
  <si>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</si>
  <si>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</si>
  <si>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</si>
  <si>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</si>
  <si>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</si>
  <si>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</si>
  <si>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</si>
  <si>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</si>
  <si>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</si>
  <si>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</si>
  <si>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</si>
  <si>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</si>
  <si>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</si>
  <si>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</si>
  <si>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</si>
  <si>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</si>
  <si>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</si>
  <si>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</si>
  <si>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</si>
  <si>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</si>
  <si>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</si>
  <si>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</si>
  <si>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</si>
  <si>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</si>
  <si>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</si>
  <si>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</si>
  <si>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</si>
  <si>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</si>
  <si>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</si>
  <si>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</si>
  <si>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</si>
  <si>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</si>
  <si>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</si>
  <si>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</si>
  <si>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</si>
  <si>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</si>
  <si>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</si>
  <si>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</si>
  <si>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</si>
  <si>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</si>
  <si>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</si>
  <si>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</si>
  <si>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</si>
  <si>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</si>
  <si>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</si>
  <si>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</si>
  <si>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</si>
  <si>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</si>
  <si>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</si>
  <si>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</si>
  <si>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</si>
  <si>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</si>
  <si>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</si>
  <si>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</si>
  <si>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</si>
  <si>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</si>
  <si>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</si>
  <si>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</si>
  <si>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</si>
  <si>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</si>
  <si>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</si>
  <si>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</si>
  <si>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</si>
  <si>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</si>
  <si>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</si>
  <si>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</si>
  <si>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</si>
  <si>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</si>
  <si>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</si>
  <si>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</si>
  <si>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</si>
  <si>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</si>
  <si>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</si>
  <si>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</si>
  <si>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</si>
  <si>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</si>
  <si>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</si>
  <si>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</si>
  <si>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</si>
  <si>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</si>
  <si>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</si>
  <si>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</si>
  <si>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</si>
  <si>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</si>
  <si>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</si>
  <si>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</si>
  <si>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</si>
  <si>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</si>
  <si>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</si>
  <si>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</si>
  <si>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</si>
  <si>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</si>
  <si>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</si>
  <si>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</si>
  <si>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</si>
  <si>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</si>
  <si>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</si>
  <si>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</si>
  <si>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</si>
  <si>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</si>
  <si>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</si>
  <si>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</si>
  <si>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</si>
  <si>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</si>
  <si>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</si>
  <si>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</si>
  <si>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</si>
  <si>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</si>
  <si>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</si>
  <si>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</si>
  <si>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</si>
  <si>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</si>
  <si>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</si>
  <si>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</si>
  <si>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</si>
  <si>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</si>
  <si>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</si>
  <si>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</si>
  <si>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</si>
  <si>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</si>
  <si>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</si>
  <si>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</si>
  <si>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</si>
  <si>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</si>
  <si>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</si>
  <si>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</si>
  <si>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</si>
  <si>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</si>
  <si>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</si>
  <si>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</si>
  <si>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</si>
  <si>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</si>
  <si>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</si>
  <si>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</si>
  <si>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</si>
  <si>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</si>
  <si>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</si>
  <si>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</si>
  <si>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</si>
  <si>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</si>
  <si>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</si>
  <si>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</si>
  <si>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</si>
  <si>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</si>
  <si>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</si>
  <si>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</si>
  <si>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</si>
  <si>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</si>
  <si>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</si>
  <si>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</si>
  <si>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</si>
  <si>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</si>
  <si>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</si>
  <si>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</si>
  <si>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</si>
  <si>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</si>
  <si>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</si>
  <si>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</si>
  <si>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</si>
  <si>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</si>
  <si>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</si>
  <si>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</si>
  <si>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</si>
  <si>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</si>
  <si>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</si>
  <si>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</si>
  <si>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</si>
  <si>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</si>
  <si>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</si>
  <si>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</si>
  <si>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</si>
  <si>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</si>
  <si>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</si>
  <si>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</si>
  <si>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</si>
  <si>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</si>
  <si>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</si>
  <si>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</si>
  <si>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</si>
  <si>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</si>
  <si>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</si>
  <si>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</si>
  <si>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</si>
  <si>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</si>
  <si>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</si>
  <si>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</si>
  <si>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</si>
  <si>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</si>
  <si>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</si>
  <si>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</si>
  <si>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</si>
  <si>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</si>
  <si>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</si>
  <si>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</si>
  <si>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</si>
  <si>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</si>
  <si>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</si>
  <si>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</si>
  <si>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</si>
  <si>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</si>
  <si>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</si>
  <si>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</si>
  <si>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</si>
  <si>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</si>
  <si>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</si>
  <si>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</si>
  <si>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</si>
  <si>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</si>
  <si>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</si>
  <si>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</si>
  <si>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</si>
  <si>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</si>
  <si>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</si>
  <si>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</si>
  <si>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</si>
  <si>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</si>
  <si>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</si>
  <si>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</si>
  <si>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</si>
  <si>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</si>
  <si>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</si>
  <si>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</si>
  <si>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</si>
  <si>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</si>
  <si>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</si>
  <si>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</si>
  <si>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</si>
  <si>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</si>
  <si>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</si>
  <si>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</si>
  <si>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</si>
  <si>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</si>
  <si>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</si>
  <si>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</si>
  <si>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</si>
  <si>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</si>
  <si>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</si>
  <si>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</si>
  <si>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</si>
  <si>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</si>
  <si>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</si>
  <si>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</si>
  <si>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</si>
  <si>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</si>
  <si>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</si>
  <si>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</si>
  <si>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</si>
  <si>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</si>
  <si>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</si>
  <si>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</si>
  <si>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</si>
  <si>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</si>
  <si>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</si>
  <si>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</si>
  <si>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</si>
  <si>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</si>
  <si>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</si>
  <si>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</si>
  <si>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</si>
  <si>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</si>
  <si>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</si>
  <si>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</si>
  <si>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</si>
  <si>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</si>
  <si>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</si>
  <si>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</si>
  <si>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</si>
  <si>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</si>
  <si>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</si>
  <si>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</si>
  <si>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</si>
  <si>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</si>
  <si>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</si>
  <si>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</si>
  <si>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</si>
  <si>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</si>
  <si>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</si>
  <si>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</si>
  <si>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</si>
  <si>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</si>
  <si>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</si>
  <si>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</si>
  <si>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</si>
  <si>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</si>
  <si>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</si>
  <si>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</si>
  <si>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</si>
  <si>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</si>
  <si>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</si>
  <si>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</si>
  <si>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</si>
  <si>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</si>
  <si>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</si>
  <si>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</si>
  <si>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</si>
  <si>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</si>
  <si>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</si>
  <si>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</si>
  <si>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</si>
  <si>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</si>
  <si>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</si>
  <si>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</si>
  <si>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</si>
  <si>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</si>
  <si>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</si>
  <si>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</si>
  <si>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</si>
  <si>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</si>
  <si>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</si>
  <si>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</si>
  <si>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</si>
  <si>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</si>
  <si>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</si>
  <si>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</si>
  <si>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</si>
  <si>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</si>
  <si>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</si>
  <si>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</si>
  <si>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</si>
  <si>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</si>
  <si>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</si>
  <si>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</si>
  <si>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</si>
  <si>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</si>
  <si>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</si>
  <si>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</si>
  <si>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</si>
  <si>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</si>
  <si>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</si>
  <si>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</si>
  <si>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</si>
  <si>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</si>
  <si>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</si>
  <si>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</si>
  <si>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</si>
  <si>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</si>
  <si>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</si>
  <si>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</si>
  <si>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</si>
  <si>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</si>
  <si>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</si>
  <si>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</si>
  <si>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</si>
  <si>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</si>
  <si>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</si>
  <si>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</si>
  <si>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</si>
  <si>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</si>
  <si>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</si>
  <si>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</si>
  <si>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</si>
  <si>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</si>
  <si>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</si>
  <si>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</si>
  <si>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</si>
  <si>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</si>
  <si>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</si>
  <si>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</si>
  <si>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</si>
  <si>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</si>
  <si>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</si>
  <si>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</si>
  <si>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</si>
  <si>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</si>
  <si>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</si>
  <si>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</si>
  <si>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</si>
  <si>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</si>
  <si>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</si>
  <si>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</si>
  <si>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</si>
  <si>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</si>
  <si>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</si>
  <si>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</si>
  <si>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</si>
  <si>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</si>
  <si>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</si>
  <si>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</si>
  <si>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</si>
  <si>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</si>
  <si>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</si>
  <si>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</si>
  <si>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</si>
  <si>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</si>
  <si>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</si>
  <si>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</si>
  <si>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</si>
  <si>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</si>
  <si>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</si>
  <si>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</si>
  <si>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</si>
  <si>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</si>
  <si>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</si>
  <si>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</si>
  <si>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</si>
  <si>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</si>
  <si>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</si>
  <si>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</si>
  <si>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</si>
  <si>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</si>
  <si>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</si>
  <si>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</si>
  <si>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</si>
  <si>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</si>
  <si>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</si>
  <si>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</si>
  <si>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</si>
  <si>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</si>
  <si>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</si>
  <si>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</si>
  <si>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</si>
  <si>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</si>
  <si>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</si>
  <si>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</si>
  <si>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</si>
  <si>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</si>
  <si>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</si>
  <si>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</si>
  <si>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</si>
  <si>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</si>
  <si>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</si>
  <si>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</si>
  <si>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</si>
  <si>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</si>
  <si>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</si>
  <si>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</si>
  <si>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</si>
  <si>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</si>
  <si>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</si>
  <si>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</si>
  <si>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</si>
  <si>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</si>
  <si>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</si>
  <si>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</si>
  <si>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</si>
  <si>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</si>
  <si>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</si>
  <si>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</si>
  <si>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</si>
  <si>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</si>
  <si>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</si>
  <si>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</si>
  <si>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</si>
  <si>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</si>
  <si>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</si>
  <si>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</si>
  <si>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</si>
  <si>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</si>
  <si>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</si>
  <si>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</si>
  <si>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</si>
  <si>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</si>
  <si>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</si>
  <si>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</si>
  <si>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</si>
  <si>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</si>
  <si>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</si>
  <si>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</si>
  <si>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</si>
  <si>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</si>
  <si>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</si>
  <si>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</si>
  <si>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</si>
  <si>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</si>
  <si>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</si>
  <si>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</si>
  <si>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</si>
  <si>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</si>
  <si>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</si>
  <si>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</si>
  <si>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</si>
  <si>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</si>
  <si>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</si>
  <si>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</si>
  <si>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</si>
  <si>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</si>
  <si>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</si>
  <si>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</si>
  <si>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</si>
  <si>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</si>
  <si>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</si>
  <si>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</si>
  <si>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</si>
  <si>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</si>
  <si>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</si>
  <si>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</si>
  <si>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</si>
  <si>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</si>
  <si>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</si>
  <si>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</si>
  <si>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</si>
  <si>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</si>
  <si>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</si>
  <si>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</si>
  <si>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</si>
  <si>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</si>
  <si>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</si>
  <si>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</si>
  <si>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</si>
  <si>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</si>
  <si>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</si>
  <si>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</si>
  <si>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</si>
  <si>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</si>
  <si>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</si>
  <si>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</si>
  <si>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</si>
  <si>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</si>
  <si>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</si>
  <si>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</si>
  <si>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</si>
  <si>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</si>
  <si>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</si>
  <si>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</si>
  <si>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</si>
  <si>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</si>
  <si>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</si>
  <si>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</si>
  <si>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</si>
  <si>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</si>
  <si>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</si>
  <si>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</si>
  <si>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</si>
  <si>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</si>
  <si>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</si>
  <si>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</si>
  <si>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</si>
  <si>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</si>
  <si>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</si>
  <si>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</si>
  <si>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</si>
  <si>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</si>
  <si>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</si>
  <si>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</si>
  <si>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</si>
  <si>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</si>
  <si>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</si>
  <si>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</si>
  <si>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</si>
  <si>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</si>
  <si>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</si>
  <si>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</si>
  <si>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</si>
  <si>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</si>
  <si>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</si>
  <si>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</si>
  <si>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</si>
  <si>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</si>
  <si>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</si>
  <si>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</si>
  <si>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</si>
  <si>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</si>
  <si>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</si>
  <si>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</si>
  <si>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</si>
  <si>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</si>
  <si>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</si>
  <si>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</si>
  <si>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</si>
  <si>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</si>
  <si>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</si>
  <si>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</si>
  <si>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</si>
  <si>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</si>
  <si>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</si>
  <si>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</si>
  <si>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</si>
  <si>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</si>
  <si>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</si>
  <si>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</si>
  <si>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</si>
  <si>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</si>
  <si>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</si>
  <si>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</si>
  <si>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</si>
  <si>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</si>
  <si>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</si>
  <si>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</si>
  <si>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</si>
  <si>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</si>
  <si>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</si>
  <si>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</si>
  <si>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</si>
  <si>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</si>
  <si>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</si>
  <si>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</si>
  <si>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</si>
  <si>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</si>
  <si>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</si>
  <si>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</si>
  <si>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</si>
  <si>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</si>
  <si>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</si>
  <si>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</si>
  <si>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</si>
  <si>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</si>
  <si>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</si>
  <si>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</si>
  <si>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</si>
  <si>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</si>
  <si>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</si>
  <si>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</si>
  <si>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</si>
  <si>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</si>
  <si>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</si>
  <si>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</si>
  <si>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</si>
  <si>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</si>
  <si>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</si>
  <si>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</si>
  <si>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</si>
  <si>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</si>
  <si>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</si>
  <si>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</si>
  <si>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</si>
  <si>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</si>
  <si>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</si>
  <si>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</si>
  <si>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</si>
  <si>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</si>
  <si>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</si>
  <si>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</si>
  <si>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</si>
  <si>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</si>
  <si>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</si>
  <si>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</si>
  <si>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</si>
  <si>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</si>
  <si>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</si>
  <si>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</si>
  <si>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</si>
  <si>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</si>
  <si>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</si>
  <si>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</si>
  <si>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</si>
  <si>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</si>
  <si>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</si>
  <si>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</si>
  <si>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</si>
  <si>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</si>
  <si>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</si>
  <si>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</si>
  <si>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</si>
  <si>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</si>
  <si>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</si>
  <si>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</si>
  <si>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</si>
  <si>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</si>
  <si>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</si>
  <si>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</si>
  <si>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</si>
  <si>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</si>
  <si>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</si>
  <si>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</si>
  <si>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</si>
  <si>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</si>
  <si>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</si>
  <si>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</si>
  <si>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</si>
  <si>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</si>
  <si>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</si>
  <si>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</si>
  <si>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</si>
  <si>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</si>
  <si>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</si>
  <si>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</si>
  <si>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</si>
  <si>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</si>
  <si>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</si>
  <si>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</si>
  <si>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</si>
  <si>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</si>
  <si>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</si>
  <si>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</si>
  <si>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</si>
  <si>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</si>
  <si>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</si>
  <si>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</si>
  <si>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</si>
  <si>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</si>
  <si>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</si>
  <si>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</si>
  <si>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</si>
  <si>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</si>
  <si>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</si>
  <si>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</si>
  <si>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</si>
  <si>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</si>
  <si>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</si>
  <si>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</si>
  <si>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</si>
  <si>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</si>
  <si>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</si>
  <si>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</si>
  <si>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</si>
  <si>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</si>
  <si>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</si>
  <si>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</si>
  <si>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</si>
  <si>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</si>
  <si>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</si>
  <si>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</si>
  <si>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</si>
  <si>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</si>
  <si>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</si>
  <si>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</si>
  <si>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</si>
  <si>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</si>
  <si>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</si>
  <si>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</si>
  <si>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</si>
  <si>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</si>
  <si>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</si>
  <si>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</si>
  <si>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</si>
  <si>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</si>
  <si>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</si>
  <si>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</si>
  <si>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</si>
  <si>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</si>
  <si>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</si>
  <si>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</si>
  <si>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</si>
  <si>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</si>
  <si>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</si>
  <si>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</si>
  <si>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</si>
  <si>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</si>
  <si>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</si>
  <si>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</si>
  <si>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</si>
  <si>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</si>
  <si>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</si>
  <si>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</si>
  <si>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</si>
  <si>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</si>
  <si>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</si>
  <si>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</si>
  <si>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</si>
  <si>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</si>
  <si>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</si>
  <si>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</si>
  <si>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</si>
  <si>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</si>
  <si>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</si>
  <si>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</si>
  <si>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</si>
  <si>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</si>
  <si>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</si>
  <si>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</si>
  <si>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</si>
  <si>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</si>
  <si>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</si>
  <si>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</si>
  <si>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</si>
  <si>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</si>
  <si>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</si>
  <si>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</si>
  <si>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</si>
  <si>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</si>
  <si>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</si>
  <si>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</si>
  <si>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</si>
  <si>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</si>
  <si>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</si>
  <si>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</si>
  <si>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</si>
  <si>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</si>
  <si>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</si>
  <si>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</si>
  <si>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</si>
  <si>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</si>
  <si>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</si>
  <si>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</si>
  <si>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</si>
  <si>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</si>
  <si>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</si>
  <si>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</si>
  <si>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</si>
  <si>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</si>
  <si>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</si>
  <si>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</si>
  <si>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</si>
  <si>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</si>
  <si>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</si>
  <si>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</si>
  <si>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</si>
  <si>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</si>
  <si>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</si>
  <si>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</si>
  <si>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</si>
  <si>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</si>
  <si>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</si>
  <si>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</si>
  <si>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</si>
  <si>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</si>
  <si>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</si>
  <si>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</si>
  <si>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</si>
  <si>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</si>
  <si>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</si>
  <si>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</si>
  <si>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</si>
  <si>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</si>
  <si>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</si>
  <si>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</si>
  <si>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</si>
  <si>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</si>
  <si>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</si>
  <si>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</si>
  <si>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</si>
  <si>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</si>
  <si>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</si>
  <si>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</si>
  <si>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</si>
  <si>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</si>
  <si>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</si>
  <si>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</si>
  <si>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</si>
  <si>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</si>
  <si>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</si>
  <si>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</si>
  <si>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</si>
  <si>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</si>
  <si>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</si>
  <si>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</si>
  <si>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</si>
  <si>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</si>
  <si>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</si>
  <si>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</si>
  <si>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</si>
  <si>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</si>
  <si>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</si>
  <si>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</si>
  <si>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</si>
  <si>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</si>
  <si>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</si>
  <si>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</si>
  <si>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</si>
  <si>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</si>
  <si>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</si>
  <si>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</si>
  <si>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</si>
  <si>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</si>
  <si>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</si>
  <si>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</si>
  <si>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</si>
  <si>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</si>
  <si>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</si>
  <si>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</si>
  <si>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</si>
  <si>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</si>
  <si>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</si>
  <si>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</si>
  <si>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</si>
  <si>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</si>
  <si>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</si>
  <si>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</si>
  <si>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</si>
  <si>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</si>
  <si>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</si>
  <si>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</si>
  <si>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</si>
  <si>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</si>
  <si>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</si>
  <si>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</si>
  <si>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</si>
  <si>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</si>
  <si>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</si>
  <si>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</si>
  <si>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</si>
  <si>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</si>
  <si>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</si>
  <si>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</si>
  <si>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</si>
  <si>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</si>
  <si>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</si>
  <si>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</si>
  <si>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</si>
  <si>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</si>
  <si>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</si>
  <si>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</si>
  <si>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</si>
  <si>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</si>
  <si>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</si>
  <si>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</si>
  <si>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</si>
  <si>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</si>
  <si>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</si>
  <si>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</si>
  <si>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</si>
  <si>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</si>
  <si>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</si>
  <si>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</si>
  <si>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</si>
  <si>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</si>
  <si>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</si>
  <si>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</si>
  <si>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</si>
  <si>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</si>
  <si>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</si>
  <si>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</si>
  <si>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</si>
  <si>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</si>
  <si>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</si>
  <si>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</si>
  <si>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</si>
  <si>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</si>
  <si>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</si>
  <si>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</si>
  <si>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</si>
  <si>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</si>
  <si>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</si>
  <si>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</si>
  <si>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</si>
  <si>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</si>
  <si>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</si>
  <si>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</si>
  <si>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</si>
  <si>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</si>
  <si>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</si>
  <si>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</si>
  <si>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</si>
  <si>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</si>
  <si>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</si>
  <si>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</si>
  <si>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</si>
  <si>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</si>
  <si>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</si>
  <si>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</si>
  <si>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</si>
  <si>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</si>
  <si>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</si>
  <si>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</si>
  <si>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</si>
  <si>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</si>
  <si>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</si>
  <si>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</si>
  <si>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</si>
  <si>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</si>
  <si>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</si>
  <si>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</si>
  <si>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</si>
  <si>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</si>
  <si>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</si>
  <si>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</si>
  <si>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</si>
  <si>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</si>
  <si>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</si>
  <si>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</si>
  <si>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</si>
  <si>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</si>
  <si>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</si>
  <si>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</si>
  <si>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</si>
  <si>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</si>
  <si>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</si>
  <si>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</si>
  <si>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</si>
  <si>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</si>
  <si>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</si>
  <si>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</si>
  <si>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</si>
  <si>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</si>
  <si>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</si>
  <si>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</si>
  <si>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</si>
  <si>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</si>
  <si>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</si>
  <si>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</si>
  <si>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</si>
  <si>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</si>
  <si>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</si>
  <si>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</si>
  <si>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</si>
  <si>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</si>
  <si>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</si>
  <si>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</si>
  <si>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</si>
  <si>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</si>
  <si>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</si>
  <si>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</si>
  <si>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</si>
  <si>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</si>
  <si>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</si>
  <si>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</si>
  <si>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</si>
  <si>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</si>
  <si>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</si>
  <si>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</si>
  <si>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</si>
  <si>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</si>
  <si>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</si>
  <si>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</si>
  <si>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</si>
  <si>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</si>
  <si>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</si>
  <si>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</si>
  <si>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</si>
  <si>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</si>
  <si>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</si>
  <si>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</si>
  <si>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</si>
  <si>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</si>
  <si>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</si>
  <si>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</si>
  <si>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</si>
  <si>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</si>
  <si>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</si>
  <si>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</si>
  <si>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</si>
  <si>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</si>
  <si>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</si>
  <si>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</si>
  <si>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</si>
  <si>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</si>
  <si>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</si>
  <si>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</si>
  <si>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</si>
  <si>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</si>
  <si>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</si>
  <si>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</si>
  <si>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</si>
  <si>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</si>
  <si>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</si>
  <si>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</si>
  <si>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</si>
  <si>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</si>
  <si>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</si>
  <si>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</si>
  <si>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</si>
  <si>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</si>
  <si>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</si>
  <si>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</si>
  <si>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</si>
  <si>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</si>
  <si>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</si>
  <si>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</si>
  <si>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</si>
  <si>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</si>
  <si>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</si>
  <si>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</si>
  <si>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</si>
  <si>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</si>
  <si>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</si>
  <si>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</si>
  <si>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</si>
  <si>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</si>
  <si>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</si>
  <si>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</si>
  <si>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</si>
  <si>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</si>
  <si>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</si>
  <si>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</si>
  <si>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</si>
  <si>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</si>
  <si>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</si>
  <si>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</si>
  <si>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</si>
  <si>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</si>
  <si>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</si>
  <si>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</si>
  <si>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</si>
  <si>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</si>
  <si>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</si>
  <si>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</si>
  <si>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</si>
  <si>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</si>
  <si>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</si>
  <si>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</si>
  <si>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</si>
  <si>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</si>
  <si>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</si>
  <si>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</si>
  <si>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</si>
  <si>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</si>
  <si>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,"umk_1589386674638":{"icon":"&lt;path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</si>
  <si>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</si>
  <si>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</si>
  <si>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</si>
  <si>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</si>
  <si>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</si>
  <si>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</si>
  <si>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</si>
  <si>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</si>
  <si>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</si>
  <si>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</si>
  <si>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</si>
  <si>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</si>
  <si>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</si>
  <si>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</si>
  <si>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</si>
  <si>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</si>
  <si>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</si>
  <si>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</si>
  <si>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</si>
  <si>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</si>
  <si>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</si>
  <si>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</si>
  <si>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</si>
  <si>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</si>
  <si>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</si>
  <si>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</si>
  <si>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</si>
  <si>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</si>
  <si>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</si>
  <si>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</si>
  <si>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</si>
  <si>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</si>
  <si>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</si>
  <si>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</si>
  <si>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</si>
  <si>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</si>
  <si>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</si>
  <si>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</si>
  <si>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</si>
  <si>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</si>
  <si>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</si>
  <si>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</si>
  <si>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</si>
  <si>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</si>
  <si>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</si>
  <si>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</si>
  <si>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</si>
  <si>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,"umk_1590046944883":{"icon":"&lt;g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</si>
  <si>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</si>
  <si>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</si>
  <si>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</si>
  <si>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</si>
  <si>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</si>
  <si>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</si>
  <si>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</si>
  <si>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</si>
  <si>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</si>
  <si>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</si>
  <si>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</si>
  <si>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</si>
  <si>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</si>
  <si>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</si>
  <si>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</si>
  <si>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</si>
  <si>
    <t>maxTotalHistory</t>
  </si>
  <si>
    <t>Limit the total history</t>
  </si>
  <si>
    <t>Limita el historial total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</si>
  <si>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</si>
  <si>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</si>
  <si>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</si>
  <si>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</si>
  <si>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</si>
  <si>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</si>
  <si>
    <t>enableAudio</t>
  </si>
  <si>
    <t>Enable audio</t>
  </si>
  <si>
    <t>Habilitar audio</t>
  </si>
  <si>
    <t>umk_1614546347150</t>
  </si>
  <si>
    <t>3D Line graph</t>
  </si>
  <si>
    <t>Gráfico de líneas 3D</t>
  </si>
  <si>
    <t>Draws line charts in three axis</t>
  </si>
  <si>
    <t>Dibuja gráficos de líneas en tres ejes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</si>
  <si>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</t>
  </si>
  <si>
    <t>umk_1614552711391</t>
  </si>
  <si>
    <t>3D surface graph</t>
  </si>
  <si>
    <t>Gráfico de superficie 3D</t>
  </si>
  <si>
    <t>Draws surface graphs in 3 axis</t>
  </si>
  <si>
    <t>Dibuja gráficos de superficie en 3 ejes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</si>
  <si>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50,50'/&gt;","bg":"","fg":"","width":96,"height":72,"keywords":"","category":["sinks"],"name":{"en-us":"XY Scope","es-mx":"Scopio XY"},"desc":{"en-us":"Plots the input signal against another input signal.","es-mx":"Traza la señal de entrada contra otra señal de entrada."}}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</si>
  <si>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y2='30'/&gt;","bg":"","fg":"","width":96,"height":168,"keywords":"","category":["sinks"],"name":{"en-us":"6-DOF Robot","es-mx":"Robot 6-GDL"},"desc":{"en-us":"A 6-DOF robot is shown whose position can be controlled","es-mx":"Se muestra un robot 6-GDL cuya posición se puede controlar"}}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</si>
  <si>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</t>
  </si>
  <si>
    <t>,"umk_1586738484106":{"icon":"&lt;path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</si>
  <si>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</t>
  </si>
  <si>
    <t>umk_1614650915823</t>
  </si>
  <si>
    <t>umk_1614650936727</t>
  </si>
  <si>
    <t>umk_1614650960190</t>
  </si>
  <si>
    <t>umk_1614651143702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</si>
  <si>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</t>
  </si>
  <si>
    <t>&lt;g stroke-width='1' fill='var(--col-text-0)'&gt;&lt;text x='7' y='65' font-size='4em'&gt;u&lt;/text&gt;&lt;text x='45' y='65' font-size='4em'&gt;u&lt;/text&gt;&lt;text x='75' y='45' font-size='2em'&gt;T&lt;/text&gt;&lt;/g&gt;</t>
  </si>
  <si>
    <t>&lt;g stroke-width='1' fill='var(--col-text-0)'&gt;&lt;text x='10' y='65' font-size='4em'&gt;u&lt;/text&gt;&lt;text x='55' y='65' font-size='4em'&gt;u&lt;/text&gt;&lt;text x='37' y='45' font-size='2em'&gt;T&lt;/text&gt;&lt;/g&gt;</t>
  </si>
  <si>
    <t>Matrix multiplication applied on the transpose of first input and second input</t>
  </si>
  <si>
    <t>Multiplicación de matrices aplicada a la transposición de la primera entrada y la segunda entrada</t>
  </si>
  <si>
    <t>Matrix multiplication applied on first input and the transpose of second input</t>
  </si>
  <si>
    <t>Multiplicación de matrices aplicada en la primera entrada y la transposición de la segunda entrada</t>
  </si>
  <si>
    <t>Matrix multiplication applied on Transpose of input to itself</t>
  </si>
  <si>
    <t>Multiplicación de matrices aplicada a la transposición de la entrada a sí misma</t>
  </si>
  <si>
    <t>Matrix multiplication applied on the input to transpose of itself</t>
  </si>
  <si>
    <t>Multiplicación de matrices aplicada a la entrada para transponerse a sí misma</t>
  </si>
  <si>
    <t>umk_1614656818163</t>
  </si>
  <si>
    <t>&lt;g stroke-width='1' fill='var(--col-text-0)'&gt;&lt;text x='22' y='60'font-size='2em'&gt;FOR&lt;/text&gt;&lt;/g&gt;</t>
  </si>
  <si>
    <t>For loop</t>
  </si>
  <si>
    <t>Bucle For</t>
  </si>
  <si>
    <t>Un bucle para generar vectores y matrices.</t>
  </si>
  <si>
    <t>A loop to generate vectors and matrices</t>
  </si>
  <si>
    <t>,"umk_1614656818163":{"icon":"&lt;g stroke-width='1' fill='var(--col-text-0)'&gt;&lt;text x='22' y='60'font-size='2em'&gt;FOR&lt;/text&gt;&lt;/g&gt;","bg":"","fg":"","width":48,"height":96,"keywords":"","category":["sources"],"name":{"en-us":"For loop","es-mx":"Bucle For"},"desc":{"en-us":"A loop to generate vectors and matrices","es-mx":"Un bucle para generar vectores y matrices."}}</t>
  </si>
  <si>
    <t>3D mesh graph</t>
  </si>
  <si>
    <t>Gráfico de malla 3D</t>
  </si>
  <si>
    <t>Draws mesh graphs in 3 axis</t>
  </si>
  <si>
    <t>Dibuja gráficos de malla en 3 ejes</t>
  </si>
  <si>
    <t>,"umk_1614546347150":{"icon":"&lt;path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d='M50,50Q95,75,50,70T50,30T70,50'/&gt;","bg":"","fg":"","width":96,"height":120,"keywords":"","category":["sinks"],"name":{"en-us":"3D Line graph","es-mx":"Gráfico de líneas 3D"},"desc":{"en-us":"Draws line charts in three axis","es-mx":"Dibuja gráficos de líneas en tres ejes"}}</t>
  </si>
  <si>
    <t>umk_1614667359579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</si>
  <si>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</si>
  <si>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</t>
  </si>
  <si>
    <t>,"umk_1614552711391":{"icon":"&lt;path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y='95'font-size='2em'&gt;Mesh&lt;/text&gt;&lt;/g&gt;","bg":"","fg":"","width":96,"height":120,"keywords":"","category":["sinks"],"name":{"en-us":"3D mesh graph","es-mx":"Gráfico de malla 3D"},"desc":{"en-us":"Draws mesh graphs in 3 axis","es-mx":"Dibuja gráficos de malla en 3 ejes"}}</t>
  </si>
  <si>
    <t>,"umk_1614667359579":{"icon":"&lt;path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y='95'font-size='2em'&gt;Surf&lt;/text&gt;&lt;/g&gt;","bg":"","fg":"","width":96,"height":120,"keywords":"","category":["sinks"],"name":{"en-us":"3D surface graph","es-mx":"Gráfico de superficie 3D"},"desc":{"en-us":"Draws surface graphs in 3 axis","es-mx":"Dibuja gráficos de superficie en 3 ejes"}}</t>
  </si>
  <si>
    <t>umk_1614751447697</t>
  </si>
  <si>
    <t>umk_1614751567325</t>
  </si>
  <si>
    <t>umk_1614751738486</t>
  </si>
  <si>
    <t>Argument</t>
  </si>
  <si>
    <t>Real</t>
  </si>
  <si>
    <t>Imaginary</t>
  </si>
  <si>
    <t>Argumento</t>
  </si>
  <si>
    <t>Imaginario</t>
  </si>
  <si>
    <t>Returns the argument of the input complex number</t>
  </si>
  <si>
    <t>Returns the Real part of the input complex number</t>
  </si>
  <si>
    <t>Returns the Imaginary part of the input complex number</t>
  </si>
  <si>
    <t>Devuelve el argumento del número complejo de entrada.</t>
  </si>
  <si>
    <t>Devuelve la parte real del número complejo de entrada.</t>
  </si>
  <si>
    <t>Devuelve la parte imaginaria del número complejo de entrada.</t>
  </si>
  <si>
    <t>&lt;g text-anchor='middle' dominant-baseline='middle' stroke-width='1' fill='var(--col-text-0)'&gt;&lt;text x='50' y='50'font-size='2.2em'&gt;Conj&lt;/text&gt;&lt;/g&gt;</t>
  </si>
  <si>
    <t>umk_1614753516947</t>
  </si>
  <si>
    <t>&lt;g text-anchor='middle' dominant-baseline='middle' stroke-width='1' fill='var(--col-text-0)'&gt;&lt;text x='50' y='50'font-size='2.2em'&gt;Abs&lt;/text&gt;&lt;/g&gt;</t>
  </si>
  <si>
    <t>&lt;g text-anchor='middle' dominant-baseline='middle' stroke-width='1' fill='var(--col-text-0)'&gt;&lt;text x='50' y='50'font-size='2.2em'&gt;Ar(u)&lt;/text&gt;&lt;/g&gt;</t>
  </si>
  <si>
    <t>&lt;g text-anchor='middle' dominant-baseline='middle' stroke-width='1' fill='var(--col-text-0)'&gt;&lt;text x='50' y='50'font-size='2.2em'&gt;Re(u)&lt;/text&gt;&lt;/g&gt;</t>
  </si>
  <si>
    <t>&lt;g text-anchor='middle' dominant-baseline='middle' stroke-width='1' fill='var(--col-text-0)'&gt;&lt;text x='50' y='50'font-size='2.2em'&gt;Im(u)&lt;/text&gt;&lt;/g&gt;</t>
  </si>
  <si>
    <t>Returns the complex conjugate of the input complex number</t>
  </si>
  <si>
    <t>Devuelve el conjugado complejo del número complejo de entrada.</t>
  </si>
  <si>
    <t>Conjugate</t>
  </si>
  <si>
    <t>Conjugado</t>
  </si>
  <si>
    <t>,"umk_1589386475682":{"icon":"&lt;g text-anchor='middle' dominant-baseline='middle' stroke-width='1' fill='var(--col-text-0)'&gt;&lt;text x='50' y='50'font-size='2.2em'&gt;Abs&lt;/text&gt;&lt;/g&gt;","bg":"","fg":"","width":48,"height":48,"keywords":"","category":["basics"],"name":{"en-us":"Absolute","es-mx":"Absoluto"},"desc":{"en-us":"Retuns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</si>
  <si>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,"umk_1614751447697":{"icon":"&lt;g text-anchor='middle' dominant-baseline='middle' stroke-width='1' fill='var(--col-text-0)'&gt;&lt;text x='50' y='50'font-size='2.2em'&gt;Ar(u)&lt;/text&gt;&lt;/g&gt;","bg":"","fg":"","width":96,"height":48,"keywords":"","category":["basics"],"name":{"en-us":"Argument","es-mx":"Argumento"},"desc":{"en-us":"Returns the argument of the input complex number","es-mx":"Devuelve el argumento del número complejo de entrada."}}</t>
  </si>
  <si>
    <t>,"umk_1614751567325":{"icon":"&lt;g text-anchor='middle' dominant-baseline='middle' stroke-width='1' fill='var(--col-text-0)'&gt;&lt;text x='50' y='50'font-size='2.2em'&gt;Re(u)&lt;/text&gt;&lt;/g&gt;","bg":"","fg":"","width":96,"height":48,"keywords":"","category":["basics"],"name":{"en-us":"Real","es-mx":"Real"},"desc":{"en-us":"Returns the Real part of the input complex number","es-mx":"Devuelve la parte real del número complejo de entrada."}}</t>
  </si>
  <si>
    <t>,"umk_1614751738486":{"icon":"&lt;g text-anchor='middle' dominant-baseline='middle' stroke-width='1' fill='var(--col-text-0)'&gt;&lt;text x='50' y='50'font-size='2.2em'&gt;Im(u)&lt;/text&gt;&lt;/g&gt;","bg":"","fg":"","width":96,"height":48,"keywords":"","category":["basics"],"name":{"en-us":"Imaginary","es-mx":"Imaginario"},"desc":{"en-us":"Returns the Imaginary part of the input complex number","es-mx":"Devuelve la parte imaginaria del número complejo de entrada."}}</t>
  </si>
  <si>
    <t>,"umk_1614753516947":{"icon":"&lt;g text-anchor='middle' dominant-baseline='middle' stroke-width='1' fill='var(--col-text-0)'&gt;&lt;text x='50' y='50'font-size='2.2em'&gt;Conj&lt;/text&gt;&lt;/g&gt;","bg":"","fg":"","width":96,"height":48,"keywords":"","category":["basics"],"name":{"en-us":"Conjugate","es-mx":"Conjugado"},"desc":{"en-us":"Returns the complex conjugate of the input complex number","es-mx":"Devuelve el conjugado complejo del número complejo de entrada."}}</t>
  </si>
  <si>
    <t>umk_1614754262620</t>
  </si>
  <si>
    <t>Gain and offset</t>
  </si>
  <si>
    <t>Ganancia y offset</t>
  </si>
  <si>
    <t>Multiply with a constant and add with another constant</t>
  </si>
  <si>
    <t>Multiplica con una constante y suma con otra constante</t>
  </si>
  <si>
    <t>&lt;g text-anchor='middle' dominant-baseline='middle' stroke-width='1' fill='var(--col-text-0)'&gt;&lt;text x='50' y='50'font-size='2.2em'&gt;Gu+H&lt;/text&gt;&lt;/g&gt;</t>
  </si>
  <si>
    <t>,"umk_1614754262620":{"icon":"&lt;g text-anchor='middle' dominant-baseline='middle' stroke-width='1' fill='var(--col-text-0)'&gt;&lt;text x='50' y='50'font-size='2.2em'&gt;Gu+H&lt;/text&gt;&lt;/g&gt;","bg":"","fg":"","width":72,"height":48,"keywords":"","category":["basics"],"name":{"en-us":"Gain and offset","es-mx":"Ganancia y offset"},"desc":{"en-us":"Multiply with a constant and add with another constant","es-mx":"Multiplica con una constante y suma con otra constante"}}</t>
  </si>
  <si>
    <t>&lt;g text-anchor='middle' dominant-baseline='middle' stroke-width='1' fill='var(--col-text-0)'&gt;&lt;text x='50' y='55'font-size='6em'&gt;Σ&lt;/text&gt;&lt;/g&gt;</t>
  </si>
  <si>
    <t>umk_1614793627942</t>
  </si>
  <si>
    <t>&lt;g text-anchor='middle' dominant-baseline='middle' stroke-width='1' fill='var(--col-text-0)'&gt;&lt;text x='50' y='55'font-size='6em'&gt;Π&lt;/text&gt;&lt;/g&gt;</t>
  </si>
  <si>
    <t>&lt;g text-anchor='middle' dominant-baseline='middle' stroke-width='1' fill='var(--col-text-0)'&gt;&lt;text x='50' y='50'font-size='2.2em'&gt;Max&lt;/text&gt;&lt;/g&gt;</t>
  </si>
  <si>
    <t>umk_1614793807400</t>
  </si>
  <si>
    <t>&lt;g text-anchor='middle' dominant-baseline='middle' stroke-width='1' fill='var(--col-text-0)'&gt;&lt;text x='50' y='50'font-size='2.2em'&gt;Min&lt;/text&gt;&lt;/g&gt;</t>
  </si>
  <si>
    <t>umk_1614793852415</t>
  </si>
  <si>
    <t>umk_1614793980339</t>
  </si>
  <si>
    <t>&lt;g text-anchor='middle' dominant-baseline='middle' stroke-width='1' fill='var(--col-text-0)'&gt;&lt;text x='50' y='50'font-size='2.2em'&gt;Mean&lt;/text&gt;&lt;/g&gt;</t>
  </si>
  <si>
    <t>umk_1614794012687</t>
  </si>
  <si>
    <t>&lt;g text-anchor='middle' dominant-baseline='middle' stroke-width='1' fill='var(--col-text-0)'&gt;&lt;text x='50' y='50'font-size='2.2em'&gt;Med&lt;/text&gt;&lt;/g&gt;</t>
  </si>
  <si>
    <t>umk_1614794066926</t>
  </si>
  <si>
    <t>&lt;g text-anchor='middle' dominant-baseline='middle' stroke-width='1' fill='var(--col-text-0)'&gt;&lt;text x='50' y='50'font-size='2.2em'&gt;Mode&lt;/text&gt;&lt;/g&gt;</t>
  </si>
  <si>
    <t>umk_1614794107631</t>
  </si>
  <si>
    <t>&lt;g text-anchor='middle' dominant-baseline='middle' stroke-width='1' fill='var(--col-text-0)'&gt;&lt;text x='50' y='55'font-size='6em'&gt;σ&lt;/text&gt;&lt;/g&gt;</t>
  </si>
  <si>
    <t>umk_1614794215737</t>
  </si>
  <si>
    <t>&lt;g text-anchor='middle' dominant-baseline='middle' stroke-width='1' fill='var(--col-text-0)'&gt;&lt;text x='50' y='50'font-size='2.2em'&gt;Var&lt;/text&gt;&lt;/g&gt;</t>
  </si>
  <si>
    <t>umk_1614794258460</t>
  </si>
  <si>
    <t>&lt;g text-anchor='middle' dominant-baseline='middle' stroke-width='1' fill='var(--col-text-0)'&gt;&lt;text x='50' y='50'font-size='2.2em'&gt;Qnt&lt;/text&gt;&lt;/g&gt;</t>
  </si>
  <si>
    <t>umk_1614794433487</t>
  </si>
  <si>
    <t>&lt;g text-anchor='middle' dominant-baseline='middle' stroke-width='1' fill='var(--col-text-0)'&gt;&lt;text x='50' y='50'font-size='2.2em'&gt;MAD&lt;/text&gt;&lt;/g&gt;</t>
  </si>
  <si>
    <t>umk_1614794514839</t>
  </si>
  <si>
    <t>Product</t>
  </si>
  <si>
    <t>Max</t>
  </si>
  <si>
    <t>Min</t>
  </si>
  <si>
    <t>Mean</t>
  </si>
  <si>
    <t>Median</t>
  </si>
  <si>
    <t>Mode</t>
  </si>
  <si>
    <t>Variance</t>
  </si>
  <si>
    <t>Quantile Seq</t>
  </si>
  <si>
    <t>Standard Deviation</t>
  </si>
  <si>
    <t>MAD</t>
  </si>
  <si>
    <t>Producto</t>
  </si>
  <si>
    <t>Mediana</t>
  </si>
  <si>
    <t>Modo</t>
  </si>
  <si>
    <t>Desviación Estándar</t>
  </si>
  <si>
    <t>Secuencia de cuantiles</t>
  </si>
  <si>
    <t>Promedio</t>
  </si>
  <si>
    <t>Returns sum of input vectors or matrix</t>
  </si>
  <si>
    <t>Returns product of input vectors or matrix</t>
  </si>
  <si>
    <t>Devuelve la suma de los vectores de entrada o la matriz</t>
  </si>
  <si>
    <t>Returns the maximum value among of input vectors or matrix</t>
  </si>
  <si>
    <t>Returns the minimum value among of input vectors or matrix</t>
  </si>
  <si>
    <t>Returns the arithmetic mean for the input vectors of matrix</t>
  </si>
  <si>
    <t>Returns the median for the input vectors of matrix</t>
  </si>
  <si>
    <t>Returns the mode for the input vectors of matrix</t>
  </si>
  <si>
    <t>Returns the standard deviation for the input vectors of matrix</t>
  </si>
  <si>
    <t>Returns the variance for the input vectors of matrix</t>
  </si>
  <si>
    <t>Varianza</t>
  </si>
  <si>
    <t>Returns the median absolute deviation  for the input vectors of matrix</t>
  </si>
  <si>
    <t>Returns the prob order quantile for the input vectors of matrix</t>
  </si>
  <si>
    <t>Devuelve el producto de los vectores de entrada o la matriz.</t>
  </si>
  <si>
    <t>Devuelve el valor máximo entre los vectores de entrada o la matriz</t>
  </si>
  <si>
    <t>Devuelve el valor mínimo entre los vectores de entrada o la matriz.</t>
  </si>
  <si>
    <t>Devuelve la media aritmética de los vectores de entrada de la matriz.</t>
  </si>
  <si>
    <t>Devuelve la mediana de los vectores de entrada de la matriz.</t>
  </si>
  <si>
    <t>Devuelve el modo para los vectores de entrada de la matriz.</t>
  </si>
  <si>
    <t>Devuelve la desviación estándar de los vectores de entrada de la matriz.</t>
  </si>
  <si>
    <t>Devuelve la varianza de los vectores de entrada de la matriz.</t>
  </si>
  <si>
    <t>Devuelve el cuantil de orden prob para los vectores de entrada de la matriz.</t>
  </si>
  <si>
    <t>Devuelve la desviación absoluta mediana para los vectores de entrada de la matriz.</t>
  </si>
  <si>
    <t>,"umk_1614794012687":{"icon":"&lt;g text-anchor='middle' dominant-baseline='middle' stroke-width='1' fill='var(--col-text-0)'&gt;&lt;text x='50' y='50'font-size='2.2em'&gt;Mean&lt;/text&gt;&lt;/g&gt;","bg":"","fg":"","width":48,"height":48,"keywords":"","category":["mat"],"name":{"en-us":"Mean","es-mx":"Promedio"},"desc":{"en-us":"Returns the arithmetic mean for the input vectors of matrix","es-mx":"Devuelve la media aritmética de los vectores de entrada de la matriz."}}</t>
  </si>
  <si>
    <t>,"umk_1614794107631":{"icon":"&lt;g text-anchor='middle' dominant-baseline='middle' stroke-width='1' fill='var(--col-text-0)'&gt;&lt;text x='50' y='50'font-size='2.2em'&gt;Mode&lt;/text&gt;&lt;/g&gt;","bg":"","fg":"","width":48,"height":48,"keywords":"","category":["mat"],"name":{"en-us":"Mode","es-mx":"Modo"},"desc":{"en-us":"Returns the mode for the input vectors of matrix","es-mx":"Devuelve el modo para los vectores de entrada de la matriz."}}</t>
  </si>
  <si>
    <t>,"umk_1614794215737":{"icon":"&lt;g text-anchor='middle' dominant-baseline='middle' stroke-width='1' fill='var(--col-text-0)'&gt;&lt;text x='50' y='55'font-size='6em'&gt;σ&lt;/text&gt;&lt;/g&gt;","bg":"","fg":"","width":48,"height":48,"keywords":"","category":["mat"],"name":{"en-us":"Standard Deviation","es-mx":"Desviación Estándar"},"desc":{"en-us":"Returns the standard deviation for the input vectors of matrix","es-mx":"Devuelve la desviación estándar de los vectores de entrada de la matriz."}}</t>
  </si>
  <si>
    <t>,"umk_1614794258460":{"icon":"&lt;g text-anchor='middle' dominant-baseline='middle' stroke-width='1' fill='var(--col-text-0)'&gt;&lt;text x='50' y='50'font-size='2.2em'&gt;Var&lt;/text&gt;&lt;/g&gt;","bg":"","fg":"","width":48,"height":48,"keywords":"","category":["mat"],"name":{"en-us":"Variance","es-mx":"Varianza"},"desc":{"en-us":"Returns the variance for the input vectors of matrix","es-mx":"Devuelve la varianza de los vectores de entrada de la matriz."}}</t>
  </si>
  <si>
    <t>,"umk_1614794433487":{"icon":"&lt;g text-anchor='middle' dominant-baseline='middle' stroke-width='1' fill='var(--col-text-0)'&gt;&lt;text x='50' y='50'font-size='2.2em'&gt;Qnt&lt;/text&gt;&lt;/g&gt;","bg":"","fg":"","width":48,"height":48,"keywords":"","category":["mat"],"name":{"en-us":"Quantile Seq","es-mx":"Secuencia de cuantiles"},"desc":{"en-us":"Returns the prob order quantile for the input vectors of matrix","es-mx":"Devuelve el cuantil de orden prob para los vectores de entrada de la matriz."}}</t>
  </si>
  <si>
    <t>umk_1614796116806</t>
  </si>
  <si>
    <t>&lt;g text-anchor='middle' dominant-baseline='middle' stroke-width='1' fill='var(--col-text-0)'&gt;&lt;text x='50' y='50'font-size='2.2em'&gt;RMS&lt;/text&gt;&lt;/g&gt;</t>
  </si>
  <si>
    <t>RMS</t>
  </si>
  <si>
    <t>Returns the root mean square for the input vectors of matrix</t>
  </si>
  <si>
    <t>Devuelve la raíz cuadrada media de los vectores de entrada de la matriz.</t>
  </si>
  <si>
    <t>umk_1614802579029</t>
  </si>
  <si>
    <t>umk_1614802772056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</si>
  <si>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</t>
  </si>
  <si>
    <t>umk_1614802842592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</si>
  <si>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</t>
  </si>
  <si>
    <t>&lt;g stroke-width='1' fill='var(--col-text-0)'&gt;&lt;text x='10' y='65' font-size='4em'&gt;u&lt;/text&gt;&lt;text x='55' y='65' font-size='4em'&gt;u&lt;/text&gt;&lt;text x='39' y='45' font-size='2em'&gt;H&lt;/text&gt;&lt;/g&gt;</t>
  </si>
  <si>
    <t>umk_1614802924550</t>
  </si>
  <si>
    <t>&lt;g stroke-width='1' fill='var(--col-text-0)'&gt;&lt;text x='7' y='65' font-size='4em'&gt;u&lt;/text&gt;&lt;text x='45' y='65' font-size='4em'&gt;u&lt;/text&gt;&lt;text x='75' y='45' font-size='2em'&gt;H&lt;/text&gt;&lt;/g&gt;</t>
  </si>
  <si>
    <t>Transpose(u1)u2</t>
  </si>
  <si>
    <t>u1Transpose(u2)</t>
  </si>
  <si>
    <t>Transpose(u)u</t>
  </si>
  <si>
    <t>uTranspose(u)</t>
  </si>
  <si>
    <t>Hermitian(u1)u2</t>
  </si>
  <si>
    <t>u1Hermitian(u2)</t>
  </si>
  <si>
    <t>Hermitian(u)u</t>
  </si>
  <si>
    <t>uHermitian(u)</t>
  </si>
  <si>
    <t>Matrix multiplication applied on the Hermitian of first input and second input</t>
  </si>
  <si>
    <t>Matrix multiplication applied on first input and the Hermitian of second input</t>
  </si>
  <si>
    <t>Matrix multiplication applied on Hermitian of input to itself</t>
  </si>
  <si>
    <t>Matrix multiplication applied on the input to Hermitian of itself</t>
  </si>
  <si>
    <t>Hermitiana(u1)u2</t>
  </si>
  <si>
    <t>Transposición Hermitiana</t>
  </si>
  <si>
    <t>u1Hermitiana(u2)</t>
  </si>
  <si>
    <t>Hermitiana(u)u</t>
  </si>
  <si>
    <t>uHermitiana(u)</t>
  </si>
  <si>
    <t>Multiplicación de matrices aplicada a la Hermitiana de la primera entrada y la segunda entrada</t>
  </si>
  <si>
    <t>Multiplicación de matrices aplicada en la primera entrada y la Hermitiana de la segunda entrada</t>
  </si>
  <si>
    <t>Multiplicación de matrices aplicada a la Hermitiana de la entrada a sí misma</t>
  </si>
  <si>
    <t>Multiplicación de matrices aplicada a la entrada para Hermitiana a sí misma</t>
  </si>
  <si>
    <t>umk_1614803399341</t>
  </si>
  <si>
    <t>,"umk_1614650915823":{"icon":"&lt;g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font-size='2em'&gt;T&lt;/text&gt;&lt;/g&gt;","bg":"","fg":"","width":48,"height":48,"keywords":"","category":["mat"],"name":{"en-us":"Transpose(u1)u2","es-mx":"Transpose(u1)u2"},"desc":{"en-us":"Matrix multiplication applied on the transpose of first input and second input","es-mx":"Multiplicación de matrices aplicada a la transposición de la primera entrada y la segunda entrada"}}</t>
  </si>
  <si>
    <t>,"umk_1614650936727":{"icon":"&lt;g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font-size='2em'&gt;T&lt;/text&gt;&lt;/g&gt;","bg":"","fg":"","width":48,"height":48,"keywords":"","category":["mat"],"name":{"en-us":"u1Transpose(u2)","es-mx":"u1Transpose(u2)"},"desc":{"en-us":"Matrix multiplication applied on first input and the transpose of second input","es-mx":"Multiplicación de matrices aplicada en la primera entrada y la transposición de la segunda entrada"}}</t>
  </si>
  <si>
    <t>,"umk_1614650960190":{"icon":"&lt;g stroke-width='1' fill='var(--col-text-0)'&gt;&lt;text x='10' y='65' font-size='4em'&gt;u&lt;/text&gt;&lt;text x='55' y='65' font-size='4em'&gt;u&lt;/text&gt;&lt;text x='37' y='45' font-size='2em'&gt;T&lt;/text&gt;&lt;/g&gt;","bg":"","fg":"","width":48,"height":48,"keywords":"","category":["mat"],"name":{"en-us":"Transpose(u)u","es-mx":"Transpose(u)u"},"desc":{"en-us":"Matrix multiplication applied on Transpose of input to itself","es-mx":"Multiplicación de matrices aplicada a la transposición de la entrada a sí misma"}}</t>
  </si>
  <si>
    <t>,"umk_1614651143702":{"icon":"&lt;g stroke-width='1' fill='var(--col-text-0)'&gt;&lt;text x='7' y='65' font-size='4em'&gt;u&lt;/text&gt;&lt;text x='45' y='65' font-size='4em'&gt;u&lt;/text&gt;&lt;text x='75' y='45' font-size='2em'&gt;T&lt;/text&gt;&lt;/g&gt;","bg":"","fg":"","width":48,"height":48,"keywords":"","category":["mat"],"name":{"en-us":"uTranspose(u)","es-mx":"uTranspose(u)"},"desc":{"en-us":"Matrix multiplication applied on the input to transpose of itself","es-mx":"Multiplicación de matrices aplicada a la entrada para transponerse a sí misma"}}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</si>
  <si>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Hermitiana"},"desc":{"en-us":"Returns conjugate transpose of the input matrix","es-mx":"Devuelve la transposición conjugada de la matriz de entrada"}}</t>
  </si>
  <si>
    <t>,"umk_1614802579029":{"icon":"&lt;g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font-size='2em'&gt;H&lt;/text&gt;&lt;/g&gt;","bg":"","fg":"","width":48,"height":48,"keywords":"","category":["mat"],"name":{"en-us":"Hermitian(u1)u2","es-mx":"Hermitiana(u1)u2"},"desc":{"en-us":"Matrix multiplication applied on the Hermitian of first input and second input","es-mx":"Multiplicación de matrices aplicada a la Hermitiana de la primera entrada y la segunda entrada"}}</t>
  </si>
  <si>
    <t>,"umk_1614802772056":{"icon":"&lt;g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font-size='2em'&gt;H&lt;/text&gt;&lt;/g&gt;","bg":"","fg":"","width":48,"height":48,"keywords":"","category":["mat"],"name":{"en-us":"u1Hermitian(u2)","es-mx":"u1Hermitiana(u2)"},"desc":{"en-us":"Matrix multiplication applied on first input and the Hermitian of second input","es-mx":"Multiplicación de matrices aplicada en la primera entrada y la Hermitiana de la segunda entrada"}}</t>
  </si>
  <si>
    <t>,"umk_1614802842592":{"icon":"&lt;g stroke-width='1' fill='var(--col-text-0)'&gt;&lt;text x='10' y='65' font-size='4em'&gt;u&lt;/text&gt;&lt;text x='55' y='65' font-size='4em'&gt;u&lt;/text&gt;&lt;text x='39' y='45' font-size='2em'&gt;H&lt;/text&gt;&lt;/g&gt;","bg":"","fg":"","width":48,"height":48,"keywords":"","category":["mat"],"name":{"en-us":"Hermitian(u)u","es-mx":"Hermitiana(u)u"},"desc":{"en-us":"Matrix multiplication applied on Hermitian of input to itself","es-mx":"Multiplicación de matrices aplicada a la Hermitiana de la entrada a sí misma"}}</t>
  </si>
  <si>
    <t>,"umk_1614802924550":{"icon":"&lt;g stroke-width='1' fill='var(--col-text-0)'&gt;&lt;text x='7' y='65' font-size='4em'&gt;u&lt;/text&gt;&lt;text x='45' y='65' font-size='4em'&gt;u&lt;/text&gt;&lt;text x='75' y='45' font-size='2em'&gt;H&lt;/text&gt;&lt;/g&gt;","bg":"","fg":"","width":48,"height":48,"keywords":"","category":["mat"],"name":{"en-us":"uHermitian(u)","es-mx":"uHermitiana(u)"},"desc":{"en-us":"Matrix multiplication applied on the input to Hermitian of itself","es-mx":"Multiplicación de matrices aplicada a la entrada para Hermitiana a sí misma"}}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</si>
  <si>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output","es-mx":"Devuelve la raíz cuadrada media de los vectores de entrada de la matriz."}}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</si>
  <si>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</t>
  </si>
  <si>
    <t>umk_1614835535258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</si>
  <si>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</t>
  </si>
  <si>
    <t>Crear diagonal</t>
  </si>
  <si>
    <t>Create diagonal</t>
  </si>
  <si>
    <t>Generates a diagonal matrix for the input vector</t>
  </si>
  <si>
    <t>Genera una matriz diagonal para los vector de entrada.</t>
  </si>
  <si>
    <t>Extract diagonal</t>
  </si>
  <si>
    <t>Extraer diagonal</t>
  </si>
  <si>
    <t>Extract diagonal elements from a matrix</t>
  </si>
  <si>
    <t>Extraer elementos diagonales de una matriz</t>
  </si>
  <si>
    <t>,"umk_1614793627942":{"icon":"&lt;g text-anchor='middle' dominant-baseline='middle' stroke-width='1' fill='var(--col-text-0)'&gt;&lt;text x='50' y='55'font-size='6em'&gt;Σ&lt;/text&gt;&lt;/g&gt;","bg":"","fg":"","width":144,"height":48,"keywords":"","category":["mat"],"name":{"en-us":"Sum","es-mx":"Suma"},"desc":{"en-us":"Returns sum of input vectors or matrix","es-mx":"Devuelve la suma de los vectores de entrada o la matriz"}}</t>
  </si>
  <si>
    <t>,"umk_1614793807400":{"icon":"&lt;g text-anchor='middle' dominant-baseline='middle' stroke-width='1' fill='var(--col-text-0)'&gt;&lt;text x='50' y='55'font-size='6em'&gt;Π&lt;/text&gt;&lt;/g&gt;","bg":"","fg":"","width":144,"height":48,"keywords":"","category":["mat"],"name":{"en-us":"Product","es-mx":"Producto"},"desc":{"en-us":"Returns product of input vectors or matrix","es-mx":"Devuelve el producto de los vectores de entrada o la matriz."}}</t>
  </si>
  <si>
    <t>,"umk_1614793852415":{"icon":"&lt;g text-anchor='middle' dominant-baseline='middle' stroke-width='1' fill='var(--col-text-0)'&gt;&lt;text x='50' y='50'font-size='2.2em'&gt;Max&lt;/text&gt;&lt;/g&gt;","bg":"","fg":"","width":120,"height":48,"keywords":"","category":["mat"],"name":{"en-us":"Max","es-mx":"Max"},"desc":{"en-us":"Returns the maximum value among of input vectors or matrix","es-mx":"Devuelve el valor máximo entre los vectores de entrada o la matriz"}}</t>
  </si>
  <si>
    <t>,"umk_1614793980339":{"icon":"&lt;g text-anchor='middle' dominant-baseline='middle' stroke-width='1' fill='var(--col-text-0)'&gt;&lt;text x='50' y='50'font-size='2.2em'&gt;Min&lt;/text&gt;&lt;/g&gt;","bg":"","fg":"","width":120,"height":48,"keywords":"","category":["mat"],"name":{"en-us":"Min","es-mx":"Min"},"desc":{"en-us":"Returns the minimum value among of input vectors or matrix","es-mx":"Devuelve el valor mínimo entre los vectores de entrada o la matriz."}}</t>
  </si>
  <si>
    <t>,"umk_1614794066926":{"icon":"&lt;g text-anchor='middle' dominant-baseline='middle' stroke-width='1' fill='var(--col-text-0)'&gt;&lt;text x='50' y='50'font-size='2.2em'&gt;Med&lt;/text&gt;&lt;/g&gt;","bg":"","fg":"","width":96,"height":48,"keywords":"","category":["mat"],"name":{"en-us":"Median","es-mx":"Mediana"},"desc":{"en-us":"Returns the median for the input vectors of matrix","es-mx":"Devuelve la mediana de los vectores de entrada de la matriz."}}</t>
  </si>
  <si>
    <t>,"umk_1614794514839":{"icon":"&lt;g text-anchor='middle' dominant-baseline='middle' stroke-width='1' fill='var(--col-text-0)'&gt;&lt;text x='50' y='50'font-size='2.2em'&gt;MAD&lt;/text&gt;&lt;/g&gt;","bg":"","fg":"","width":72,"height":48,"keywords":"","category":["mat"],"name":{"en-us":"MAD","es-mx":"MAD"},"desc":{"en-us":"Returns the median absolute deviation  for the input vectors of matrix","es-mx":"Devuelve la desviación absoluta mediana para los vectores de entrada de la matriz."}}</t>
  </si>
  <si>
    <t>,"umk_1614796116806":{"icon":"&lt;g text-anchor='middle' dominant-baseline='middle' stroke-width='1' fill='var(--col-text-0)'&gt;&lt;text x='50' y='50'font-size='2.2em'&gt;RMS&lt;/text&gt;&lt;/g&gt;","bg":"","fg":"","width":72,"height":48,"keywords":"","category":["mat"],"name":{"en-us":"RMS","es-mx":"RMS"},"desc":{"en-us":"Returns the root mean square for the input vectors of matrix","es-mx":"Returns the root mean square for the input vectors of matrix"}}</t>
  </si>
  <si>
    <t>,"umk_1614803399341":{"icon":"&lt;g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d='M10,35L10,70L30,70M30,70L20,60M30,70L20,80'/&gt;","bg":"","fg":"","width":72,"height":48,"keywords":"","category":["mat"],"name":{"en-us":"Create diagonal","es-mx":"Crear diagonal"},"desc":{"en-us":"Generates a diagonal matrix for the input vector","es-mx":"Genera una matriz diagonal para los vector de entrada."}}</t>
  </si>
  <si>
    <t>,"umk_1614835535258":{"icon":"&lt;g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d='M15,35L15,70L35,70M15,35L25,45M15,35L05,45'/&gt;","bg":"","fg":"","width":72,"height":48,"keywords":"","category":["mat"],"name":{"en-us":"Extract diagonal","es-mx":"Extraer diagonal"},"desc":{"en-us":"Extract diagonal elements from a matrix","es-mx":"Extraer elementos diagonales de una matriz"}}</t>
  </si>
  <si>
    <t>&lt;g text-anchor='middle' dominant-baseline='middle' stroke-width='1' fill='var(--col-text-0)'&gt;&lt;text x='50' y='61'font-size='5em'&gt;⏱&lt;/text&gt;&lt;/g&gt;</t>
  </si>
  <si>
    <t>umk_1614876628659</t>
  </si>
  <si>
    <t>Time</t>
  </si>
  <si>
    <t>Devuelve el tiempo de simulación</t>
  </si>
  <si>
    <t>Returns the simulation time</t>
  </si>
  <si>
    <t>Tiempo</t>
  </si>
  <si>
    <t>&lt;g text-anchor='middle' dominant-baseline='middle' stroke-width='1' fill='var(--col-text-0)' transform='translate(100, 0) scale(-1,1)'&gt;&lt;text x='50' y='61'font-size='5em'&gt;🚶&lt;/text&gt;&lt;/g&gt;</t>
  </si>
  <si>
    <t>Steps</t>
  </si>
  <si>
    <t>Pasos</t>
  </si>
  <si>
    <t>Number of discrete steps taken since the beginning of simulation</t>
  </si>
  <si>
    <t>Número de pasos discretos tomados desde el comienzo de la simulación</t>
  </si>
  <si>
    <t>umk_1614889433774</t>
  </si>
  <si>
    <t>&lt;circle cx='30' cy='20' r='5'/&gt;&lt;circle cx='30' cy='80' r='5'/&gt;&lt;circle cx='70' cy='50' r='5'/&gt;&lt;path d='M10,20L25,20M10,80L25,80M90,50L75,50M70,50L22,27'/&gt;&lt;path stroke-dasharray='1,7' d='M10,50L30,50L40,40'/&gt;</t>
  </si>
  <si>
    <t>umk_1614890638761</t>
  </si>
  <si>
    <t>&lt;g text-anchor='middle' dominant-baseline='middle' stroke-width='1' fill='var(--col-text-0)'&gt;&lt;text x='50' y='61'font-size='7em'&gt;&amp;#x2696;&lt;/text&gt;&lt;/g&gt;</t>
  </si>
  <si>
    <t>umk_1614890778776</t>
  </si>
  <si>
    <t>umk_1614891893367</t>
  </si>
  <si>
    <t>Select a the input based on condition</t>
  </si>
  <si>
    <t>Seleccione una entrada basada en la condición</t>
  </si>
  <si>
    <t>Compare</t>
  </si>
  <si>
    <t>Comparar</t>
  </si>
  <si>
    <t>Compare the given input signals</t>
  </si>
  <si>
    <t>Compare las señales de entrada dadas</t>
  </si>
  <si>
    <t>Select with logic</t>
  </si>
  <si>
    <t>Seleccionar con lógica</t>
  </si>
  <si>
    <t>,"umk_1614876628659":{"icon":"&lt;g text-anchor='middle' dominant-baseline='middle' stroke-width='1' fill='var(--col-text-0)'&gt;&lt;text x='50' y='61'font-size='5em'&gt;⏱&lt;/text&gt;&lt;/g&gt;","bg":"","fg":"","width":48,"height":48,"keywords":"","category":["sources"],"name":{"en-us":"Time","es-mx":"Tiempo"},"desc":{"en-us":"Returns the simulation time","es-mx":"Devuelve el tiempo de simulación"}}</t>
  </si>
  <si>
    <t>,"umk_1614889433774":{"icon":"&lt;g text-anchor='middle' dominant-baseline='middle' stroke-width='1' fill='var(--col-text-0)' transform='translate(100, 0) scale(-1,1)'&gt;&lt;text x='50' y='61'font-size='5em'&gt;🚶&lt;/text&gt;&lt;/g&gt;","bg":"","fg":"","width":48,"height":48,"keywords":"","category":["sources"],"name":{"en-us":"Steps","es-mx":"Pasos"},"desc":{"en-us":"Number of discrete steps taken since the beginning of simulation","es-mx":"Número de pasos discretos tomados desde el comienzo de la simulación"}}</t>
  </si>
  <si>
    <t>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</t>
  </si>
  <si>
    <t>umk_1614899219940</t>
  </si>
  <si>
    <t>Identity matrix</t>
  </si>
  <si>
    <t>Matriz de identidad</t>
  </si>
  <si>
    <t>Generates a identity matrix of the given size</t>
  </si>
  <si>
    <t>Genera una matriz de identidad del tamaño dado.</t>
  </si>
  <si>
    <t>,"umk_1614899219940":{"icon":"&lt;g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&amp;nbsp;┘&lt;/text&gt;&lt;/g&gt;","bg":"","fg":"","width":72,"height":48,"keywords":"","category":["sources"],"name":{"en-us":"Identity matrix","es-mx":"Matriz de identidad"},"desc":{"en-us":"Generates a identity matrix of the given size","es-mx":"Genera una matriz de identidad del tamaño dado."}}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</si>
  <si>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</t>
  </si>
  <si>
    <t>umk_1614918829723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</si>
  <si>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</t>
  </si>
  <si>
    <t>Choose max</t>
  </si>
  <si>
    <t>Elija max</t>
  </si>
  <si>
    <t>Prepares output by taking element with maximum value from each input</t>
  </si>
  <si>
    <t>Prepara la salida tomando el elemento con el valor máximo de cada entrada.</t>
  </si>
  <si>
    <t>Choose min</t>
  </si>
  <si>
    <t>Elija min</t>
  </si>
  <si>
    <t>Prepares output by taking element with minimum value from each input</t>
  </si>
  <si>
    <t>Prepara la salida tomando el elemento con el valor mínimo de cada entrada.</t>
  </si>
  <si>
    <t>,"umk_1614890638761":{"icon":"&lt;circle cx='30' cy='20' r='5'/&gt;&lt;circle cx='30' cy='80' r='5'/&gt;&lt;circle cx='70' cy='50' r='5'/&gt;&lt;path d='M10,20L25,20M10,80L25,80M90,50L75,50M70,50L22,27'/&gt;&lt;path stroke-dasharray='1,7' d='M10,50L30,50L40,40'/&gt;","bg":"","fg":"","width":72,"height":72,"keywords":"","category":["logic"],"name":{"en-us":"Select with logic","es-mx":"Seleccionar con lógica"},"desc":{"en-us":"Select a the input based on condition","es-mx":"Seleccione una entrada basada en la condición"}}</t>
  </si>
  <si>
    <t>,"umk_1614891893367":{"icon":"&lt;g text-anchor='middle' dominant-baseline='middle' stroke-width='1' fill='var(--col-text-0)'&gt;&lt;text x='50' y='61'font-size='7em'&gt;&amp;#x2696;&lt;/text&gt;&lt;/g&gt;","bg":"","fg":"","width":72,"height":48,"keywords":"","category":["logic"],"name":{"en-us":"Compare","es-mx":"Comparar"},"desc":{"en-us":"Compare the given input signals","es-mx":"Compare las señales de entrada dadas"}}</t>
  </si>
  <si>
    <t>,"umk_1614890778776":{"icon":"&lt;circle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y='85'font-size='2em'&gt;max&lt;/text&gt;&lt;/g&gt;","bg":"","fg":"","width":48,"height":48,"keywords":"","category":["logic"],"name":{"en-us":"Choose max","es-mx":"Elija max"},"desc":{"en-us":"Prepares output by taking element with maximum value from each input","es-mx":"Prepara la salida tomando el elemento con el valor máximo de cada entrada."}}</t>
  </si>
  <si>
    <t>,"umk_1614918829723":{"icon":"&lt;circle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y='85'font-size='2em'&gt;min&lt;/text&gt;&lt;/g&gt;","bg":"","fg":"","width":48,"height":48,"keywords":"","category":["logic"],"name":{"en-us":"Choose min","es-mx":"Elija min"},"desc":{"en-us":"Prepares output by taking element with minimum value from each input","es-mx":"Prepara la salida tomando el elemento con el valor mínimo de cada entrada."}}</t>
  </si>
  <si>
    <t>[1/2,1/2]</t>
  </si>
  <si>
    <t>umk_1616354932295</t>
  </si>
  <si>
    <t>umk_1616355007458</t>
  </si>
  <si>
    <t>routing</t>
  </si>
  <si>
    <t>Signal routing</t>
  </si>
  <si>
    <t>Allows to manipulate signal flow directions</t>
  </si>
  <si>
    <t>From tag</t>
  </si>
  <si>
    <t>To tag</t>
  </si>
  <si>
    <t>Recevies signal from the specified tag name</t>
  </si>
  <si>
    <t>Send signals to all the from blocks with the same tag name</t>
  </si>
  <si>
    <t>fas fa-route</t>
  </si>
  <si>
    <t>&lt;polyline points='90,25 30,25 10,50 30,75 90,75 90,25'/&gt;</t>
  </si>
  <si>
    <t>&lt;polyline points='10,25 70,25 90,50 70,75 10,75 10,25'/&gt;</t>
  </si>
  <si>
    <t>Receives signal from the specified tag name</t>
  </si>
  <si>
    <t>Recibe la señal del nombre de etiqueta especificado</t>
  </si>
  <si>
    <t>Enrutamiento de señales</t>
  </si>
  <si>
    <t>Permite manipular las direcciones del flujo de la señal.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</si>
  <si>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sección."}},{"id":"routing","icon":"fas fa-route","name":{"en-us":"Signal routing","es-mx":"Enrutamiento de señales"},"desc":{"en-us":"Allows to manipulate signal flow directions","es-mx":"Permite manipular las direcciones del flujo de la señal."}},{"id":"continuous","icon":"fas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</si>
  <si>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,"umk_1616354932295":{"icon":"&lt;polyline points='90,25 30,25 10,50 30,75 90,75 90,25'/&gt;","bg":"","fg":"","width":48,"height":24,"keywords":"","category":["routing"],"name":{"en-us":"From tag","es-mx":"Recibe la señal del nombre de etiqueta especificado"},"desc":{"en-us":"Receives signal from the specified tag name","es-mx":"Recevies signal from the specified tag name"}}</t>
  </si>
  <si>
    <t>errMulTags</t>
  </si>
  <si>
    <t>You cannot connect From tag and To tag</t>
  </si>
  <si>
    <t>No se puede conectar la etiqueta De y la etiqueta A</t>
  </si>
  <si>
    <t>errRouting</t>
  </si>
  <si>
    <t>Error in routing</t>
  </si>
  <si>
    <t>errRouteDef</t>
  </si>
  <si>
    <t>This route name is defined several times</t>
  </si>
  <si>
    <t>errRouteNotCon</t>
  </si>
  <si>
    <t>One or more tags are not connected</t>
  </si>
  <si>
    <t>errRouteNotFound</t>
  </si>
  <si>
    <t>This tag is not assigned to any signal</t>
  </si>
  <si>
    <t>Error en el enrutamiento</t>
  </si>
  <si>
    <t>Este nombre de ruta se define varias veces</t>
  </si>
  <si>
    <t>Una o más etiquetas no están conectadas</t>
  </si>
  <si>
    <t>Esta etiqueta no está asignada a ninguna señal.</t>
  </si>
  <si>
    <t>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</t>
  </si>
  <si>
    <t>umk_1694398255523</t>
  </si>
  <si>
    <t>,"umk_1616355007458":{"icon":"&lt;polyline points='10,25 70,25 90,50 70,75 10,75 10,25'/&gt;","bg":"","fg":"","width":48,"height":24,"keywords":"","category":["routing"],"name":{"en-us":"To tag","es-mx":"Recibe la señal del nombre de etiqueta especificado"},"desc":{"en-us":"Send signals to all the from blocks with the same tag name","es-mx":"Send signals to all the from blocks with the same tag name"}}</t>
  </si>
  <si>
    <t>,"umk_1694398255523":{"icon":"&lt;g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font-size='0.5em'&gt;k&lt;/text&gt;&lt;/g&gt;","bg":"","fg":"","width":216,"height":48,"keywords":"","category":["discrete"],"name":{"en-us":"State Space","es-mx":"Espacio de Estados"},"desc":{"en-us":"Implements state-space with constant A, B, C and D values","es-mx":"Implementa espacio de estado con valores constantes de A, B, C y D"}}</t>
  </si>
  <si>
    <t>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</t>
  </si>
  <si>
    <t>umk_1694403449663</t>
  </si>
  <si>
    <t>,"umk_1694403449663":{"icon":"&lt;g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font-size='0.5em'&gt;k&lt;/text&gt;&lt;/g&gt;","bg":"","fg":"","width":312,"height":96,"keywords":"","category":["discrete"],"name":{"en-us":"State Space - 2","es-mx":"Espacio Estatal - 2"},"desc":{"en-us":"Implements state-space with variable A, B, C and D values","es-mx":"Implementa espacio de estado con valores variables A, B, C y D"}}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</si>
</sst>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49" fontId="0" fillId="0" borderId="0" xfId="0" applyNumberFormat="1"/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3" borderId="0" xfId="0" applyFill="1" applyAlignment="1">
      <alignment vertical="center"/>
    </xf>
    <xf numFmtId="0" fontId="0" fillId="3" borderId="0" xfId="0" applyFill="1"/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238125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2</xdr:row>
          <xdr:rowOff>9525</xdr:rowOff>
        </xdr:from>
        <xdr:to>
          <xdr:col>17</xdr:col>
          <xdr:colOff>457200</xdr:colOff>
          <xdr:row>7</xdr:row>
          <xdr:rowOff>95250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</xdr:row>
          <xdr:rowOff>171450</xdr:rowOff>
        </xdr:from>
        <xdr:to>
          <xdr:col>20</xdr:col>
          <xdr:colOff>171450</xdr:colOff>
          <xdr:row>15</xdr:row>
          <xdr:rowOff>161925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17</xdr:col>
      <xdr:colOff>655980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5" x14ac:dyDescent="0.25"/>
  <sheetData>
    <row r="1" spans="1:10" x14ac:dyDescent="0.25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25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25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25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25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25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25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25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25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25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25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5" x14ac:dyDescent="0.25"/>
  <cols>
    <col min="2" max="2" width="16" bestFit="1" customWidth="1"/>
  </cols>
  <sheetData>
    <row r="1" spans="1:15" x14ac:dyDescent="0.25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25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25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25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25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25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25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25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25">
      <c r="E9" s="1" t="s">
        <v>79</v>
      </c>
      <c r="F9" t="s">
        <v>59</v>
      </c>
      <c r="G9" t="s">
        <v>74</v>
      </c>
      <c r="H9" t="s">
        <v>57</v>
      </c>
    </row>
    <row r="10" spans="1:15" x14ac:dyDescent="0.25">
      <c r="E10" s="1"/>
    </row>
    <row r="11" spans="1:15" x14ac:dyDescent="0.25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5" x14ac:dyDescent="0.25"/>
  <cols>
    <col min="2" max="2" width="25.28515625" customWidth="1"/>
    <col min="6" max="6" width="16.5703125" bestFit="1" customWidth="1"/>
    <col min="8" max="8" width="9.5703125" customWidth="1"/>
    <col min="14" max="14" width="31.28515625" customWidth="1"/>
  </cols>
  <sheetData>
    <row r="1" spans="1:15" x14ac:dyDescent="0.25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25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25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25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25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25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25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25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25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25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25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25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25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25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25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25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25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25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25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25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25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25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25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25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25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25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25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25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25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25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25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25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25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25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25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25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25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25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25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25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25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25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25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25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25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25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25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25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25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25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25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25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25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25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25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25">
      <c r="A56" t="s">
        <v>135</v>
      </c>
      <c r="I56" t="s">
        <v>253</v>
      </c>
      <c r="N56" t="str">
        <f t="shared" si="2"/>
        <v/>
      </c>
    </row>
    <row r="57" spans="1:14" x14ac:dyDescent="0.25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25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25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25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25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25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25">
      <c r="N63" t="str">
        <f t="shared" si="2"/>
        <v/>
      </c>
    </row>
    <row r="64" spans="1:14" x14ac:dyDescent="0.25">
      <c r="N64" t="str">
        <f t="shared" si="2"/>
        <v/>
      </c>
    </row>
  </sheetData>
  <phoneticPr fontId="1" type="noConversion"/>
  <conditionalFormatting sqref="F1:F1048576">
    <cfRule type="duplicateValues" dxfId="12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5" x14ac:dyDescent="0.25"/>
  <cols>
    <col min="3" max="3" width="17.140625" customWidth="1"/>
  </cols>
  <sheetData>
    <row r="1" spans="1:7" x14ac:dyDescent="0.25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25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25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25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25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25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25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25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5" x14ac:dyDescent="0.25"/>
  <cols>
    <col min="1" max="1" width="14.7109375" style="3" bestFit="1" customWidth="1"/>
  </cols>
  <sheetData>
    <row r="1" spans="1:10" x14ac:dyDescent="0.25">
      <c r="A1" s="3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25">
      <c r="A2" s="3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25">
      <c r="A3" s="3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25">
      <c r="A4" s="3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25">
      <c r="A5" s="3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5" x14ac:dyDescent="0.25"/>
  <cols>
    <col min="1" max="1" width="13.42578125" customWidth="1"/>
  </cols>
  <sheetData>
    <row r="1" spans="1:3" x14ac:dyDescent="0.25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25">
      <c r="A2" s="1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5" x14ac:dyDescent="0.25">
      <c r="A3" s="2" t="s">
        <v>84</v>
      </c>
      <c r="B3" t="str">
        <f t="shared" si="0"/>
        <v>"icon3":"' stroke-width='10' fill='none'&gt;",</v>
      </c>
    </row>
    <row r="4" spans="1:3" x14ac:dyDescent="0.25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5" x14ac:dyDescent="0.25"/>
  <cols>
    <col min="1" max="1" width="13.42578125" customWidth="1"/>
  </cols>
  <sheetData>
    <row r="1" spans="1:3" x14ac:dyDescent="0.25">
      <c r="A1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25">
      <c r="A2" s="1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25">
      <c r="A3" s="1" t="s">
        <v>84</v>
      </c>
      <c r="B3" t="str">
        <f t="shared" si="0"/>
        <v>"icon3":"' stroke-width='10' fill='none'&gt;",</v>
      </c>
    </row>
    <row r="4" spans="1:3" x14ac:dyDescent="0.25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5" x14ac:dyDescent="0.25"/>
  <cols>
    <col min="1" max="1" width="16" bestFit="1" customWidth="1"/>
  </cols>
  <sheetData>
    <row r="1" spans="1:9" x14ac:dyDescent="0.25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25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25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25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25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25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25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25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25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25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25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25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25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25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25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25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25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25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25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opLeftCell="A138" zoomScaleNormal="100" workbookViewId="0">
      <selection activeCell="A210" sqref="A210"/>
    </sheetView>
  </sheetViews>
  <sheetFormatPr defaultRowHeight="15" x14ac:dyDescent="0.25"/>
  <cols>
    <col min="1" max="1" width="14.7109375" bestFit="1" customWidth="1"/>
    <col min="11" max="11" width="37" customWidth="1"/>
  </cols>
  <sheetData>
    <row r="1" spans="1:12" x14ac:dyDescent="0.25">
      <c r="A1" t="s">
        <v>241</v>
      </c>
      <c r="B1" t="s">
        <v>329</v>
      </c>
      <c r="C1" t="s">
        <v>330</v>
      </c>
      <c r="J1" s="10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the total history","waitPRLoad":"Wait for results to load (s)","waitUpdGraphs":"Wait for updating graphs (ms)","enableAudio":"Enable audio","errMulTags":"You cannot connect From tag and To tag","errRouting":"Error in routing","errRouteDef":"This route name is defined several times","errRouteNotCon":"One or more tags are not connected","errRouteNotFound":"This tag is not assigned to any signal"},"es-mx":{"hide":"Esconder","hide_left_desc":"Hides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 el historial total","waitPRLoad":"Espere a que se carguen los resultados (s)","waitUpdGraphs":"Espere a que se actualicen los gráficos (ms)","enableAudio":"Habilitar audio","errMulTags":"No se puede conectar la etiqueta De y la etiqueta A","errRouting":"Error en el enrutamiento","errRouteDef":"Este nombre de ruta se define varias veces","errRouteNotCon":"Una o más etiquetas no están conectadas","errRouteNotFound":"Esta etiqueta no está asignada a ninguna señal."}};</v>
      </c>
      <c r="K1" t="str">
        <f>""""&amp;B1&amp;""":{"</f>
        <v>"en-us":{</v>
      </c>
      <c r="L1" t="str">
        <f>""""&amp;C1&amp;""":{"</f>
        <v>"es-mx":{</v>
      </c>
    </row>
    <row r="2" spans="1:12" x14ac:dyDescent="0.25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25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25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25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25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25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25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25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25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25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25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25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25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25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25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25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25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25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25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25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25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25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25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25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25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25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25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25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25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25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25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25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25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25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25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25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25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25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25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25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25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25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25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25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25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25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25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25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25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25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25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25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25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25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25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25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25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25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25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25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25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25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25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25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25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25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25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25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25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25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25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25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25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25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25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25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25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25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25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25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25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25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25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25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25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25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25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25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25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25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25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25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25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25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25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25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25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25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25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25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25">
      <c r="A102" t="s">
        <v>600</v>
      </c>
      <c r="B102" s="5" t="s">
        <v>664</v>
      </c>
      <c r="C102" s="5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25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25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25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25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25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25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25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25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25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25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25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25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25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25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25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25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25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25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25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25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25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25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25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25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25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25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25">
      <c r="A129" t="s">
        <v>774</v>
      </c>
      <c r="B129" t="s">
        <v>1628</v>
      </c>
      <c r="C129" t="s">
        <v>1629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25">
      <c r="A130" t="s">
        <v>776</v>
      </c>
      <c r="B130" t="s">
        <v>1630</v>
      </c>
      <c r="C130" t="s">
        <v>1631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25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25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25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25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25">
      <c r="A135" t="s">
        <v>1912</v>
      </c>
      <c r="B135" t="s">
        <v>1917</v>
      </c>
      <c r="C135" t="s">
        <v>1916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25">
      <c r="A136" t="s">
        <v>1913</v>
      </c>
      <c r="B136" t="s">
        <v>1915</v>
      </c>
      <c r="C136" t="s">
        <v>1914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25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25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25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25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25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25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25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25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25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25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25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25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25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25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25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25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25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25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25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25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25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25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25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25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25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25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25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25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25">
      <c r="A165" t="s">
        <v>971</v>
      </c>
      <c r="B165" t="s">
        <v>976</v>
      </c>
      <c r="C165" t="s">
        <v>977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25">
      <c r="A166" t="s">
        <v>972</v>
      </c>
      <c r="B166" t="s">
        <v>973</v>
      </c>
      <c r="C166" t="s">
        <v>974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25">
      <c r="A167" t="s">
        <v>978</v>
      </c>
      <c r="B167" t="s">
        <v>981</v>
      </c>
      <c r="C167" t="s">
        <v>984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25">
      <c r="A168" t="s">
        <v>979</v>
      </c>
      <c r="B168" t="s">
        <v>982</v>
      </c>
      <c r="C168" t="s">
        <v>985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25">
      <c r="A169" t="s">
        <v>980</v>
      </c>
      <c r="B169" t="s">
        <v>983</v>
      </c>
      <c r="C169" t="s">
        <v>986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25">
      <c r="A170" t="s">
        <v>997</v>
      </c>
      <c r="B170" t="s">
        <v>992</v>
      </c>
      <c r="C170" t="s">
        <v>988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25">
      <c r="A171" t="s">
        <v>998</v>
      </c>
      <c r="B171" t="s">
        <v>987</v>
      </c>
      <c r="C171" t="s">
        <v>989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25">
      <c r="A172" t="s">
        <v>999</v>
      </c>
      <c r="B172" t="s">
        <v>990</v>
      </c>
      <c r="C172" t="s">
        <v>991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25">
      <c r="A173" t="s">
        <v>1000</v>
      </c>
      <c r="B173" t="s">
        <v>993</v>
      </c>
      <c r="C173" t="s">
        <v>994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25">
      <c r="A174" t="s">
        <v>1001</v>
      </c>
      <c r="B174" t="s">
        <v>995</v>
      </c>
      <c r="C174" t="s">
        <v>996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25">
      <c r="A175" t="s">
        <v>1002</v>
      </c>
      <c r="B175" t="s">
        <v>1003</v>
      </c>
      <c r="C175" t="s">
        <v>1004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25">
      <c r="A176" t="s">
        <v>1005</v>
      </c>
      <c r="B176" t="s">
        <v>1006</v>
      </c>
      <c r="C176" t="s">
        <v>1007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25">
      <c r="A177" t="s">
        <v>1010</v>
      </c>
      <c r="B177" t="s">
        <v>1008</v>
      </c>
      <c r="C177" t="s">
        <v>1009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25">
      <c r="A178" t="s">
        <v>1011</v>
      </c>
      <c r="B178" t="s">
        <v>1012</v>
      </c>
      <c r="C178" t="s">
        <v>1013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25">
      <c r="A179" t="s">
        <v>1014</v>
      </c>
      <c r="B179" t="s">
        <v>1027</v>
      </c>
      <c r="C179" t="s">
        <v>1028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25">
      <c r="A180" t="s">
        <v>1015</v>
      </c>
      <c r="B180" t="s">
        <v>1016</v>
      </c>
      <c r="C180" t="s">
        <v>1017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25">
      <c r="A181" t="s">
        <v>1018</v>
      </c>
      <c r="B181" t="s">
        <v>1019</v>
      </c>
      <c r="C181" t="s">
        <v>1020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25">
      <c r="A182" t="s">
        <v>1021</v>
      </c>
      <c r="B182" t="s">
        <v>1023</v>
      </c>
      <c r="C182" t="s">
        <v>1025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25">
      <c r="A183" t="s">
        <v>1022</v>
      </c>
      <c r="B183" t="s">
        <v>1024</v>
      </c>
      <c r="C183" t="s">
        <v>1026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25">
      <c r="A184" t="s">
        <v>1029</v>
      </c>
      <c r="B184" t="s">
        <v>1030</v>
      </c>
      <c r="C184" t="s">
        <v>1031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25">
      <c r="A185" t="s">
        <v>1165</v>
      </c>
      <c r="B185" t="s">
        <v>1166</v>
      </c>
      <c r="C185" t="s">
        <v>1424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25">
      <c r="A186" t="s">
        <v>1159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25">
      <c r="A187" t="s">
        <v>1160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25">
      <c r="A188" t="s">
        <v>1168</v>
      </c>
      <c r="B188" t="s">
        <v>1169</v>
      </c>
      <c r="C188" t="s">
        <v>1174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25">
      <c r="A189" t="s">
        <v>1170</v>
      </c>
      <c r="B189" t="s">
        <v>1167</v>
      </c>
      <c r="C189" t="s">
        <v>1175</v>
      </c>
      <c r="K189" t="str">
        <f t="shared" si="12"/>
        <v>"open":"Open",</v>
      </c>
      <c r="L189" t="str">
        <f t="shared" si="13"/>
        <v>"open":"Abierto",</v>
      </c>
    </row>
    <row r="190" spans="1:12" x14ac:dyDescent="0.25">
      <c r="A190" t="s">
        <v>1164</v>
      </c>
      <c r="B190" t="s">
        <v>1173</v>
      </c>
      <c r="C190" t="s">
        <v>1176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25">
      <c r="A191" t="s">
        <v>1161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25">
      <c r="A192" t="s">
        <v>1163</v>
      </c>
      <c r="B192" t="s">
        <v>1171</v>
      </c>
      <c r="C192" t="s">
        <v>1177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25">
      <c r="A193" t="s">
        <v>1162</v>
      </c>
      <c r="B193" t="s">
        <v>1172</v>
      </c>
      <c r="C193" t="s">
        <v>1178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25">
      <c r="A194" t="s">
        <v>1184</v>
      </c>
      <c r="B194" t="s">
        <v>1185</v>
      </c>
      <c r="C194" t="s">
        <v>1186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25">
      <c r="A195" t="s">
        <v>1192</v>
      </c>
      <c r="B195" t="s">
        <v>1188</v>
      </c>
      <c r="C195" t="s">
        <v>1189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25">
      <c r="A196" t="s">
        <v>1193</v>
      </c>
      <c r="B196" t="s">
        <v>1190</v>
      </c>
      <c r="C196" t="s">
        <v>1191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25">
      <c r="A197" t="s">
        <v>1425</v>
      </c>
      <c r="B197" t="s">
        <v>1425</v>
      </c>
      <c r="C197" t="s">
        <v>1426</v>
      </c>
      <c r="K197" t="str">
        <f t="shared" si="12"/>
        <v>"for":"for",</v>
      </c>
      <c r="L197" t="str">
        <f t="shared" si="13"/>
        <v>"for":"para",</v>
      </c>
    </row>
    <row r="198" spans="1:12" x14ac:dyDescent="0.25">
      <c r="A198" t="s">
        <v>1529</v>
      </c>
      <c r="B198" t="s">
        <v>1530</v>
      </c>
      <c r="C198" t="s">
        <v>1550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25">
      <c r="A199" t="s">
        <v>1619</v>
      </c>
      <c r="B199" t="s">
        <v>1621</v>
      </c>
      <c r="C199" t="s">
        <v>1620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25">
      <c r="A200" t="s">
        <v>1625</v>
      </c>
      <c r="B200" t="s">
        <v>1626</v>
      </c>
      <c r="C200" t="s">
        <v>1627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25">
      <c r="A201" t="s">
        <v>1768</v>
      </c>
      <c r="B201" t="s">
        <v>1767</v>
      </c>
      <c r="C201" t="s">
        <v>1766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25">
      <c r="A202" t="s">
        <v>1925</v>
      </c>
      <c r="B202" t="s">
        <v>1926</v>
      </c>
      <c r="C202" t="s">
        <v>1927</v>
      </c>
      <c r="K202" t="str">
        <f t="shared" si="12"/>
        <v>"maxTotalHistory":"Limit the total history",</v>
      </c>
      <c r="L202" t="str">
        <f t="shared" si="13"/>
        <v>"maxTotalHistory":"Limita el historial total",</v>
      </c>
    </row>
    <row r="203" spans="1:12" x14ac:dyDescent="0.25">
      <c r="A203" t="s">
        <v>1928</v>
      </c>
      <c r="B203" t="s">
        <v>1930</v>
      </c>
      <c r="C203" t="s">
        <v>1931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25">
      <c r="A204" t="s">
        <v>1929</v>
      </c>
      <c r="B204" t="s">
        <v>1932</v>
      </c>
      <c r="C204" t="s">
        <v>1933</v>
      </c>
      <c r="K204" t="str">
        <f t="shared" si="12"/>
        <v>"waitUpdGraphs":"Wait for updating graphs (ms)",</v>
      </c>
      <c r="L204" t="str">
        <f t="shared" si="13"/>
        <v>"waitUpdGraphs":"Espere a que se actualicen los gráficos (ms)",</v>
      </c>
    </row>
    <row r="205" spans="1:12" x14ac:dyDescent="0.25">
      <c r="A205" t="s">
        <v>1934</v>
      </c>
      <c r="B205" t="s">
        <v>1935</v>
      </c>
      <c r="C205" t="s">
        <v>1936</v>
      </c>
      <c r="K205" t="str">
        <f t="shared" si="12"/>
        <v>"enableAudio":"Enable audio",</v>
      </c>
      <c r="L205" t="str">
        <f t="shared" si="13"/>
        <v>"enableAudio":"Habilitar audio",</v>
      </c>
    </row>
    <row r="206" spans="1:12" x14ac:dyDescent="0.25">
      <c r="A206" t="s">
        <v>2220</v>
      </c>
      <c r="B206" t="s">
        <v>2221</v>
      </c>
      <c r="C206" t="s">
        <v>2222</v>
      </c>
      <c r="K206" t="str">
        <f t="shared" si="12"/>
        <v>"errMulTags":"You cannot connect From tag and To tag",</v>
      </c>
      <c r="L206" t="str">
        <f t="shared" si="13"/>
        <v>"errMulTags":"No se puede conectar la etiqueta De y la etiqueta A",</v>
      </c>
    </row>
    <row r="207" spans="1:12" x14ac:dyDescent="0.25">
      <c r="A207" t="s">
        <v>2223</v>
      </c>
      <c r="B207" t="s">
        <v>2224</v>
      </c>
      <c r="C207" t="s">
        <v>2231</v>
      </c>
      <c r="K207" t="str">
        <f t="shared" si="12"/>
        <v>"errRouting":"Error in routing",</v>
      </c>
      <c r="L207" t="str">
        <f t="shared" si="13"/>
        <v>"errRouting":"Error en el enrutamiento",</v>
      </c>
    </row>
    <row r="208" spans="1:12" x14ac:dyDescent="0.25">
      <c r="A208" t="s">
        <v>2225</v>
      </c>
      <c r="B208" t="s">
        <v>2226</v>
      </c>
      <c r="C208" t="s">
        <v>2232</v>
      </c>
      <c r="K208" t="str">
        <f t="shared" si="12"/>
        <v>"errRouteDef":"This route name is defined several times",</v>
      </c>
      <c r="L208" t="str">
        <f t="shared" si="13"/>
        <v>"errRouteDef":"Este nombre de ruta se define varias veces",</v>
      </c>
    </row>
    <row r="209" spans="1:12" x14ac:dyDescent="0.25">
      <c r="A209" t="s">
        <v>2227</v>
      </c>
      <c r="B209" t="s">
        <v>2228</v>
      </c>
      <c r="C209" t="s">
        <v>2233</v>
      </c>
      <c r="K209" t="str">
        <f t="shared" si="12"/>
        <v>"errRouteNotCon":"One or more tags are not connected",</v>
      </c>
      <c r="L209" t="str">
        <f t="shared" si="13"/>
        <v>"errRouteNotCon":"Una o más etiquetas no están conectadas",</v>
      </c>
    </row>
    <row r="210" spans="1:12" x14ac:dyDescent="0.25">
      <c r="A210" t="s">
        <v>2229</v>
      </c>
      <c r="B210" t="s">
        <v>2230</v>
      </c>
      <c r="C210" t="s">
        <v>2234</v>
      </c>
      <c r="K210" t="str">
        <f t="shared" si="12"/>
        <v>"errRouteNotFound":"This tag is not assigned to any signal"}</v>
      </c>
      <c r="L210" t="str">
        <f t="shared" si="13"/>
        <v>"errRouteNotFound":"Esta etiqueta no está asignada a ninguna señal."}</v>
      </c>
    </row>
    <row r="211" spans="1:12" x14ac:dyDescent="0.25">
      <c r="K211" t="str">
        <f t="shared" si="12"/>
        <v/>
      </c>
      <c r="L211" t="str">
        <f t="shared" si="13"/>
        <v/>
      </c>
    </row>
    <row r="212" spans="1:12" x14ac:dyDescent="0.25">
      <c r="K212" t="str">
        <f t="shared" si="12"/>
        <v/>
      </c>
      <c r="L212" t="str">
        <f t="shared" si="13"/>
        <v/>
      </c>
    </row>
    <row r="213" spans="1:12" x14ac:dyDescent="0.25">
      <c r="K213" t="str">
        <f t="shared" si="12"/>
        <v/>
      </c>
      <c r="L213" t="str">
        <f t="shared" si="13"/>
        <v/>
      </c>
    </row>
    <row r="214" spans="1:12" x14ac:dyDescent="0.25">
      <c r="K214" t="str">
        <f t="shared" si="12"/>
        <v/>
      </c>
      <c r="L214" t="str">
        <f t="shared" si="13"/>
        <v/>
      </c>
    </row>
    <row r="215" spans="1:12" x14ac:dyDescent="0.25">
      <c r="K215" t="str">
        <f t="shared" si="12"/>
        <v/>
      </c>
      <c r="L215" t="str">
        <f t="shared" si="13"/>
        <v/>
      </c>
    </row>
    <row r="216" spans="1:12" x14ac:dyDescent="0.25">
      <c r="K216" t="str">
        <f t="shared" si="12"/>
        <v/>
      </c>
      <c r="L216" t="str">
        <f t="shared" si="13"/>
        <v/>
      </c>
    </row>
    <row r="217" spans="1:12" x14ac:dyDescent="0.25">
      <c r="K217" t="str">
        <f t="shared" si="12"/>
        <v/>
      </c>
      <c r="L217" t="str">
        <f t="shared" si="13"/>
        <v/>
      </c>
    </row>
    <row r="218" spans="1:12" x14ac:dyDescent="0.25">
      <c r="K218" t="str">
        <f t="shared" si="12"/>
        <v/>
      </c>
      <c r="L218" t="str">
        <f t="shared" si="13"/>
        <v/>
      </c>
    </row>
    <row r="219" spans="1:12" x14ac:dyDescent="0.25">
      <c r="K219" t="str">
        <f t="shared" si="12"/>
        <v/>
      </c>
      <c r="L219" t="str">
        <f t="shared" si="13"/>
        <v/>
      </c>
    </row>
    <row r="220" spans="1:12" x14ac:dyDescent="0.25">
      <c r="K220" t="str">
        <f t="shared" si="12"/>
        <v/>
      </c>
      <c r="L220" t="str">
        <f t="shared" si="13"/>
        <v/>
      </c>
    </row>
    <row r="221" spans="1:12" x14ac:dyDescent="0.25">
      <c r="K221" t="str">
        <f t="shared" si="12"/>
        <v/>
      </c>
      <c r="L221" t="str">
        <f t="shared" si="13"/>
        <v/>
      </c>
    </row>
    <row r="222" spans="1:12" x14ac:dyDescent="0.25">
      <c r="K222" t="str">
        <f t="shared" si="12"/>
        <v/>
      </c>
      <c r="L222" t="str">
        <f t="shared" si="13"/>
        <v/>
      </c>
    </row>
    <row r="223" spans="1:12" x14ac:dyDescent="0.25">
      <c r="K223" t="str">
        <f t="shared" si="12"/>
        <v/>
      </c>
      <c r="L223" t="str">
        <f t="shared" si="13"/>
        <v/>
      </c>
    </row>
    <row r="224" spans="1:12" x14ac:dyDescent="0.25">
      <c r="K224" t="str">
        <f t="shared" si="12"/>
        <v/>
      </c>
      <c r="L224" t="str">
        <f t="shared" si="13"/>
        <v/>
      </c>
    </row>
    <row r="225" spans="11:12" x14ac:dyDescent="0.25">
      <c r="K225" t="str">
        <f t="shared" si="12"/>
        <v/>
      </c>
      <c r="L225" t="str">
        <f t="shared" si="13"/>
        <v/>
      </c>
    </row>
    <row r="226" spans="11:12" x14ac:dyDescent="0.25">
      <c r="K226" t="str">
        <f t="shared" si="12"/>
        <v/>
      </c>
      <c r="L226" t="str">
        <f t="shared" si="13"/>
        <v/>
      </c>
    </row>
    <row r="227" spans="11:12" x14ac:dyDescent="0.25">
      <c r="K227" t="str">
        <f t="shared" si="12"/>
        <v/>
      </c>
      <c r="L227" t="str">
        <f t="shared" si="13"/>
        <v/>
      </c>
    </row>
    <row r="228" spans="11:12" x14ac:dyDescent="0.25">
      <c r="K228" t="str">
        <f t="shared" si="12"/>
        <v/>
      </c>
      <c r="L228" t="str">
        <f t="shared" si="13"/>
        <v/>
      </c>
    </row>
    <row r="229" spans="11:12" x14ac:dyDescent="0.25">
      <c r="K229" t="str">
        <f t="shared" si="12"/>
        <v/>
      </c>
      <c r="L229" t="str">
        <f t="shared" si="13"/>
        <v/>
      </c>
    </row>
    <row r="230" spans="11:12" x14ac:dyDescent="0.25">
      <c r="K230" t="str">
        <f t="shared" si="12"/>
        <v/>
      </c>
      <c r="L230" t="str">
        <f t="shared" si="13"/>
        <v/>
      </c>
    </row>
    <row r="231" spans="11:12" x14ac:dyDescent="0.25">
      <c r="K231" t="str">
        <f t="shared" si="12"/>
        <v/>
      </c>
      <c r="L231" t="str">
        <f t="shared" si="13"/>
        <v/>
      </c>
    </row>
    <row r="232" spans="11:12" x14ac:dyDescent="0.25">
      <c r="K232" t="str">
        <f t="shared" si="12"/>
        <v/>
      </c>
      <c r="L232" t="str">
        <f t="shared" si="13"/>
        <v/>
      </c>
    </row>
    <row r="233" spans="11:12" x14ac:dyDescent="0.25">
      <c r="K233" t="str">
        <f t="shared" si="12"/>
        <v/>
      </c>
      <c r="L233" t="str">
        <f t="shared" si="13"/>
        <v/>
      </c>
    </row>
    <row r="234" spans="11:12" x14ac:dyDescent="0.25">
      <c r="K234" t="str">
        <f t="shared" si="12"/>
        <v/>
      </c>
      <c r="L234" t="str">
        <f t="shared" si="13"/>
        <v/>
      </c>
    </row>
    <row r="235" spans="11:12" x14ac:dyDescent="0.25">
      <c r="K235" t="str">
        <f t="shared" si="12"/>
        <v/>
      </c>
      <c r="L235" t="str">
        <f t="shared" si="13"/>
        <v/>
      </c>
    </row>
    <row r="236" spans="11:12" x14ac:dyDescent="0.25">
      <c r="K236" t="str">
        <f t="shared" si="12"/>
        <v/>
      </c>
      <c r="L236" t="str">
        <f t="shared" si="13"/>
        <v/>
      </c>
    </row>
    <row r="237" spans="11:12" x14ac:dyDescent="0.25">
      <c r="K237" t="str">
        <f t="shared" si="12"/>
        <v/>
      </c>
      <c r="L237" t="str">
        <f t="shared" si="13"/>
        <v/>
      </c>
    </row>
    <row r="238" spans="11:12" x14ac:dyDescent="0.25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25">
      <c r="K239" t="str">
        <f t="shared" si="14"/>
        <v/>
      </c>
      <c r="L239" t="str">
        <f t="shared" si="15"/>
        <v/>
      </c>
    </row>
    <row r="240" spans="11:12" x14ac:dyDescent="0.25">
      <c r="K240" t="str">
        <f t="shared" si="14"/>
        <v/>
      </c>
      <c r="L240" t="str">
        <f t="shared" si="15"/>
        <v/>
      </c>
    </row>
    <row r="241" spans="11:12" x14ac:dyDescent="0.25">
      <c r="K241" t="str">
        <f t="shared" si="14"/>
        <v/>
      </c>
      <c r="L241" t="str">
        <f t="shared" si="15"/>
        <v/>
      </c>
    </row>
    <row r="242" spans="11:12" x14ac:dyDescent="0.25">
      <c r="K242" t="str">
        <f t="shared" si="14"/>
        <v/>
      </c>
      <c r="L242" t="str">
        <f t="shared" si="15"/>
        <v/>
      </c>
    </row>
    <row r="243" spans="11:12" x14ac:dyDescent="0.25">
      <c r="K243" t="str">
        <f t="shared" si="14"/>
        <v/>
      </c>
      <c r="L243" t="str">
        <f t="shared" si="15"/>
        <v/>
      </c>
    </row>
    <row r="244" spans="11:12" x14ac:dyDescent="0.25">
      <c r="K244" t="str">
        <f t="shared" si="14"/>
        <v/>
      </c>
      <c r="L244" t="str">
        <f t="shared" si="15"/>
        <v/>
      </c>
    </row>
    <row r="245" spans="11:12" x14ac:dyDescent="0.25">
      <c r="K245" t="str">
        <f t="shared" si="14"/>
        <v/>
      </c>
      <c r="L245" t="str">
        <f t="shared" si="15"/>
        <v/>
      </c>
    </row>
    <row r="246" spans="11:12" x14ac:dyDescent="0.25">
      <c r="K246" t="str">
        <f t="shared" si="14"/>
        <v/>
      </c>
      <c r="L246" t="str">
        <f t="shared" si="15"/>
        <v/>
      </c>
    </row>
    <row r="247" spans="11:12" x14ac:dyDescent="0.25">
      <c r="K247" t="str">
        <f t="shared" si="14"/>
        <v/>
      </c>
      <c r="L247" t="str">
        <f t="shared" si="15"/>
        <v/>
      </c>
    </row>
    <row r="248" spans="11:12" x14ac:dyDescent="0.25">
      <c r="K248" t="str">
        <f t="shared" si="14"/>
        <v/>
      </c>
      <c r="L248" t="str">
        <f t="shared" si="15"/>
        <v/>
      </c>
    </row>
    <row r="249" spans="11:12" x14ac:dyDescent="0.25">
      <c r="K249" t="str">
        <f t="shared" si="14"/>
        <v/>
      </c>
      <c r="L249" t="str">
        <f t="shared" si="15"/>
        <v/>
      </c>
    </row>
    <row r="250" spans="11:12" x14ac:dyDescent="0.25">
      <c r="K250" t="str">
        <f t="shared" si="14"/>
        <v/>
      </c>
      <c r="L250" t="str">
        <f t="shared" si="15"/>
        <v/>
      </c>
    </row>
    <row r="251" spans="11:12" x14ac:dyDescent="0.25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11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1" zoomScaleNormal="100" workbookViewId="0">
      <selection activeCell="H9" sqref="H9"/>
    </sheetView>
  </sheetViews>
  <sheetFormatPr defaultRowHeight="15" x14ac:dyDescent="0.25"/>
  <cols>
    <col min="1" max="1" width="7.7109375" bestFit="1" customWidth="1"/>
    <col min="2" max="2" width="21.42578125" bestFit="1" customWidth="1"/>
    <col min="3" max="3" width="9.42578125" bestFit="1" customWidth="1"/>
    <col min="4" max="4" width="22.42578125" bestFit="1" customWidth="1"/>
    <col min="5" max="8" width="7.85546875" customWidth="1"/>
    <col min="9" max="10" width="10" customWidth="1"/>
    <col min="11" max="11" width="16.85546875" bestFit="1" customWidth="1"/>
    <col min="12" max="12" width="29.5703125" customWidth="1"/>
    <col min="13" max="13" width="21.42578125" bestFit="1" customWidth="1"/>
    <col min="17" max="17" width="31.28515625" customWidth="1"/>
  </cols>
  <sheetData>
    <row r="1" spans="1:20" x14ac:dyDescent="0.25">
      <c r="E1" s="14" t="s">
        <v>341</v>
      </c>
      <c r="F1" s="14"/>
      <c r="G1" s="14"/>
      <c r="H1" s="14"/>
      <c r="I1" s="14"/>
      <c r="J1" s="14"/>
      <c r="K1" s="14"/>
      <c r="M1" s="14" t="s">
        <v>329</v>
      </c>
      <c r="N1" s="14"/>
      <c r="O1" s="14" t="s">
        <v>330</v>
      </c>
      <c r="P1" s="14"/>
      <c r="T1" s="12" t="s">
        <v>1924</v>
      </c>
    </row>
    <row r="2" spans="1:20" x14ac:dyDescent="0.25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4" t="s">
        <v>342</v>
      </c>
      <c r="G2" s="4" t="s">
        <v>240</v>
      </c>
      <c r="H2" s="4" t="s">
        <v>343</v>
      </c>
      <c r="I2" s="4" t="s">
        <v>344</v>
      </c>
      <c r="J2" s="4" t="s">
        <v>665</v>
      </c>
      <c r="K2" s="4" t="s">
        <v>681</v>
      </c>
      <c r="L2" s="4" t="s">
        <v>345</v>
      </c>
      <c r="M2" s="4" t="s">
        <v>24</v>
      </c>
      <c r="N2" s="4" t="s">
        <v>346</v>
      </c>
      <c r="O2" s="4" t="s">
        <v>24</v>
      </c>
      <c r="P2" s="4" t="s">
        <v>346</v>
      </c>
    </row>
    <row r="3" spans="1:20" x14ac:dyDescent="0.25">
      <c r="A3">
        <v>1</v>
      </c>
      <c r="B3" t="b">
        <v>1</v>
      </c>
      <c r="C3" t="b">
        <v>0</v>
      </c>
      <c r="D3" t="s">
        <v>187</v>
      </c>
      <c r="F3" s="4" t="b">
        <v>1</v>
      </c>
      <c r="G3" s="4"/>
      <c r="H3" s="4" t="s">
        <v>261</v>
      </c>
      <c r="I3" s="4">
        <f>IF(ISBLANK(H3), "", VLOOKUP(LOWER(H3), javascriptKeycodes!A:B, 2, FALSE))</f>
        <v>70</v>
      </c>
      <c r="J3" s="4" t="str">
        <f>IF(ISBLANK(H3), "", VLOOKUP(LOWER(H3), javascriptKeycodes!A:C, 3, FALSE))</f>
        <v>key_f</v>
      </c>
      <c r="K3" s="4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25">
      <c r="A4">
        <v>2</v>
      </c>
      <c r="B4" t="b">
        <v>0</v>
      </c>
      <c r="C4" t="b">
        <v>1</v>
      </c>
      <c r="D4" t="s">
        <v>951</v>
      </c>
      <c r="F4" s="4"/>
      <c r="G4" s="4"/>
      <c r="H4" s="4"/>
      <c r="I4" s="4" t="str">
        <f>IF(ISBLANK(H4), "", VLOOKUP(LOWER(H4), javascriptKeycodes!A:B, 2, FALSE))</f>
        <v/>
      </c>
      <c r="J4" s="4" t="str">
        <f>IF(ISBLANK(H4), "", VLOOKUP(LOWER(H4), javascriptKeycodes!A:C, 3, FALSE))</f>
        <v/>
      </c>
      <c r="K4" s="4" t="str">
        <f t="shared" ref="K4:K24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25">
      <c r="A5">
        <v>3</v>
      </c>
      <c r="B5" t="b">
        <v>0</v>
      </c>
      <c r="C5" t="b">
        <v>0</v>
      </c>
      <c r="D5" t="s">
        <v>1194</v>
      </c>
      <c r="E5" t="b">
        <v>1</v>
      </c>
      <c r="F5" s="4"/>
      <c r="G5" s="4" t="b">
        <v>1</v>
      </c>
      <c r="H5" s="4" t="s">
        <v>246</v>
      </c>
      <c r="I5" s="4">
        <f>IF(ISBLANK(H5), "", VLOOKUP(LOWER(H5), javascriptKeycodes!A:B, 2, FALSE))</f>
        <v>76</v>
      </c>
      <c r="J5" s="4" t="str">
        <f>IF(ISBLANK(H5), "", VLOOKUP(LOWER(H5), javascriptKeycodes!A:C, 3, FALSE))</f>
        <v>key_l</v>
      </c>
      <c r="K5" s="4" t="str">
        <f t="shared" si="0"/>
        <v>CTRL_SHIFT_L</v>
      </c>
      <c r="L5" t="s">
        <v>1667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25">
      <c r="A6">
        <v>4</v>
      </c>
      <c r="B6" t="b">
        <v>0</v>
      </c>
      <c r="C6" t="b">
        <v>1</v>
      </c>
      <c r="D6" t="s">
        <v>1179</v>
      </c>
      <c r="E6" t="b">
        <v>1</v>
      </c>
      <c r="F6" s="4"/>
      <c r="G6" s="4" t="b">
        <v>1</v>
      </c>
      <c r="H6" s="4" t="s">
        <v>371</v>
      </c>
      <c r="I6" s="4">
        <f>IF(ISBLANK(H6), "", VLOOKUP(LOWER(H6), javascriptKeycodes!A:B, 2, FALSE))</f>
        <v>70</v>
      </c>
      <c r="J6" s="4" t="str">
        <f>IF(ISBLANK(H6), "", VLOOKUP(LOWER(H6), javascriptKeycodes!A:C, 3, FALSE))</f>
        <v>key_f</v>
      </c>
      <c r="K6" s="4" t="str">
        <f t="shared" ref="K6" si="1">IF(E6,"CTRL_","")&amp;IF(F6,"ALT_","")&amp;IF(G6,"SHIFT_","")&amp;H6</f>
        <v>CTRL_SHIFT_f</v>
      </c>
      <c r="L6" t="s">
        <v>1187</v>
      </c>
      <c r="M6" t="s">
        <v>1180</v>
      </c>
      <c r="N6" t="s">
        <v>1181</v>
      </c>
      <c r="O6" t="s">
        <v>1182</v>
      </c>
      <c r="P6" t="s">
        <v>1183</v>
      </c>
    </row>
    <row r="7" spans="1:20" x14ac:dyDescent="0.25">
      <c r="A7">
        <v>5</v>
      </c>
      <c r="B7" t="b">
        <v>0</v>
      </c>
      <c r="C7" t="b">
        <v>0</v>
      </c>
      <c r="D7" t="s">
        <v>154</v>
      </c>
      <c r="E7" t="b">
        <v>1</v>
      </c>
      <c r="F7" s="4"/>
      <c r="G7" s="4"/>
      <c r="H7" s="4" t="s">
        <v>251</v>
      </c>
      <c r="I7" s="4">
        <f>IF(ISBLANK(H7), "", VLOOKUP(LOWER(H7), javascriptKeycodes!A:B, 2, FALSE))</f>
        <v>74</v>
      </c>
      <c r="J7" s="4" t="str">
        <f>IF(ISBLANK(H7), "", VLOOKUP(LOWER(H7), javascriptKeycodes!A:C, 3, FALSE))</f>
        <v>key_j</v>
      </c>
      <c r="K7" s="4" t="str">
        <f t="shared" si="0"/>
        <v>CTRL_J</v>
      </c>
      <c r="L7" t="s">
        <v>1667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25">
      <c r="A8">
        <v>6</v>
      </c>
      <c r="B8" t="b">
        <v>0</v>
      </c>
      <c r="C8" t="b">
        <v>1</v>
      </c>
      <c r="D8" t="s">
        <v>155</v>
      </c>
      <c r="E8" t="b">
        <v>1</v>
      </c>
      <c r="F8" s="4"/>
      <c r="G8" t="b">
        <v>1</v>
      </c>
      <c r="H8" s="4" t="s">
        <v>251</v>
      </c>
      <c r="I8" s="4">
        <f>IF(ISBLANK(H8), "", VLOOKUP(LOWER(H8), javascriptKeycodes!A:B, 2, FALSE))</f>
        <v>74</v>
      </c>
      <c r="J8" s="4" t="str">
        <f>IF(ISBLANK(H8), "", VLOOKUP(LOWER(H8), javascriptKeycodes!A:C, 3, FALSE))</f>
        <v>key_j</v>
      </c>
      <c r="K8" s="4" t="str">
        <f t="shared" si="0"/>
        <v>CTRL_SHIFT_J</v>
      </c>
      <c r="L8" t="s">
        <v>1667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25">
      <c r="A9">
        <v>7</v>
      </c>
      <c r="B9" t="b">
        <v>0</v>
      </c>
      <c r="C9" t="b">
        <v>0</v>
      </c>
      <c r="D9" t="s">
        <v>156</v>
      </c>
      <c r="E9" t="b">
        <v>1</v>
      </c>
      <c r="F9" s="4"/>
      <c r="G9" s="4"/>
      <c r="H9" s="4" t="s">
        <v>248</v>
      </c>
      <c r="I9" s="4">
        <f>IF(ISBLANK(H9), "", VLOOKUP(LOWER(H9), javascriptKeycodes!A:B, 2, FALSE))</f>
        <v>80</v>
      </c>
      <c r="J9" s="4" t="str">
        <f>IF(ISBLANK(H9), "", VLOOKUP(LOWER(H9), javascriptKeycodes!A:C, 3, FALSE))</f>
        <v>key_p</v>
      </c>
      <c r="K9" s="4" t="str">
        <f t="shared" si="0"/>
        <v>CTRL_P</v>
      </c>
      <c r="L9" t="s">
        <v>1667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25">
      <c r="A10">
        <v>8</v>
      </c>
      <c r="B10" t="b">
        <v>1</v>
      </c>
      <c r="C10" t="b">
        <v>0</v>
      </c>
      <c r="D10" t="s">
        <v>15</v>
      </c>
      <c r="F10" s="4" t="b">
        <v>1</v>
      </c>
      <c r="G10" s="4"/>
      <c r="H10" s="4" t="s">
        <v>243</v>
      </c>
      <c r="I10" s="4">
        <f>IF(ISBLANK(H10), "", VLOOKUP(LOWER(H10), javascriptKeycodes!A:B, 2, FALSE))</f>
        <v>83</v>
      </c>
      <c r="J10" s="4" t="str">
        <f>IF(ISBLANK(H10), "", VLOOKUP(LOWER(H10), javascriptKeycodes!A:C, 3, FALSE))</f>
        <v>key_s</v>
      </c>
      <c r="K10" s="4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25">
      <c r="A11">
        <v>9</v>
      </c>
      <c r="B11" t="b">
        <v>0</v>
      </c>
      <c r="C11" t="b">
        <v>0</v>
      </c>
      <c r="D11" t="s">
        <v>157</v>
      </c>
      <c r="E11" t="b">
        <v>1</v>
      </c>
      <c r="F11" s="4"/>
      <c r="G11" s="4"/>
      <c r="H11" s="4" t="s">
        <v>249</v>
      </c>
      <c r="I11" s="4">
        <f>IF(ISBLANK(H11), "", VLOOKUP(LOWER(H11), javascriptKeycodes!A:B, 2, FALSE))</f>
        <v>85</v>
      </c>
      <c r="J11" s="4" t="str">
        <f>IF(ISBLANK(H11), "", VLOOKUP(LOWER(H11), javascriptKeycodes!A:C, 3, FALSE))</f>
        <v>key_u</v>
      </c>
      <c r="K11" s="4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25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4"/>
      <c r="G12" s="4"/>
      <c r="H12" s="4" t="s">
        <v>254</v>
      </c>
      <c r="I12" s="4">
        <f>IF(ISBLANK(H12), "", VLOOKUP(LOWER(H12), javascriptKeycodes!A:B, 2, FALSE))</f>
        <v>69</v>
      </c>
      <c r="J12" s="4" t="str">
        <f>IF(ISBLANK(H12), "", VLOOKUP(LOWER(H12), javascriptKeycodes!A:C, 3, FALSE))</f>
        <v>key_e</v>
      </c>
      <c r="K12" s="4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25">
      <c r="A13">
        <v>11</v>
      </c>
      <c r="B13" t="b">
        <v>0</v>
      </c>
      <c r="C13" t="b">
        <v>0</v>
      </c>
      <c r="D13" t="s">
        <v>19</v>
      </c>
      <c r="E13" t="b">
        <v>1</v>
      </c>
      <c r="F13" s="4"/>
      <c r="G13" s="4" t="b">
        <v>1</v>
      </c>
      <c r="H13" s="4" t="s">
        <v>243</v>
      </c>
      <c r="I13" s="4">
        <f>IF(ISBLANK(H13), "", VLOOKUP(LOWER(H13), javascriptKeycodes!A:B, 2, FALSE))</f>
        <v>83</v>
      </c>
      <c r="J13" s="4" t="str">
        <f>IF(ISBLANK(H13), "", VLOOKUP(LOWER(H13), javascriptKeycodes!A:C, 3, FALSE))</f>
        <v>key_s</v>
      </c>
      <c r="K13" s="4" t="str">
        <f t="shared" si="0"/>
        <v>CTRL_SHIFT_S</v>
      </c>
      <c r="L13" t="s">
        <v>1667</v>
      </c>
      <c r="M13" t="s">
        <v>202</v>
      </c>
      <c r="N13" t="s">
        <v>1156</v>
      </c>
      <c r="O13" t="s">
        <v>448</v>
      </c>
      <c r="P13" t="s">
        <v>482</v>
      </c>
    </row>
    <row r="14" spans="1:20" x14ac:dyDescent="0.25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4"/>
      <c r="G14" s="4" t="b">
        <v>1</v>
      </c>
      <c r="H14" s="4" t="s">
        <v>257</v>
      </c>
      <c r="I14" s="4">
        <f>IF(ISBLANK(H14), "", VLOOKUP(LOWER(H14), javascriptKeycodes!A:B, 2, FALSE))</f>
        <v>86</v>
      </c>
      <c r="J14" s="4" t="str">
        <f>IF(ISBLANK(H14), "", VLOOKUP(LOWER(H14), javascriptKeycodes!A:C, 3, FALSE))</f>
        <v>key_v</v>
      </c>
      <c r="K14" s="4" t="str">
        <f t="shared" si="0"/>
        <v>CTRL_SHIFT_V</v>
      </c>
      <c r="L14" t="s">
        <v>766</v>
      </c>
      <c r="M14" t="s">
        <v>1155</v>
      </c>
      <c r="N14" t="s">
        <v>1157</v>
      </c>
      <c r="O14" t="s">
        <v>1156</v>
      </c>
      <c r="P14" t="s">
        <v>1158</v>
      </c>
    </row>
    <row r="15" spans="1:20" x14ac:dyDescent="0.25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4"/>
      <c r="G15" s="4"/>
      <c r="H15" s="4" t="s">
        <v>255</v>
      </c>
      <c r="I15" s="4">
        <f>IF(ISBLANK(H15), "", VLOOKUP(LOWER(H15), javascriptKeycodes!A:B, 2, FALSE))</f>
        <v>75</v>
      </c>
      <c r="J15" s="4" t="str">
        <f>IF(ISBLANK(H15), "", VLOOKUP(LOWER(H15), javascriptKeycodes!A:C, 3, FALSE))</f>
        <v>key_k</v>
      </c>
      <c r="K15" s="4" t="str">
        <f t="shared" si="0"/>
        <v>CTRL_K</v>
      </c>
      <c r="L15" t="s">
        <v>868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25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4"/>
      <c r="G16" s="4" t="b">
        <v>1</v>
      </c>
      <c r="H16" s="4" t="s">
        <v>255</v>
      </c>
      <c r="I16" s="4">
        <f>IF(ISBLANK(H16), "", VLOOKUP(LOWER(H16), javascriptKeycodes!A:B, 2, FALSE))</f>
        <v>75</v>
      </c>
      <c r="J16" s="4" t="str">
        <f>IF(ISBLANK(H16), "", VLOOKUP(LOWER(H16), javascriptKeycodes!A:C, 3, FALSE))</f>
        <v>key_k</v>
      </c>
      <c r="K16" s="4" t="str">
        <f t="shared" si="0"/>
        <v>CTRL_SHIFT_K</v>
      </c>
      <c r="L16" t="s">
        <v>869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25">
      <c r="A17">
        <v>15</v>
      </c>
      <c r="B17" t="b">
        <v>1</v>
      </c>
      <c r="C17" t="b">
        <v>0</v>
      </c>
      <c r="D17" t="s">
        <v>188</v>
      </c>
      <c r="F17" s="4" t="b">
        <v>1</v>
      </c>
      <c r="G17" s="4"/>
      <c r="H17" s="4" t="s">
        <v>254</v>
      </c>
      <c r="I17" s="4">
        <f>IF(ISBLANK(H17), "", VLOOKUP(LOWER(H17), javascriptKeycodes!A:B, 2, FALSE))</f>
        <v>69</v>
      </c>
      <c r="J17" s="4" t="str">
        <f>IF(ISBLANK(H17), "", VLOOKUP(LOWER(H17), javascriptKeycodes!A:C, 3, FALSE))</f>
        <v>key_e</v>
      </c>
      <c r="K17" s="4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25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4" t="s">
        <v>243</v>
      </c>
      <c r="I18" s="4">
        <f>IF(ISBLANK(H18), "", VLOOKUP(LOWER(H18), javascriptKeycodes!A:B, 2, FALSE))</f>
        <v>83</v>
      </c>
      <c r="J18" s="4" t="str">
        <f>IF(ISBLANK(H18), "", VLOOKUP(LOWER(H18), javascriptKeycodes!A:C, 3, FALSE))</f>
        <v>key_s</v>
      </c>
      <c r="K18" s="4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25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4"/>
      <c r="G19" s="4"/>
      <c r="H19" s="4" t="s">
        <v>264</v>
      </c>
      <c r="I19" s="4">
        <f>IF(ISBLANK(H19), "", VLOOKUP(LOWER(H19), javascriptKeycodes!A:B, 2, FALSE))</f>
        <v>65</v>
      </c>
      <c r="J19" s="4" t="str">
        <f>IF(ISBLANK(H19), "", VLOOKUP(LOWER(H19), javascriptKeycodes!A:C, 3, FALSE))</f>
        <v>key_a</v>
      </c>
      <c r="K19" s="4" t="str">
        <f t="shared" si="0"/>
        <v>CTRL_A</v>
      </c>
      <c r="L19" t="s">
        <v>870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25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4"/>
      <c r="G20" s="4" t="b">
        <v>1</v>
      </c>
      <c r="H20" s="4" t="s">
        <v>264</v>
      </c>
      <c r="I20" s="4">
        <f>IF(ISBLANK(H20), "", VLOOKUP(LOWER(H20), javascriptKeycodes!A:B, 2, FALSE))</f>
        <v>65</v>
      </c>
      <c r="J20" s="4" t="str">
        <f>IF(ISBLANK(H20), "", VLOOKUP(LOWER(H20), javascriptKeycodes!A:C, 3, FALSE))</f>
        <v>key_a</v>
      </c>
      <c r="K20" s="4" t="str">
        <f t="shared" si="0"/>
        <v>CTRL_SHIFT_A</v>
      </c>
      <c r="L20" t="s">
        <v>871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25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4"/>
      <c r="G21" s="4"/>
      <c r="H21" s="4" t="s">
        <v>256</v>
      </c>
      <c r="I21" s="4">
        <f>IF(ISBLANK(H21), "", VLOOKUP(LOWER(H21), javascriptKeycodes!A:B, 2, FALSE))</f>
        <v>88</v>
      </c>
      <c r="J21" s="4" t="str">
        <f>IF(ISBLANK(H21), "", VLOOKUP(LOWER(H21), javascriptKeycodes!A:C, 3, FALSE))</f>
        <v>key_x</v>
      </c>
      <c r="K21" s="4" t="str">
        <f t="shared" si="0"/>
        <v>CTRL_X</v>
      </c>
      <c r="L21" t="s">
        <v>912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25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4"/>
      <c r="G22" s="4"/>
      <c r="H22" s="4" t="s">
        <v>244</v>
      </c>
      <c r="I22" s="4">
        <f>IF(ISBLANK(H22), "", VLOOKUP(LOWER(H22), javascriptKeycodes!A:B, 2, FALSE))</f>
        <v>67</v>
      </c>
      <c r="J22" s="4" t="str">
        <f>IF(ISBLANK(H22), "", VLOOKUP(LOWER(H22), javascriptKeycodes!A:C, 3, FALSE))</f>
        <v>key_c</v>
      </c>
      <c r="K22" s="4" t="str">
        <f t="shared" si="0"/>
        <v>CTRL_C</v>
      </c>
      <c r="L22" t="s">
        <v>909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25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4"/>
      <c r="G23" s="4"/>
      <c r="H23" s="4" t="s">
        <v>257</v>
      </c>
      <c r="I23" s="4">
        <f>IF(ISBLANK(H23), "", VLOOKUP(LOWER(H23), javascriptKeycodes!A:B, 2, FALSE))</f>
        <v>86</v>
      </c>
      <c r="J23" s="4" t="str">
        <f>IF(ISBLANK(H23), "", VLOOKUP(LOWER(H23), javascriptKeycodes!A:C, 3, FALSE))</f>
        <v>key_v</v>
      </c>
      <c r="K23" s="4" t="str">
        <f t="shared" si="0"/>
        <v>CTRL_V</v>
      </c>
      <c r="L23" t="s">
        <v>910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25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4"/>
      <c r="G24" s="4" t="b">
        <v>1</v>
      </c>
      <c r="H24" s="4" t="s">
        <v>244</v>
      </c>
      <c r="I24" s="4">
        <f>IF(ISBLANK(H24), "", VLOOKUP(LOWER(H24), javascriptKeycodes!A:B, 2, FALSE))</f>
        <v>67</v>
      </c>
      <c r="J24" s="4" t="str">
        <f>IF(ISBLANK(H24), "", VLOOKUP(LOWER(H24), javascriptKeycodes!A:C, 3, FALSE))</f>
        <v>key_c</v>
      </c>
      <c r="K24" s="4" t="str">
        <f t="shared" si="0"/>
        <v>CTRL_SHIFT_C</v>
      </c>
      <c r="L24" t="s">
        <v>911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25">
      <c r="A25">
        <v>23</v>
      </c>
      <c r="B25" t="b">
        <v>0</v>
      </c>
      <c r="C25" t="b">
        <v>1</v>
      </c>
      <c r="D25" t="s">
        <v>166</v>
      </c>
      <c r="F25" s="4"/>
      <c r="G25" s="4"/>
      <c r="H25" s="4" t="s">
        <v>7</v>
      </c>
      <c r="I25" s="4">
        <f>IF(ISBLANK(H25), "", VLOOKUP(LOWER(H25), javascriptKeycodes!A:B, 2, FALSE))</f>
        <v>46</v>
      </c>
      <c r="J25" s="4" t="str">
        <f>IF(ISBLANK(H25), "", VLOOKUP(LOWER(H25), javascriptKeycodes!A:C, 3, FALSE))</f>
        <v>key_delete</v>
      </c>
      <c r="K25" s="4" t="str">
        <f t="shared" ref="K25:K27" si="2">IF(E25,"CTRL_","")&amp;IF(F25,"ALT_","")&amp;IF(G25,"SHIFT_","")&amp;H25</f>
        <v>delete</v>
      </c>
      <c r="L25" t="s">
        <v>1651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25">
      <c r="A26">
        <v>24</v>
      </c>
      <c r="B26" t="b">
        <v>0</v>
      </c>
      <c r="C26" t="b">
        <v>1</v>
      </c>
      <c r="D26" t="s">
        <v>17</v>
      </c>
      <c r="E26" t="b">
        <v>1</v>
      </c>
      <c r="F26" s="4"/>
      <c r="G26" s="4"/>
      <c r="H26" s="4" t="s">
        <v>245</v>
      </c>
      <c r="I26" s="4">
        <f>IF(ISBLANK(H26), "", VLOOKUP(LOWER(H26), javascriptKeycodes!A:B, 2, FALSE))</f>
        <v>68</v>
      </c>
      <c r="J26" s="4" t="str">
        <f>IF(ISBLANK(H26), "", VLOOKUP(LOWER(H26), javascriptKeycodes!A:C, 3, FALSE))</f>
        <v>key_d</v>
      </c>
      <c r="K26" s="4" t="str">
        <f t="shared" ref="K26" si="3">IF(E26,"CTRL_","")&amp;IF(F26,"ALT_","")&amp;IF(G26,"SHIFT_","")&amp;H26</f>
        <v>CTRL_D</v>
      </c>
      <c r="L26" t="s">
        <v>1658</v>
      </c>
      <c r="M26" t="s">
        <v>1654</v>
      </c>
      <c r="N26" t="s">
        <v>1656</v>
      </c>
      <c r="O26" t="s">
        <v>1655</v>
      </c>
      <c r="P26" t="s">
        <v>1657</v>
      </c>
    </row>
    <row r="27" spans="1:16" x14ac:dyDescent="0.25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4"/>
      <c r="G27" s="4"/>
      <c r="H27" s="4" t="s">
        <v>258</v>
      </c>
      <c r="I27" s="4">
        <f>IF(ISBLANK(H27), "", VLOOKUP(LOWER(H27), javascriptKeycodes!A:B, 2, FALSE))</f>
        <v>90</v>
      </c>
      <c r="J27" s="4" t="str">
        <f>IF(ISBLANK(H27), "", VLOOKUP(LOWER(H27), javascriptKeycodes!A:C, 3, FALSE))</f>
        <v>key_z</v>
      </c>
      <c r="K27" s="4" t="str">
        <f t="shared" si="2"/>
        <v>CTRL_Z</v>
      </c>
      <c r="L27" t="s">
        <v>1652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25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4"/>
      <c r="G28" s="4" t="b">
        <v>1</v>
      </c>
      <c r="H28" s="4" t="s">
        <v>258</v>
      </c>
      <c r="I28" s="4">
        <f>IF(ISBLANK(H28), "", VLOOKUP(LOWER(H28), javascriptKeycodes!A:B, 2, FALSE))</f>
        <v>90</v>
      </c>
      <c r="J28" s="4" t="str">
        <f>IF(ISBLANK(H28), "", VLOOKUP(LOWER(H28), javascriptKeycodes!A:C, 3, FALSE))</f>
        <v>key_z</v>
      </c>
      <c r="K28" s="4" t="str">
        <f t="shared" ref="K28:K47" si="4">IF(E28,"CTRL_","")&amp;IF(F28,"ALT_","")&amp;IF(G28,"SHIFT_","")&amp;H28</f>
        <v>CTRL_SHIFT_Z</v>
      </c>
      <c r="L28" t="s">
        <v>1653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25">
      <c r="A29">
        <v>27</v>
      </c>
      <c r="B29" t="b">
        <v>1</v>
      </c>
      <c r="C29" t="b">
        <v>0</v>
      </c>
      <c r="D29" t="s">
        <v>894</v>
      </c>
      <c r="F29" s="4" t="b">
        <v>1</v>
      </c>
      <c r="G29" s="4"/>
      <c r="H29" s="4" t="s">
        <v>611</v>
      </c>
      <c r="I29" s="4">
        <f>IF(ISBLANK(H29), "", VLOOKUP(LOWER(H29), javascriptKeycodes!A:B, 2, FALSE))</f>
        <v>78</v>
      </c>
      <c r="J29" s="4" t="str">
        <f>IF(ISBLANK(H29), "", VLOOKUP(LOWER(H29), javascriptKeycodes!A:C, 3, FALSE))</f>
        <v>key_n</v>
      </c>
      <c r="K29" s="4" t="str">
        <f t="shared" si="4"/>
        <v>ALT_N</v>
      </c>
      <c r="M29" t="s">
        <v>895</v>
      </c>
      <c r="N29" t="s">
        <v>897</v>
      </c>
      <c r="O29" t="s">
        <v>896</v>
      </c>
      <c r="P29" t="s">
        <v>898</v>
      </c>
    </row>
    <row r="30" spans="1:16" x14ac:dyDescent="0.25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4"/>
      <c r="G30" s="4"/>
      <c r="H30" s="4" t="s">
        <v>404</v>
      </c>
      <c r="I30" s="4">
        <f>IF(ISBLANK(H30), "", VLOOKUP(LOWER(H30), javascriptKeycodes!A:B, 2, FALSE))</f>
        <v>107</v>
      </c>
      <c r="J30" s="4" t="str">
        <f>IF(ISBLANK(H30), "", VLOOKUP(LOWER(H30), javascriptKeycodes!A:C, 3, FALSE))</f>
        <v>key_add</v>
      </c>
      <c r="K30" s="4" t="str">
        <f t="shared" si="4"/>
        <v>CTRL_add</v>
      </c>
      <c r="L30" t="s">
        <v>875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25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4"/>
      <c r="G31" s="4"/>
      <c r="H31" s="4" t="s">
        <v>405</v>
      </c>
      <c r="I31" s="4">
        <f>IF(ISBLANK(H31), "", VLOOKUP(LOWER(H31), javascriptKeycodes!A:B, 2, FALSE))</f>
        <v>109</v>
      </c>
      <c r="J31" s="4" t="str">
        <f>IF(ISBLANK(H31), "", VLOOKUP(LOWER(H31), javascriptKeycodes!A:C, 3, FALSE))</f>
        <v>key_sub</v>
      </c>
      <c r="K31" s="4" t="str">
        <f t="shared" si="4"/>
        <v>CTRL_subtract</v>
      </c>
      <c r="L31" t="s">
        <v>874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25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4"/>
      <c r="G32" s="4"/>
      <c r="H32" s="4" t="s">
        <v>666</v>
      </c>
      <c r="I32" s="4">
        <f>IF(ISBLANK(H32), "", VLOOKUP(LOWER(H32), javascriptKeycodes!A:B, 2, FALSE))</f>
        <v>48</v>
      </c>
      <c r="J32" s="4" t="str">
        <f>IF(ISBLANK(H32), "", VLOOKUP(LOWER(H32), javascriptKeycodes!A:C, 3, FALSE))</f>
        <v>key_0</v>
      </c>
      <c r="K32" s="4" t="str">
        <f t="shared" si="4"/>
        <v>CTRL_K_0</v>
      </c>
      <c r="L32" t="s">
        <v>876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25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4"/>
      <c r="G33" s="4" t="b">
        <v>1</v>
      </c>
      <c r="H33" s="4" t="s">
        <v>666</v>
      </c>
      <c r="I33" s="4">
        <f>IF(ISBLANK(H33), "", VLOOKUP(LOWER(H33), javascriptKeycodes!A:B, 2, FALSE))</f>
        <v>48</v>
      </c>
      <c r="J33" s="4" t="str">
        <f>IF(ISBLANK(H33), "", VLOOKUP(LOWER(H33), javascriptKeycodes!A:C, 3, FALSE))</f>
        <v>key_0</v>
      </c>
      <c r="K33" s="4" t="str">
        <f t="shared" si="4"/>
        <v>CTRL_SHIFT_K_0</v>
      </c>
      <c r="L33" t="s">
        <v>877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25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4" t="b">
        <v>1</v>
      </c>
      <c r="G34" s="4" t="b">
        <v>1</v>
      </c>
      <c r="H34" s="4" t="s">
        <v>264</v>
      </c>
      <c r="I34" s="4">
        <f>IF(ISBLANK(H34), "", VLOOKUP(LOWER(H34), javascriptKeycodes!A:B, 2, FALSE))</f>
        <v>65</v>
      </c>
      <c r="J34" s="4" t="str">
        <f>IF(ISBLANK(H34), "", VLOOKUP(LOWER(H34), javascriptKeycodes!A:C, 3, FALSE))</f>
        <v>key_a</v>
      </c>
      <c r="K34" s="4" t="str">
        <f t="shared" si="4"/>
        <v>CTRL_ALT_SHIFT_A</v>
      </c>
      <c r="L34" t="s">
        <v>1667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25">
      <c r="A35">
        <v>33</v>
      </c>
      <c r="B35" t="b">
        <v>1</v>
      </c>
      <c r="C35" t="b">
        <v>0</v>
      </c>
      <c r="D35" t="s">
        <v>189</v>
      </c>
      <c r="F35" s="4" t="b">
        <v>1</v>
      </c>
      <c r="G35" s="4"/>
      <c r="H35" s="4" t="s">
        <v>257</v>
      </c>
      <c r="I35" s="4">
        <f>IF(ISBLANK(H35), "", VLOOKUP(LOWER(H35), javascriptKeycodes!A:B, 2, FALSE))</f>
        <v>86</v>
      </c>
      <c r="J35" s="4" t="str">
        <f>IF(ISBLANK(H35), "", VLOOKUP(LOWER(H35), javascriptKeycodes!A:C, 3, FALSE))</f>
        <v>key_v</v>
      </c>
      <c r="K35" s="4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25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4" t="b">
        <v>1</v>
      </c>
      <c r="G36" s="4" t="b">
        <v>1</v>
      </c>
      <c r="H36" s="4" t="s">
        <v>261</v>
      </c>
      <c r="I36" s="4">
        <f>IF(ISBLANK(H36), "", VLOOKUP(LOWER(H36), javascriptKeycodes!A:B, 2, FALSE))</f>
        <v>70</v>
      </c>
      <c r="J36" s="4" t="str">
        <f>IF(ISBLANK(H36), "", VLOOKUP(LOWER(H36), javascriptKeycodes!A:C, 3, FALSE))</f>
        <v>key_f</v>
      </c>
      <c r="K36" s="4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25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4"/>
      <c r="G37" s="4"/>
      <c r="H37" s="4" t="s">
        <v>247</v>
      </c>
      <c r="I37" s="4">
        <f>IF(ISBLANK(H37), "", VLOOKUP(LOWER(H37), javascriptKeycodes!A:B, 2, FALSE))</f>
        <v>77</v>
      </c>
      <c r="J37" s="4" t="str">
        <f>IF(ISBLANK(H37), "", VLOOKUP(LOWER(H37), javascriptKeycodes!A:C, 3, FALSE))</f>
        <v>key_m</v>
      </c>
      <c r="K37" s="4" t="str">
        <f t="shared" si="4"/>
        <v>CTRL_M</v>
      </c>
      <c r="L37" t="s">
        <v>872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25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4"/>
      <c r="G38" s="4" t="b">
        <v>1</v>
      </c>
      <c r="H38" s="4" t="s">
        <v>247</v>
      </c>
      <c r="I38" s="4">
        <f>IF(ISBLANK(H38), "", VLOOKUP(LOWER(H38), javascriptKeycodes!A:B, 2, FALSE))</f>
        <v>77</v>
      </c>
      <c r="J38" s="4" t="str">
        <f>IF(ISBLANK(H38), "", VLOOKUP(LOWER(H38), javascriptKeycodes!A:C, 3, FALSE))</f>
        <v>key_m</v>
      </c>
      <c r="K38" s="4" t="str">
        <f t="shared" si="4"/>
        <v>CTRL_SHIFT_M</v>
      </c>
      <c r="L38" t="s">
        <v>873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25">
      <c r="A39">
        <v>37</v>
      </c>
      <c r="B39" t="b">
        <v>0</v>
      </c>
      <c r="C39" t="b">
        <v>0</v>
      </c>
      <c r="D39" t="s">
        <v>964</v>
      </c>
      <c r="E39" t="b">
        <v>1</v>
      </c>
      <c r="F39" s="4"/>
      <c r="G39" s="4"/>
      <c r="H39" s="4" t="s">
        <v>250</v>
      </c>
      <c r="I39" s="4">
        <f>IF(ISBLANK(H39), "", VLOOKUP(LOWER(H39), javascriptKeycodes!A:B, 2, FALSE))</f>
        <v>82</v>
      </c>
      <c r="J39" s="4" t="str">
        <f>IF(ISBLANK(H39), "", VLOOKUP(LOWER(H39), javascriptKeycodes!A:C, 3, FALSE))</f>
        <v>key_r</v>
      </c>
      <c r="K39" s="4" t="str">
        <f t="shared" si="4"/>
        <v>CTRL_R</v>
      </c>
      <c r="L39" t="s">
        <v>887</v>
      </c>
      <c r="M39" t="s">
        <v>878</v>
      </c>
      <c r="N39" t="s">
        <v>879</v>
      </c>
      <c r="O39" t="s">
        <v>882</v>
      </c>
      <c r="P39" t="s">
        <v>884</v>
      </c>
    </row>
    <row r="40" spans="1:16" x14ac:dyDescent="0.25">
      <c r="A40">
        <v>38</v>
      </c>
      <c r="B40" t="b">
        <v>0</v>
      </c>
      <c r="C40" t="b">
        <v>1</v>
      </c>
      <c r="D40" t="s">
        <v>965</v>
      </c>
      <c r="E40" t="b">
        <v>1</v>
      </c>
      <c r="F40" s="4"/>
      <c r="G40" s="4" t="b">
        <v>1</v>
      </c>
      <c r="H40" s="4" t="s">
        <v>250</v>
      </c>
      <c r="I40" s="4">
        <f>IF(ISBLANK(H40), "", VLOOKUP(LOWER(H40), javascriptKeycodes!A:B, 2, FALSE))</f>
        <v>82</v>
      </c>
      <c r="J40" s="4" t="str">
        <f>IF(ISBLANK(H40), "", VLOOKUP(LOWER(H40), javascriptKeycodes!A:C, 3, FALSE))</f>
        <v>key_r</v>
      </c>
      <c r="K40" s="4" t="str">
        <f t="shared" si="4"/>
        <v>CTRL_SHIFT_R</v>
      </c>
      <c r="L40" t="s">
        <v>886</v>
      </c>
      <c r="M40" t="s">
        <v>881</v>
      </c>
      <c r="N40" t="s">
        <v>880</v>
      </c>
      <c r="O40" t="s">
        <v>883</v>
      </c>
      <c r="P40" t="s">
        <v>885</v>
      </c>
    </row>
    <row r="41" spans="1:16" x14ac:dyDescent="0.25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4"/>
      <c r="G41" s="4"/>
      <c r="H41" s="4" t="s">
        <v>261</v>
      </c>
      <c r="I41" s="4">
        <f>IF(ISBLANK(H41), "", VLOOKUP(LOWER(H41), javascriptKeycodes!A:B, 2, FALSE))</f>
        <v>70</v>
      </c>
      <c r="J41" s="4" t="str">
        <f>IF(ISBLANK(H41), "", VLOOKUP(LOWER(H41), javascriptKeycodes!A:C, 3, FALSE))</f>
        <v>key_f</v>
      </c>
      <c r="K41" s="4" t="str">
        <f t="shared" si="4"/>
        <v>CTRL_F</v>
      </c>
      <c r="L41" t="s">
        <v>907</v>
      </c>
      <c r="M41" t="s">
        <v>899</v>
      </c>
      <c r="N41" t="s">
        <v>903</v>
      </c>
      <c r="O41" t="s">
        <v>901</v>
      </c>
      <c r="P41" t="s">
        <v>905</v>
      </c>
    </row>
    <row r="42" spans="1:16" x14ac:dyDescent="0.25">
      <c r="A42">
        <v>40</v>
      </c>
      <c r="B42" t="b">
        <v>0</v>
      </c>
      <c r="C42" t="b">
        <v>0</v>
      </c>
      <c r="D42" t="s">
        <v>975</v>
      </c>
      <c r="E42" t="b">
        <v>1</v>
      </c>
      <c r="F42" s="4"/>
      <c r="G42" s="4"/>
      <c r="H42" s="4" t="s">
        <v>265</v>
      </c>
      <c r="I42" s="4">
        <f>IF(ISBLANK(H42), "", VLOOKUP(LOWER(H42), javascriptKeycodes!A:B, 2, FALSE))</f>
        <v>66</v>
      </c>
      <c r="J42" s="4" t="str">
        <f>IF(ISBLANK(H42), "", VLOOKUP(LOWER(H42), javascriptKeycodes!A:C, 3, FALSE))</f>
        <v>key_b</v>
      </c>
      <c r="K42" s="4" t="str">
        <f t="shared" si="4"/>
        <v>CTRL_B</v>
      </c>
      <c r="L42" t="s">
        <v>908</v>
      </c>
      <c r="M42" t="s">
        <v>900</v>
      </c>
      <c r="N42" t="s">
        <v>904</v>
      </c>
      <c r="O42" t="s">
        <v>902</v>
      </c>
      <c r="P42" t="s">
        <v>906</v>
      </c>
    </row>
    <row r="43" spans="1:16" x14ac:dyDescent="0.25">
      <c r="A43">
        <v>41</v>
      </c>
      <c r="B43" t="b">
        <v>0</v>
      </c>
      <c r="C43" t="b">
        <v>0</v>
      </c>
      <c r="D43" t="s">
        <v>280</v>
      </c>
      <c r="F43" s="4"/>
      <c r="G43" s="4"/>
      <c r="H43" s="4"/>
      <c r="I43" s="4" t="str">
        <f>IF(ISBLANK(H43), "", VLOOKUP(LOWER(H43), javascriptKeycodes!A:B, 2, FALSE))</f>
        <v/>
      </c>
      <c r="J43" s="4" t="str">
        <f>IF(ISBLANK(H43), "", VLOOKUP(LOWER(H43), javascriptKeycodes!A:C, 3, FALSE))</f>
        <v/>
      </c>
      <c r="K43" s="4" t="str">
        <f t="shared" si="4"/>
        <v/>
      </c>
      <c r="L43" t="s">
        <v>963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25">
      <c r="A44">
        <v>42</v>
      </c>
      <c r="B44" t="b">
        <v>1</v>
      </c>
      <c r="C44" t="b">
        <v>0</v>
      </c>
      <c r="D44" t="s">
        <v>191</v>
      </c>
      <c r="F44" s="4" t="b">
        <v>1</v>
      </c>
      <c r="G44" s="4"/>
      <c r="H44" s="4" t="s">
        <v>267</v>
      </c>
      <c r="I44" s="4">
        <f>IF(ISBLANK(H44), "", VLOOKUP(LOWER(H44), javascriptKeycodes!A:B, 2, FALSE))</f>
        <v>72</v>
      </c>
      <c r="J44" s="4" t="str">
        <f>IF(ISBLANK(H44), "", VLOOKUP(LOWER(H44), javascriptKeycodes!A:C, 3, FALSE))</f>
        <v>key_h</v>
      </c>
      <c r="K44" s="4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25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4"/>
      <c r="G45" s="4"/>
      <c r="H45" s="4" t="s">
        <v>267</v>
      </c>
      <c r="I45" s="4">
        <f>IF(ISBLANK(H45), "", VLOOKUP(LOWER(H45), javascriptKeycodes!A:B, 2, FALSE))</f>
        <v>72</v>
      </c>
      <c r="J45" s="4" t="str">
        <f>IF(ISBLANK(H45), "", VLOOKUP(LOWER(H45), javascriptKeycodes!A:C, 3, FALSE))</f>
        <v>key_h</v>
      </c>
      <c r="K45" s="4" t="str">
        <f t="shared" si="4"/>
        <v>CTRL_H</v>
      </c>
      <c r="L45" t="s">
        <v>1667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25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4"/>
      <c r="G46" s="4" t="b">
        <v>1</v>
      </c>
      <c r="H46" s="4" t="s">
        <v>267</v>
      </c>
      <c r="I46" s="4">
        <f>IF(ISBLANK(H46), "", VLOOKUP(LOWER(H46), javascriptKeycodes!A:B, 2, FALSE))</f>
        <v>72</v>
      </c>
      <c r="J46" s="4" t="str">
        <f>IF(ISBLANK(H46), "", VLOOKUP(LOWER(H46), javascriptKeycodes!A:C, 3, FALSE))</f>
        <v>key_h</v>
      </c>
      <c r="K46" s="4" t="str">
        <f t="shared" si="4"/>
        <v>CTRL_SHIFT_H</v>
      </c>
      <c r="L46" t="s">
        <v>1667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25">
      <c r="A47">
        <v>45</v>
      </c>
      <c r="B47" t="b">
        <v>0</v>
      </c>
      <c r="C47" t="b">
        <v>0</v>
      </c>
      <c r="D47" t="s">
        <v>185</v>
      </c>
      <c r="F47" s="4"/>
      <c r="G47" s="4"/>
      <c r="H47" s="4"/>
      <c r="I47" s="4" t="str">
        <f>IF(ISBLANK(H47), "", VLOOKUP(LOWER(H47), javascriptKeycodes!A:B, 2, FALSE))</f>
        <v/>
      </c>
      <c r="J47" s="4" t="str">
        <f>IF(ISBLANK(H47), "", VLOOKUP(LOWER(H47), javascriptKeycodes!A:C, 3, FALSE))</f>
        <v/>
      </c>
      <c r="K47" s="4" t="str">
        <f t="shared" si="4"/>
        <v/>
      </c>
      <c r="L47" t="s">
        <v>1667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25">
      <c r="A48">
        <v>46</v>
      </c>
      <c r="B48" t="b">
        <v>1</v>
      </c>
      <c r="C48" t="b">
        <v>0</v>
      </c>
      <c r="D48" t="s">
        <v>1733</v>
      </c>
      <c r="F48" s="4"/>
      <c r="G48" s="4"/>
      <c r="H48" s="4"/>
      <c r="I48" s="4" t="str">
        <f>IF(ISBLANK(H48), "", VLOOKUP(LOWER(H48), javascriptKeycodes!A:B, 2, FALSE))</f>
        <v/>
      </c>
      <c r="J48" s="4" t="str">
        <f>IF(ISBLANK(H48), "", VLOOKUP(LOWER(H48), javascriptKeycodes!A:C, 3, FALSE))</f>
        <v/>
      </c>
      <c r="K48" s="4" t="str">
        <f>IF(E48,"CTRL_","")&amp;IF(F48,"ALT_","")&amp;IF(G48,"SHIFT_","")&amp;H48</f>
        <v/>
      </c>
      <c r="M48" t="s">
        <v>1732</v>
      </c>
      <c r="N48" t="s">
        <v>1737</v>
      </c>
      <c r="O48" t="s">
        <v>1740</v>
      </c>
      <c r="P48" t="s">
        <v>1743</v>
      </c>
    </row>
    <row r="49" spans="1:17" x14ac:dyDescent="0.25">
      <c r="A49">
        <v>47</v>
      </c>
      <c r="B49" t="b">
        <v>0</v>
      </c>
      <c r="C49" t="b">
        <v>0</v>
      </c>
      <c r="D49" t="s">
        <v>1920</v>
      </c>
      <c r="F49" s="4"/>
      <c r="G49" s="4"/>
      <c r="H49" s="4"/>
      <c r="I49" s="4" t="str">
        <f>IF(ISBLANK(H49), "", VLOOKUP(LOWER(H49), javascriptKeycodes!A:B, 2, FALSE))</f>
        <v/>
      </c>
      <c r="J49" s="4" t="str">
        <f>IF(ISBLANK(H49), "", VLOOKUP(LOWER(H49), javascriptKeycodes!A:C, 3, FALSE))</f>
        <v/>
      </c>
      <c r="K49" s="4" t="str">
        <f>IF(E49,"CTRL_","")&amp;IF(F49,"ALT_","")&amp;IF(G49,"SHIFT_","")&amp;H49</f>
        <v/>
      </c>
      <c r="L49" t="s">
        <v>1923</v>
      </c>
      <c r="M49" t="s">
        <v>1918</v>
      </c>
      <c r="N49" t="s">
        <v>1921</v>
      </c>
      <c r="O49" t="s">
        <v>1742</v>
      </c>
      <c r="P49" t="s">
        <v>1919</v>
      </c>
      <c r="Q49" t="s">
        <v>1922</v>
      </c>
    </row>
    <row r="50" spans="1:17" x14ac:dyDescent="0.25">
      <c r="A50">
        <v>48</v>
      </c>
      <c r="B50" t="b">
        <v>0</v>
      </c>
      <c r="C50" t="b">
        <v>0</v>
      </c>
      <c r="D50" t="s">
        <v>1734</v>
      </c>
      <c r="F50" s="4"/>
      <c r="G50" s="4"/>
      <c r="H50" s="4"/>
      <c r="I50" s="4" t="str">
        <f>IF(ISBLANK(H50), "", VLOOKUP(LOWER(H50), javascriptKeycodes!A:B, 2, FALSE))</f>
        <v/>
      </c>
      <c r="J50" s="4" t="str">
        <f>IF(ISBLANK(H50), "", VLOOKUP(LOWER(H50), javascriptKeycodes!A:C, 3, FALSE))</f>
        <v/>
      </c>
      <c r="K50" s="4" t="str">
        <f>IF(E50,"CTRL_","")&amp;IF(F50,"ALT_","")&amp;IF(G50,"SHIFT_","")&amp;H50</f>
        <v/>
      </c>
      <c r="L50" t="s">
        <v>1746</v>
      </c>
      <c r="M50" t="s">
        <v>1735</v>
      </c>
      <c r="N50" t="s">
        <v>1738</v>
      </c>
      <c r="O50" t="s">
        <v>1742</v>
      </c>
      <c r="P50" t="s">
        <v>1744</v>
      </c>
    </row>
    <row r="51" spans="1:17" x14ac:dyDescent="0.25">
      <c r="A51">
        <v>49</v>
      </c>
      <c r="B51" t="b">
        <v>0</v>
      </c>
      <c r="C51" t="b">
        <v>0</v>
      </c>
      <c r="D51" t="s">
        <v>1748</v>
      </c>
      <c r="F51" s="4"/>
      <c r="G51" s="4"/>
      <c r="H51" s="4"/>
      <c r="I51" s="4" t="str">
        <f>IF(ISBLANK(H51), "", VLOOKUP(LOWER(H51), javascriptKeycodes!A:B, 2, FALSE))</f>
        <v/>
      </c>
      <c r="J51" s="4" t="str">
        <f>IF(ISBLANK(H51), "", VLOOKUP(LOWER(H51), javascriptKeycodes!A:C, 3, FALSE))</f>
        <v/>
      </c>
      <c r="K51" s="4" t="str">
        <f>IF(E51,"CTRL_","")&amp;IF(F51,"ALT_","")&amp;IF(G51,"SHIFT_","")&amp;H51</f>
        <v/>
      </c>
      <c r="L51" t="s">
        <v>1747</v>
      </c>
      <c r="M51" t="s">
        <v>1736</v>
      </c>
      <c r="N51" t="s">
        <v>1739</v>
      </c>
      <c r="O51" t="s">
        <v>1741</v>
      </c>
      <c r="P51" t="s">
        <v>1745</v>
      </c>
    </row>
    <row r="52" spans="1:17" x14ac:dyDescent="0.25">
      <c r="F52" s="4"/>
      <c r="G52" s="4"/>
      <c r="H52" s="4"/>
      <c r="I52" s="4"/>
      <c r="J52" s="4"/>
      <c r="K52" s="4"/>
    </row>
    <row r="53" spans="1:17" x14ac:dyDescent="0.25">
      <c r="F53" s="4"/>
      <c r="G53" s="4"/>
      <c r="H53" s="4"/>
      <c r="I53" s="4"/>
      <c r="J53" s="4"/>
      <c r="K53" s="4"/>
    </row>
  </sheetData>
  <mergeCells count="3">
    <mergeCell ref="M1:N1"/>
    <mergeCell ref="O1:P1"/>
    <mergeCell ref="E1:K1"/>
  </mergeCells>
  <conditionalFormatting sqref="G54:G1048576">
    <cfRule type="duplicateValues" dxfId="10" priority="4"/>
  </conditionalFormatting>
  <conditionalFormatting sqref="K1:K1048576">
    <cfRule type="duplicateValues" dxfId="9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ColWidth="8.85546875" defaultRowHeight="15" x14ac:dyDescent="0.25"/>
  <cols>
    <col min="1" max="6" width="8.85546875" style="6"/>
    <col min="7" max="7" width="17.7109375" style="6" customWidth="1"/>
    <col min="8" max="8" width="27.28515625" style="8" customWidth="1"/>
    <col min="9" max="9" width="8.85546875" style="8"/>
    <col min="10" max="16384" width="8.85546875" style="6"/>
  </cols>
  <sheetData>
    <row r="1" spans="1:13" x14ac:dyDescent="0.25">
      <c r="A1" s="6" t="s">
        <v>239</v>
      </c>
      <c r="B1" s="7" t="s">
        <v>342</v>
      </c>
      <c r="C1" s="7" t="s">
        <v>240</v>
      </c>
      <c r="D1" s="7" t="s">
        <v>343</v>
      </c>
      <c r="E1" s="7" t="s">
        <v>344</v>
      </c>
      <c r="F1" s="7" t="s">
        <v>665</v>
      </c>
      <c r="G1" s="7" t="s">
        <v>345</v>
      </c>
      <c r="I1" s="8" t="str">
        <f>IF(ISBLANK(menu!K1),"",menu!K1)</f>
        <v/>
      </c>
      <c r="L1" s="9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25">
      <c r="A2" s="6" t="b">
        <v>1</v>
      </c>
      <c r="B2" s="7"/>
      <c r="C2" s="7"/>
      <c r="D2" s="7" t="s">
        <v>393</v>
      </c>
      <c r="E2" s="7">
        <f>IF(ISBLANK(D2), "", VLOOKUP(LOWER(D2), javascriptKeycodes!A:C, 2, FALSE))</f>
        <v>96</v>
      </c>
      <c r="F2" s="7" t="str">
        <f>IF(ISBLANK(D2), "", VLOOKUP(LOWER(D2), javascriptKeycodes!A:C, 3, FALSE))</f>
        <v>key_num_0</v>
      </c>
      <c r="G2" s="6" t="s">
        <v>876</v>
      </c>
      <c r="H2" s="8" t="str">
        <f>IF(A2,"CTRL_","")&amp;IF(B2,"ALT_","")&amp;IF(C2,"SHIFT_","")&amp;D2</f>
        <v>CTRL_numpad 0</v>
      </c>
      <c r="I2" s="8" t="str">
        <f>IF(ISBLANK(menu!K2),"",menu!K2)</f>
        <v>duplicate_check</v>
      </c>
      <c r="M2" s="6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25">
      <c r="A3" s="6" t="b">
        <v>1</v>
      </c>
      <c r="C3" s="6" t="b">
        <v>1</v>
      </c>
      <c r="D3" s="7" t="s">
        <v>393</v>
      </c>
      <c r="E3" s="7">
        <f>IF(ISBLANK(D3), "", VLOOKUP(LOWER(D3), javascriptKeycodes!A:C, 2, FALSE))</f>
        <v>96</v>
      </c>
      <c r="F3" s="7" t="str">
        <f>IF(ISBLANK(D3), "", VLOOKUP(LOWER(D3), javascriptKeycodes!A:C, 3, FALSE))</f>
        <v>key_num_0</v>
      </c>
      <c r="G3" s="6" t="s">
        <v>877</v>
      </c>
      <c r="H3" s="8" t="str">
        <f t="shared" ref="H3:H66" si="0">IF(A3,"CTRL_","")&amp;IF(B3,"ALT_","")&amp;IF(C3,"SHIFT_","")&amp;D3</f>
        <v>CTRL_SHIFT_numpad 0</v>
      </c>
      <c r="I3" s="8" t="str">
        <f>IF(ISBLANK(menu!K3),"",menu!K3)</f>
        <v>ALT_F</v>
      </c>
      <c r="M3" s="6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25">
      <c r="A4" s="6" t="b">
        <v>1</v>
      </c>
      <c r="D4" s="6" t="s">
        <v>425</v>
      </c>
      <c r="E4" s="7">
        <f>IF(ISBLANK(D4), "", VLOOKUP(LOWER(D4), javascriptKeycodes!A:C, 2, FALSE))</f>
        <v>189</v>
      </c>
      <c r="F4" s="7" t="str">
        <f>IF(ISBLANK(D4), "", VLOOKUP(LOWER(D4), javascriptKeycodes!A:C, 3, FALSE))</f>
        <v>key_dash</v>
      </c>
      <c r="G4" s="6" t="s">
        <v>874</v>
      </c>
      <c r="H4" s="8" t="str">
        <f t="shared" si="0"/>
        <v>CTRL_dash</v>
      </c>
      <c r="I4" s="8" t="str">
        <f>IF(ISBLANK(menu!K5),"",menu!K5)</f>
        <v>CTRL_SHIFT_L</v>
      </c>
      <c r="M4" s="6" t="str">
        <f t="shared" si="1"/>
        <v>{"ctrl":true,"alt":false,"shift":false,"keycode":"189","func":"mainSystem.navigate('zoomOut')"},</v>
      </c>
    </row>
    <row r="5" spans="1:13" x14ac:dyDescent="0.25">
      <c r="A5" s="6" t="b">
        <v>1</v>
      </c>
      <c r="D5" s="6" t="s">
        <v>423</v>
      </c>
      <c r="E5" s="7">
        <f>IF(ISBLANK(D5), "", VLOOKUP(LOWER(D5), javascriptKeycodes!A:C, 2, FALSE))</f>
        <v>187</v>
      </c>
      <c r="F5" s="7" t="str">
        <f>IF(ISBLANK(D5), "", VLOOKUP(LOWER(D5), javascriptKeycodes!A:C, 3, FALSE))</f>
        <v>key_equal_sign</v>
      </c>
      <c r="G5" s="6" t="s">
        <v>875</v>
      </c>
      <c r="H5" s="8" t="str">
        <f t="shared" si="0"/>
        <v>CTRL_equal sign</v>
      </c>
      <c r="I5" s="8" t="e">
        <f>IF(ISBLANK(menu!#REF!),"",menu!#REF!)</f>
        <v>#REF!</v>
      </c>
      <c r="M5" s="6" t="str">
        <f t="shared" si="1"/>
        <v>{"ctrl":true,"alt":false,"shift":false,"keycode":"187","func":"mainSystem.navigate('zoomIn')"},</v>
      </c>
    </row>
    <row r="6" spans="1:13" x14ac:dyDescent="0.25">
      <c r="D6" s="6" t="s">
        <v>361</v>
      </c>
      <c r="E6" s="7">
        <f>IF(ISBLANK(D6), "", VLOOKUP(LOWER(D6), javascriptKeycodes!A:C, 2, FALSE))</f>
        <v>38</v>
      </c>
      <c r="F6" s="7" t="str">
        <f>IF(ISBLANK(D6), "", VLOOKUP(LOWER(D6), javascriptKeycodes!A:C, 3, FALSE))</f>
        <v>key_up_arrow</v>
      </c>
      <c r="G6" s="6" t="s">
        <v>947</v>
      </c>
      <c r="H6" s="8" t="str">
        <f t="shared" si="0"/>
        <v>up arrow</v>
      </c>
      <c r="I6" s="8" t="e">
        <f>IF(ISBLANK(menu!#REF!),"",menu!#REF!)</f>
        <v>#REF!</v>
      </c>
      <c r="M6" s="6" t="str">
        <f t="shared" si="1"/>
        <v>{"ctrl":false,"alt":false,"shift":false,"keycode":"38","func":"mainSystem.navigate('up')"},</v>
      </c>
    </row>
    <row r="7" spans="1:13" x14ac:dyDescent="0.25">
      <c r="D7" s="6" t="s">
        <v>363</v>
      </c>
      <c r="E7" s="7">
        <f>IF(ISBLANK(D7), "", VLOOKUP(LOWER(D7), javascriptKeycodes!A:C, 2, FALSE))</f>
        <v>40</v>
      </c>
      <c r="F7" s="7" t="str">
        <f>IF(ISBLANK(D7), "", VLOOKUP(LOWER(D7), javascriptKeycodes!A:C, 3, FALSE))</f>
        <v>key_down_arrow</v>
      </c>
      <c r="G7" s="6" t="s">
        <v>948</v>
      </c>
      <c r="H7" s="8" t="str">
        <f t="shared" si="0"/>
        <v>down arrow</v>
      </c>
      <c r="I7" s="8" t="str">
        <f>IF(ISBLANK(menu!K7),"",menu!K7)</f>
        <v>CTRL_J</v>
      </c>
      <c r="M7" s="6" t="str">
        <f t="shared" si="1"/>
        <v>{"ctrl":false,"alt":false,"shift":false,"keycode":"40","func":"mainSystem.navigate('down')"},</v>
      </c>
    </row>
    <row r="8" spans="1:13" x14ac:dyDescent="0.25">
      <c r="D8" s="6" t="s">
        <v>362</v>
      </c>
      <c r="E8" s="7">
        <f>IF(ISBLANK(D8), "", VLOOKUP(LOWER(D8), javascriptKeycodes!A:C, 2, FALSE))</f>
        <v>39</v>
      </c>
      <c r="F8" s="7" t="str">
        <f>IF(ISBLANK(D8), "", VLOOKUP(LOWER(D8), javascriptKeycodes!A:C, 3, FALSE))</f>
        <v>key_right_arrow</v>
      </c>
      <c r="G8" s="6" t="s">
        <v>949</v>
      </c>
      <c r="H8" s="8" t="str">
        <f t="shared" si="0"/>
        <v>right arrow</v>
      </c>
      <c r="I8" s="8" t="str">
        <f>IF(ISBLANK(menu!K8),"",menu!K8)</f>
        <v>CTRL_SHIFT_J</v>
      </c>
      <c r="M8" s="6" t="str">
        <f t="shared" si="1"/>
        <v>{"ctrl":false,"alt":false,"shift":false,"keycode":"39","func":"mainSystem.navigate('right')"},</v>
      </c>
    </row>
    <row r="9" spans="1:13" x14ac:dyDescent="0.25">
      <c r="D9" s="6" t="s">
        <v>360</v>
      </c>
      <c r="E9" s="7">
        <f>IF(ISBLANK(D9), "", VLOOKUP(LOWER(D9), javascriptKeycodes!A:C, 2, FALSE))</f>
        <v>37</v>
      </c>
      <c r="F9" s="7" t="str">
        <f>IF(ISBLANK(D9), "", VLOOKUP(LOWER(D9), javascriptKeycodes!A:C, 3, FALSE))</f>
        <v>key_left_arrow</v>
      </c>
      <c r="G9" s="6" t="s">
        <v>950</v>
      </c>
      <c r="H9" s="8" t="str">
        <f t="shared" si="0"/>
        <v>left arrow</v>
      </c>
      <c r="I9" s="8" t="str">
        <f>IF(ISBLANK(menu!K9),"",menu!K9)</f>
        <v>CTRL_P</v>
      </c>
      <c r="M9" s="6" t="str">
        <f t="shared" si="1"/>
        <v>{"ctrl":false,"alt":false,"shift":false,"keycode":"37","func":"mainSystem.navigate('left')"}</v>
      </c>
    </row>
    <row r="10" spans="1:13" x14ac:dyDescent="0.25">
      <c r="E10" s="7" t="str">
        <f>IF(ISBLANK(D10), "", VLOOKUP(LOWER(D10), javascriptKeycodes!A:C, 2, FALSE))</f>
        <v/>
      </c>
      <c r="F10" s="7" t="str">
        <f>IF(ISBLANK(D10), "", VLOOKUP(LOWER(D10), javascriptKeycodes!A:C, 3, FALSE))</f>
        <v/>
      </c>
      <c r="H10" s="8" t="str">
        <f t="shared" si="0"/>
        <v/>
      </c>
      <c r="I10" s="8" t="str">
        <f>IF(ISBLANK(menu!K10),"",menu!K10)</f>
        <v>ALT_S</v>
      </c>
      <c r="M10" s="6" t="str">
        <f t="shared" si="1"/>
        <v/>
      </c>
    </row>
    <row r="11" spans="1:13" x14ac:dyDescent="0.25">
      <c r="E11" s="7" t="str">
        <f>IF(ISBLANK(D11), "", VLOOKUP(LOWER(D11), javascriptKeycodes!A:C, 2, FALSE))</f>
        <v/>
      </c>
      <c r="F11" s="7" t="str">
        <f>IF(ISBLANK(D11), "", VLOOKUP(LOWER(D11), javascriptKeycodes!A:C, 3, FALSE))</f>
        <v/>
      </c>
      <c r="H11" s="8" t="str">
        <f t="shared" si="0"/>
        <v/>
      </c>
      <c r="I11" s="8" t="str">
        <f>IF(ISBLANK(menu!K11),"",menu!K11)</f>
        <v>CTRL_U</v>
      </c>
      <c r="M11" s="6" t="str">
        <f t="shared" si="1"/>
        <v/>
      </c>
    </row>
    <row r="12" spans="1:13" x14ac:dyDescent="0.25">
      <c r="E12" s="7" t="str">
        <f>IF(ISBLANK(D12), "", VLOOKUP(LOWER(D12), javascriptKeycodes!A:C, 2, FALSE))</f>
        <v/>
      </c>
      <c r="F12" s="7" t="str">
        <f>IF(ISBLANK(D12), "", VLOOKUP(LOWER(D12), javascriptKeycodes!A:C, 3, FALSE))</f>
        <v/>
      </c>
      <c r="H12" s="8" t="str">
        <f t="shared" si="0"/>
        <v/>
      </c>
      <c r="I12" s="8" t="str">
        <f>IF(ISBLANK(menu!K12),"",menu!K12)</f>
        <v>CTRL_E</v>
      </c>
      <c r="M12" s="6" t="str">
        <f t="shared" si="1"/>
        <v/>
      </c>
    </row>
    <row r="13" spans="1:13" x14ac:dyDescent="0.25">
      <c r="E13" s="7" t="str">
        <f>IF(ISBLANK(D13), "", VLOOKUP(LOWER(D13), javascriptKeycodes!A:C, 2, FALSE))</f>
        <v/>
      </c>
      <c r="F13" s="7" t="str">
        <f>IF(ISBLANK(D13), "", VLOOKUP(LOWER(D13), javascriptKeycodes!A:C, 3, FALSE))</f>
        <v/>
      </c>
      <c r="H13" s="8" t="str">
        <f t="shared" si="0"/>
        <v/>
      </c>
      <c r="I13" s="8" t="str">
        <f>IF(ISBLANK(menu!K13),"",menu!K13)</f>
        <v>CTRL_SHIFT_S</v>
      </c>
      <c r="M13" s="6" t="str">
        <f t="shared" si="1"/>
        <v/>
      </c>
    </row>
    <row r="14" spans="1:13" x14ac:dyDescent="0.25">
      <c r="E14" s="7" t="str">
        <f>IF(ISBLANK(D14), "", VLOOKUP(LOWER(D14), javascriptKeycodes!A:C, 2, FALSE))</f>
        <v/>
      </c>
      <c r="F14" s="7" t="str">
        <f>IF(ISBLANK(D14), "", VLOOKUP(LOWER(D14), javascriptKeycodes!A:C, 3, FALSE))</f>
        <v/>
      </c>
      <c r="H14" s="8" t="str">
        <f t="shared" si="0"/>
        <v/>
      </c>
      <c r="I14" s="8" t="str">
        <f>IF(ISBLANK(menu!K14),"",menu!K14)</f>
        <v>CTRL_SHIFT_V</v>
      </c>
      <c r="M14" s="6" t="str">
        <f t="shared" si="1"/>
        <v/>
      </c>
    </row>
    <row r="15" spans="1:13" x14ac:dyDescent="0.25">
      <c r="E15" s="7" t="str">
        <f>IF(ISBLANK(D15), "", VLOOKUP(LOWER(D15), javascriptKeycodes!A:C, 2, FALSE))</f>
        <v/>
      </c>
      <c r="F15" s="7" t="str">
        <f>IF(ISBLANK(D15), "", VLOOKUP(LOWER(D15), javascriptKeycodes!A:C, 3, FALSE))</f>
        <v/>
      </c>
      <c r="H15" s="8" t="str">
        <f t="shared" si="0"/>
        <v/>
      </c>
      <c r="I15" s="8" t="str">
        <f>IF(ISBLANK(menu!K15),"",menu!K15)</f>
        <v>CTRL_K</v>
      </c>
      <c r="M15" s="6" t="str">
        <f t="shared" si="1"/>
        <v/>
      </c>
    </row>
    <row r="16" spans="1:13" x14ac:dyDescent="0.25">
      <c r="E16" s="7" t="str">
        <f>IF(ISBLANK(D16), "", VLOOKUP(LOWER(D16), javascriptKeycodes!A:C, 2, FALSE))</f>
        <v/>
      </c>
      <c r="F16" s="7" t="str">
        <f>IF(ISBLANK(D16), "", VLOOKUP(LOWER(D16), javascriptKeycodes!A:C, 3, FALSE))</f>
        <v/>
      </c>
      <c r="H16" s="8" t="str">
        <f t="shared" si="0"/>
        <v/>
      </c>
      <c r="I16" s="8" t="str">
        <f>IF(ISBLANK(menu!K16),"",menu!K16)</f>
        <v>CTRL_SHIFT_K</v>
      </c>
      <c r="M16" s="6" t="str">
        <f t="shared" si="1"/>
        <v/>
      </c>
    </row>
    <row r="17" spans="5:13" x14ac:dyDescent="0.25">
      <c r="E17" s="7" t="str">
        <f>IF(ISBLANK(D17), "", VLOOKUP(LOWER(D17), javascriptKeycodes!A:C, 2, FALSE))</f>
        <v/>
      </c>
      <c r="F17" s="7" t="str">
        <f>IF(ISBLANK(D17), "", VLOOKUP(LOWER(D17), javascriptKeycodes!A:C, 3, FALSE))</f>
        <v/>
      </c>
      <c r="H17" s="8" t="str">
        <f t="shared" si="0"/>
        <v/>
      </c>
      <c r="I17" s="8" t="str">
        <f>IF(ISBLANK(menu!K17),"",menu!K17)</f>
        <v>ALT_E</v>
      </c>
      <c r="M17" s="6" t="str">
        <f t="shared" si="1"/>
        <v/>
      </c>
    </row>
    <row r="18" spans="5:13" x14ac:dyDescent="0.25">
      <c r="E18" s="7" t="str">
        <f>IF(ISBLANK(D18), "", VLOOKUP(LOWER(D18), javascriptKeycodes!A:C, 2, FALSE))</f>
        <v/>
      </c>
      <c r="F18" s="7" t="str">
        <f>IF(ISBLANK(D18), "", VLOOKUP(LOWER(D18), javascriptKeycodes!A:C, 3, FALSE))</f>
        <v/>
      </c>
      <c r="H18" s="8" t="str">
        <f t="shared" si="0"/>
        <v/>
      </c>
      <c r="I18" s="8" t="str">
        <f>IF(ISBLANK(menu!K19),"",menu!K19)</f>
        <v>CTRL_A</v>
      </c>
      <c r="M18" s="6" t="str">
        <f t="shared" si="1"/>
        <v/>
      </c>
    </row>
    <row r="19" spans="5:13" x14ac:dyDescent="0.25">
      <c r="E19" s="7" t="str">
        <f>IF(ISBLANK(D19), "", VLOOKUP(LOWER(D19), javascriptKeycodes!A:C, 2, FALSE))</f>
        <v/>
      </c>
      <c r="F19" s="7" t="str">
        <f>IF(ISBLANK(D19), "", VLOOKUP(LOWER(D19), javascriptKeycodes!A:C, 3, FALSE))</f>
        <v/>
      </c>
      <c r="H19" s="8" t="str">
        <f t="shared" si="0"/>
        <v/>
      </c>
      <c r="I19" s="8" t="str">
        <f>IF(ISBLANK(menu!K20),"",menu!K20)</f>
        <v>CTRL_SHIFT_A</v>
      </c>
      <c r="M19" s="6" t="str">
        <f t="shared" si="1"/>
        <v/>
      </c>
    </row>
    <row r="20" spans="5:13" x14ac:dyDescent="0.25">
      <c r="E20" s="7" t="str">
        <f>IF(ISBLANK(D20), "", VLOOKUP(LOWER(D20), javascriptKeycodes!A:C, 2, FALSE))</f>
        <v/>
      </c>
      <c r="F20" s="7" t="str">
        <f>IF(ISBLANK(D20), "", VLOOKUP(LOWER(D20), javascriptKeycodes!A:C, 3, FALSE))</f>
        <v/>
      </c>
      <c r="H20" s="8" t="str">
        <f t="shared" si="0"/>
        <v/>
      </c>
      <c r="I20" s="8" t="str">
        <f>IF(ISBLANK(menu!K21),"",menu!K21)</f>
        <v>CTRL_X</v>
      </c>
      <c r="M20" s="6" t="str">
        <f t="shared" si="1"/>
        <v/>
      </c>
    </row>
    <row r="21" spans="5:13" x14ac:dyDescent="0.25">
      <c r="E21" s="7" t="str">
        <f>IF(ISBLANK(D21), "", VLOOKUP(LOWER(D21), javascriptKeycodes!A:C, 2, FALSE))</f>
        <v/>
      </c>
      <c r="F21" s="7" t="str">
        <f>IF(ISBLANK(D21), "", VLOOKUP(LOWER(D21), javascriptKeycodes!A:C, 3, FALSE))</f>
        <v/>
      </c>
      <c r="H21" s="8" t="str">
        <f t="shared" si="0"/>
        <v/>
      </c>
      <c r="I21" s="8" t="str">
        <f>IF(ISBLANK(menu!K22),"",menu!K22)</f>
        <v>CTRL_C</v>
      </c>
      <c r="M21" s="6" t="str">
        <f t="shared" si="1"/>
        <v/>
      </c>
    </row>
    <row r="22" spans="5:13" x14ac:dyDescent="0.25">
      <c r="E22" s="7" t="str">
        <f>IF(ISBLANK(D22), "", VLOOKUP(LOWER(D22), javascriptKeycodes!A:C, 2, FALSE))</f>
        <v/>
      </c>
      <c r="F22" s="7" t="str">
        <f>IF(ISBLANK(D22), "", VLOOKUP(LOWER(D22), javascriptKeycodes!A:C, 3, FALSE))</f>
        <v/>
      </c>
      <c r="H22" s="8" t="str">
        <f t="shared" si="0"/>
        <v/>
      </c>
      <c r="I22" s="8" t="str">
        <f>IF(ISBLANK(menu!K23),"",menu!K23)</f>
        <v>CTRL_V</v>
      </c>
      <c r="M22" s="6" t="str">
        <f t="shared" si="1"/>
        <v/>
      </c>
    </row>
    <row r="23" spans="5:13" x14ac:dyDescent="0.25">
      <c r="E23" s="7" t="str">
        <f>IF(ISBLANK(D23), "", VLOOKUP(LOWER(D23), javascriptKeycodes!A:C, 2, FALSE))</f>
        <v/>
      </c>
      <c r="F23" s="7" t="str">
        <f>IF(ISBLANK(D23), "", VLOOKUP(LOWER(D23), javascriptKeycodes!A:C, 3, FALSE))</f>
        <v/>
      </c>
      <c r="H23" s="8" t="str">
        <f t="shared" si="0"/>
        <v/>
      </c>
      <c r="I23" s="8" t="str">
        <f>IF(ISBLANK(menu!K24),"",menu!K24)</f>
        <v>CTRL_SHIFT_C</v>
      </c>
      <c r="M23" s="6" t="str">
        <f t="shared" si="1"/>
        <v/>
      </c>
    </row>
    <row r="24" spans="5:13" x14ac:dyDescent="0.25">
      <c r="E24" s="7" t="str">
        <f>IF(ISBLANK(D24), "", VLOOKUP(LOWER(D24), javascriptKeycodes!A:C, 2, FALSE))</f>
        <v/>
      </c>
      <c r="F24" s="7" t="str">
        <f>IF(ISBLANK(D24), "", VLOOKUP(LOWER(D24), javascriptKeycodes!A:C, 3, FALSE))</f>
        <v/>
      </c>
      <c r="H24" s="8" t="str">
        <f t="shared" si="0"/>
        <v/>
      </c>
      <c r="I24" s="8" t="str">
        <f>IF(ISBLANK(menu!K25),"",menu!K25)</f>
        <v>delete</v>
      </c>
      <c r="M24" s="6" t="str">
        <f t="shared" si="1"/>
        <v/>
      </c>
    </row>
    <row r="25" spans="5:13" x14ac:dyDescent="0.25">
      <c r="E25" s="7" t="str">
        <f>IF(ISBLANK(D25), "", VLOOKUP(LOWER(D25), javascriptKeycodes!A:C, 2, FALSE))</f>
        <v/>
      </c>
      <c r="F25" s="7" t="str">
        <f>IF(ISBLANK(D25), "", VLOOKUP(LOWER(D25), javascriptKeycodes!A:C, 3, FALSE))</f>
        <v/>
      </c>
      <c r="H25" s="8" t="str">
        <f t="shared" si="0"/>
        <v/>
      </c>
      <c r="I25" s="8" t="str">
        <f>IF(ISBLANK(menu!K27),"",menu!K27)</f>
        <v>CTRL_Z</v>
      </c>
      <c r="M25" s="6" t="str">
        <f t="shared" si="1"/>
        <v/>
      </c>
    </row>
    <row r="26" spans="5:13" x14ac:dyDescent="0.25">
      <c r="E26" s="7" t="str">
        <f>IF(ISBLANK(D26), "", VLOOKUP(LOWER(D26), javascriptKeycodes!A:C, 2, FALSE))</f>
        <v/>
      </c>
      <c r="F26" s="7" t="str">
        <f>IF(ISBLANK(D26), "", VLOOKUP(LOWER(D26), javascriptKeycodes!A:C, 3, FALSE))</f>
        <v/>
      </c>
      <c r="H26" s="8" t="str">
        <f t="shared" si="0"/>
        <v/>
      </c>
      <c r="I26" s="8" t="str">
        <f>IF(ISBLANK(menu!K28),"",menu!K28)</f>
        <v>CTRL_SHIFT_Z</v>
      </c>
      <c r="M26" s="6" t="str">
        <f t="shared" si="1"/>
        <v/>
      </c>
    </row>
    <row r="27" spans="5:13" x14ac:dyDescent="0.25">
      <c r="E27" s="7" t="str">
        <f>IF(ISBLANK(D27), "", VLOOKUP(LOWER(D27), javascriptKeycodes!A:C, 2, FALSE))</f>
        <v/>
      </c>
      <c r="F27" s="7" t="str">
        <f>IF(ISBLANK(D27), "", VLOOKUP(LOWER(D27), javascriptKeycodes!A:C, 3, FALSE))</f>
        <v/>
      </c>
      <c r="H27" s="8" t="str">
        <f t="shared" si="0"/>
        <v/>
      </c>
      <c r="I27" s="8" t="str">
        <f>IF(ISBLANK(menu!K35),"",menu!K35)</f>
        <v>ALT_V</v>
      </c>
      <c r="M27" s="6" t="str">
        <f t="shared" si="1"/>
        <v/>
      </c>
    </row>
    <row r="28" spans="5:13" x14ac:dyDescent="0.25">
      <c r="E28" s="7" t="str">
        <f>IF(ISBLANK(D28), "", VLOOKUP(LOWER(D28), javascriptKeycodes!A:C, 2, FALSE))</f>
        <v/>
      </c>
      <c r="F28" s="7" t="str">
        <f>IF(ISBLANK(D28), "", VLOOKUP(LOWER(D28), javascriptKeycodes!A:C, 3, FALSE))</f>
        <v/>
      </c>
      <c r="H28" s="8" t="str">
        <f t="shared" si="0"/>
        <v/>
      </c>
      <c r="I28" s="8" t="str">
        <f>IF(ISBLANK(menu!K36),"",menu!K36)</f>
        <v>CTRL_ALT_SHIFT_F</v>
      </c>
      <c r="M28" s="6" t="str">
        <f t="shared" si="1"/>
        <v/>
      </c>
    </row>
    <row r="29" spans="5:13" x14ac:dyDescent="0.25">
      <c r="E29" s="7" t="str">
        <f>IF(ISBLANK(D29), "", VLOOKUP(LOWER(D29), javascriptKeycodes!A:C, 2, FALSE))</f>
        <v/>
      </c>
      <c r="F29" s="7" t="str">
        <f>IF(ISBLANK(D29), "", VLOOKUP(LOWER(D29), javascriptKeycodes!A:C, 3, FALSE))</f>
        <v/>
      </c>
      <c r="H29" s="8" t="str">
        <f t="shared" si="0"/>
        <v/>
      </c>
      <c r="I29" s="8" t="str">
        <f>IF(ISBLANK(menu!K30),"",menu!K30)</f>
        <v>CTRL_add</v>
      </c>
      <c r="M29" s="6" t="str">
        <f t="shared" si="1"/>
        <v/>
      </c>
    </row>
    <row r="30" spans="5:13" x14ac:dyDescent="0.25">
      <c r="E30" s="7" t="str">
        <f>IF(ISBLANK(D30), "", VLOOKUP(LOWER(D30), javascriptKeycodes!A:C, 2, FALSE))</f>
        <v/>
      </c>
      <c r="F30" s="7" t="str">
        <f>IF(ISBLANK(D30), "", VLOOKUP(LOWER(D30), javascriptKeycodes!A:C, 3, FALSE))</f>
        <v/>
      </c>
      <c r="H30" s="8" t="str">
        <f t="shared" si="0"/>
        <v/>
      </c>
      <c r="I30" s="8" t="str">
        <f>IF(ISBLANK(menu!K31),"",menu!K31)</f>
        <v>CTRL_subtract</v>
      </c>
      <c r="M30" s="6" t="str">
        <f t="shared" si="1"/>
        <v/>
      </c>
    </row>
    <row r="31" spans="5:13" x14ac:dyDescent="0.25">
      <c r="E31" s="7" t="str">
        <f>IF(ISBLANK(D31), "", VLOOKUP(LOWER(D31), javascriptKeycodes!A:C, 2, FALSE))</f>
        <v/>
      </c>
      <c r="F31" s="7" t="str">
        <f>IF(ISBLANK(D31), "", VLOOKUP(LOWER(D31), javascriptKeycodes!A:C, 3, FALSE))</f>
        <v/>
      </c>
      <c r="H31" s="8" t="str">
        <f t="shared" si="0"/>
        <v/>
      </c>
      <c r="I31" s="8" t="str">
        <f>IF(ISBLANK(menu!K32),"",menu!K32)</f>
        <v>CTRL_K_0</v>
      </c>
      <c r="M31" s="6" t="str">
        <f t="shared" si="1"/>
        <v/>
      </c>
    </row>
    <row r="32" spans="5:13" x14ac:dyDescent="0.25">
      <c r="E32" s="7" t="str">
        <f>IF(ISBLANK(D32), "", VLOOKUP(LOWER(D32), javascriptKeycodes!A:C, 2, FALSE))</f>
        <v/>
      </c>
      <c r="F32" s="7" t="str">
        <f>IF(ISBLANK(D32), "", VLOOKUP(LOWER(D32), javascriptKeycodes!A:C, 3, FALSE))</f>
        <v/>
      </c>
      <c r="H32" s="8" t="str">
        <f t="shared" si="0"/>
        <v/>
      </c>
      <c r="I32" s="8" t="str">
        <f>IF(ISBLANK(menu!K33),"",menu!K33)</f>
        <v>CTRL_SHIFT_K_0</v>
      </c>
      <c r="M32" s="6" t="str">
        <f t="shared" si="1"/>
        <v/>
      </c>
    </row>
    <row r="33" spans="8:13" x14ac:dyDescent="0.25">
      <c r="H33" s="8" t="str">
        <f t="shared" si="0"/>
        <v/>
      </c>
      <c r="I33" s="8" t="str">
        <f>IF(ISBLANK(menu!K37),"",menu!K37)</f>
        <v>CTRL_M</v>
      </c>
      <c r="M33" s="6" t="str">
        <f t="shared" si="1"/>
        <v/>
      </c>
    </row>
    <row r="34" spans="8:13" x14ac:dyDescent="0.25">
      <c r="H34" s="8" t="str">
        <f t="shared" si="0"/>
        <v/>
      </c>
      <c r="I34" s="8" t="str">
        <f>IF(ISBLANK(menu!K38),"",menu!K38)</f>
        <v>CTRL_SHIFT_M</v>
      </c>
      <c r="M34" s="6" t="str">
        <f t="shared" si="1"/>
        <v/>
      </c>
    </row>
    <row r="35" spans="8:13" x14ac:dyDescent="0.25">
      <c r="H35" s="8" t="str">
        <f t="shared" si="0"/>
        <v/>
      </c>
      <c r="I35" s="8" t="str">
        <f>IF(ISBLANK(menu!K39),"",menu!K39)</f>
        <v>CTRL_R</v>
      </c>
      <c r="M35" s="6" t="str">
        <f t="shared" si="1"/>
        <v/>
      </c>
    </row>
    <row r="36" spans="8:13" x14ac:dyDescent="0.25">
      <c r="H36" s="8" t="str">
        <f t="shared" si="0"/>
        <v/>
      </c>
      <c r="I36" s="8" t="str">
        <f>IF(ISBLANK(menu!K40),"",menu!K40)</f>
        <v>CTRL_SHIFT_R</v>
      </c>
      <c r="M36" s="6" t="str">
        <f t="shared" si="1"/>
        <v/>
      </c>
    </row>
    <row r="37" spans="8:13" x14ac:dyDescent="0.25">
      <c r="H37" s="8" t="str">
        <f t="shared" si="0"/>
        <v/>
      </c>
      <c r="I37" s="8" t="e">
        <f>IF(ISBLANK(menu!#REF!),"",menu!#REF!)</f>
        <v>#REF!</v>
      </c>
      <c r="M37" s="6" t="str">
        <f t="shared" si="1"/>
        <v/>
      </c>
    </row>
    <row r="38" spans="8:13" x14ac:dyDescent="0.25">
      <c r="H38" s="8" t="str">
        <f t="shared" si="0"/>
        <v/>
      </c>
      <c r="I38" s="8" t="str">
        <f>IF(ISBLANK(menu!K43),"",menu!K43)</f>
        <v/>
      </c>
      <c r="M38" s="6" t="str">
        <f t="shared" si="1"/>
        <v/>
      </c>
    </row>
    <row r="39" spans="8:13" x14ac:dyDescent="0.25">
      <c r="H39" s="8" t="str">
        <f t="shared" si="0"/>
        <v/>
      </c>
      <c r="I39" s="8" t="str">
        <f>IF(ISBLANK(menu!K34),"",menu!K34)</f>
        <v>CTRL_ALT_SHIFT_A</v>
      </c>
      <c r="M39" s="6" t="str">
        <f t="shared" si="1"/>
        <v/>
      </c>
    </row>
    <row r="40" spans="8:13" x14ac:dyDescent="0.25">
      <c r="H40" s="8" t="str">
        <f t="shared" si="0"/>
        <v/>
      </c>
      <c r="I40" s="8" t="str">
        <f>IF(ISBLANK(menu!K48),"",menu!K48)</f>
        <v/>
      </c>
      <c r="M40" s="6" t="str">
        <f t="shared" si="1"/>
        <v/>
      </c>
    </row>
    <row r="41" spans="8:13" x14ac:dyDescent="0.25">
      <c r="H41" s="8" t="str">
        <f t="shared" si="0"/>
        <v/>
      </c>
      <c r="I41" s="8" t="str">
        <f>IF(ISBLANK(menu!K49),"",menu!K49)</f>
        <v/>
      </c>
      <c r="M41" s="6" t="str">
        <f t="shared" si="1"/>
        <v/>
      </c>
    </row>
    <row r="42" spans="8:13" x14ac:dyDescent="0.25">
      <c r="H42" s="8" t="str">
        <f t="shared" si="0"/>
        <v/>
      </c>
      <c r="I42" s="8" t="str">
        <f>IF(ISBLANK(menu!K50),"",menu!K50)</f>
        <v/>
      </c>
      <c r="M42" s="6" t="str">
        <f t="shared" si="1"/>
        <v/>
      </c>
    </row>
    <row r="43" spans="8:13" x14ac:dyDescent="0.25">
      <c r="H43" s="8" t="str">
        <f t="shared" si="0"/>
        <v/>
      </c>
      <c r="I43" s="8" t="str">
        <f>IF(ISBLANK(menu!K51),"",menu!K51)</f>
        <v/>
      </c>
      <c r="M43" s="6" t="str">
        <f t="shared" si="1"/>
        <v/>
      </c>
    </row>
    <row r="44" spans="8:13" x14ac:dyDescent="0.25">
      <c r="H44" s="8" t="str">
        <f t="shared" si="0"/>
        <v/>
      </c>
      <c r="I44" s="8" t="str">
        <f>IF(ISBLANK(menu!K44),"",menu!K44)</f>
        <v>ALT_H</v>
      </c>
      <c r="M44" s="6" t="str">
        <f t="shared" si="1"/>
        <v/>
      </c>
    </row>
    <row r="45" spans="8:13" x14ac:dyDescent="0.25">
      <c r="H45" s="8" t="str">
        <f t="shared" si="0"/>
        <v/>
      </c>
      <c r="I45" s="8" t="str">
        <f>IF(ISBLANK(menu!K45),"",menu!K45)</f>
        <v>CTRL_H</v>
      </c>
      <c r="M45" s="6" t="str">
        <f t="shared" si="1"/>
        <v/>
      </c>
    </row>
    <row r="46" spans="8:13" x14ac:dyDescent="0.25">
      <c r="H46" s="8" t="str">
        <f t="shared" si="0"/>
        <v/>
      </c>
      <c r="I46" s="8" t="str">
        <f>IF(ISBLANK(menu!K46),"",menu!K46)</f>
        <v>CTRL_SHIFT_H</v>
      </c>
      <c r="M46" s="6" t="str">
        <f t="shared" si="1"/>
        <v/>
      </c>
    </row>
    <row r="47" spans="8:13" x14ac:dyDescent="0.25">
      <c r="H47" s="8" t="str">
        <f t="shared" si="0"/>
        <v/>
      </c>
      <c r="I47" s="8" t="str">
        <f>IF(ISBLANK(menu!K47),"",menu!K47)</f>
        <v/>
      </c>
      <c r="M47" s="6" t="str">
        <f t="shared" si="1"/>
        <v/>
      </c>
    </row>
    <row r="48" spans="8:13" x14ac:dyDescent="0.25">
      <c r="H48" s="8" t="str">
        <f t="shared" si="0"/>
        <v/>
      </c>
      <c r="I48" s="8" t="str">
        <f>IF(ISBLANK(menu!K52),"",menu!K52)</f>
        <v/>
      </c>
      <c r="M48" s="6" t="str">
        <f t="shared" si="1"/>
        <v/>
      </c>
    </row>
    <row r="49" spans="8:13" x14ac:dyDescent="0.25">
      <c r="H49" s="8" t="str">
        <f t="shared" si="0"/>
        <v/>
      </c>
      <c r="I49" s="8" t="str">
        <f>IF(ISBLANK(menu!K53),"",menu!K53)</f>
        <v/>
      </c>
      <c r="M49" s="6" t="str">
        <f t="shared" si="1"/>
        <v/>
      </c>
    </row>
    <row r="50" spans="8:13" x14ac:dyDescent="0.25">
      <c r="H50" s="8" t="str">
        <f t="shared" si="0"/>
        <v/>
      </c>
      <c r="I50" s="8" t="str">
        <f>IF(ISBLANK(menu!K54),"",menu!K54)</f>
        <v/>
      </c>
      <c r="M50" s="6" t="str">
        <f t="shared" si="1"/>
        <v/>
      </c>
    </row>
    <row r="51" spans="8:13" x14ac:dyDescent="0.25">
      <c r="H51" s="8" t="str">
        <f t="shared" si="0"/>
        <v/>
      </c>
      <c r="I51" s="8" t="str">
        <f>IF(ISBLANK(menu!K55),"",menu!K55)</f>
        <v/>
      </c>
      <c r="M51" s="6" t="str">
        <f t="shared" si="1"/>
        <v/>
      </c>
    </row>
    <row r="52" spans="8:13" x14ac:dyDescent="0.25">
      <c r="H52" s="8" t="str">
        <f t="shared" si="0"/>
        <v/>
      </c>
      <c r="I52" s="8" t="str">
        <f>IF(ISBLANK(menu!K56),"",menu!K56)</f>
        <v/>
      </c>
      <c r="M52" s="6" t="str">
        <f t="shared" si="1"/>
        <v/>
      </c>
    </row>
    <row r="53" spans="8:13" x14ac:dyDescent="0.25">
      <c r="H53" s="8" t="str">
        <f t="shared" si="0"/>
        <v/>
      </c>
      <c r="I53" s="8" t="str">
        <f>IF(ISBLANK(menu!K57),"",menu!K57)</f>
        <v/>
      </c>
      <c r="M53" s="6" t="str">
        <f t="shared" si="1"/>
        <v/>
      </c>
    </row>
    <row r="54" spans="8:13" x14ac:dyDescent="0.25">
      <c r="H54" s="8" t="str">
        <f t="shared" si="0"/>
        <v/>
      </c>
      <c r="I54" s="8" t="str">
        <f>IF(ISBLANK(menu!K58),"",menu!K58)</f>
        <v/>
      </c>
      <c r="M54" s="6" t="str">
        <f t="shared" si="1"/>
        <v/>
      </c>
    </row>
    <row r="55" spans="8:13" x14ac:dyDescent="0.25">
      <c r="H55" s="8" t="str">
        <f t="shared" si="0"/>
        <v/>
      </c>
      <c r="I55" s="8" t="str">
        <f>IF(ISBLANK(menu!K59),"",menu!K59)</f>
        <v/>
      </c>
      <c r="M55" s="6" t="str">
        <f t="shared" si="1"/>
        <v/>
      </c>
    </row>
    <row r="56" spans="8:13" x14ac:dyDescent="0.25">
      <c r="H56" s="8" t="str">
        <f t="shared" si="0"/>
        <v/>
      </c>
      <c r="I56" s="8" t="str">
        <f>IF(ISBLANK(menu!K60),"",menu!K60)</f>
        <v/>
      </c>
      <c r="M56" s="6" t="str">
        <f t="shared" si="1"/>
        <v/>
      </c>
    </row>
    <row r="57" spans="8:13" x14ac:dyDescent="0.25">
      <c r="H57" s="8" t="str">
        <f t="shared" si="0"/>
        <v/>
      </c>
      <c r="I57" s="8" t="str">
        <f>IF(ISBLANK(menu!K61),"",menu!K61)</f>
        <v/>
      </c>
      <c r="M57" s="6" t="str">
        <f t="shared" si="1"/>
        <v/>
      </c>
    </row>
    <row r="58" spans="8:13" x14ac:dyDescent="0.25">
      <c r="H58" s="8" t="str">
        <f t="shared" si="0"/>
        <v/>
      </c>
      <c r="I58" s="8" t="str">
        <f>IF(ISBLANK(menu!K62),"",menu!K62)</f>
        <v/>
      </c>
      <c r="M58" s="6" t="str">
        <f t="shared" si="1"/>
        <v/>
      </c>
    </row>
    <row r="59" spans="8:13" x14ac:dyDescent="0.25">
      <c r="H59" s="8" t="str">
        <f t="shared" si="0"/>
        <v/>
      </c>
      <c r="I59" s="8" t="str">
        <f>IF(ISBLANK(menu!K63),"",menu!K63)</f>
        <v/>
      </c>
      <c r="M59" s="6" t="str">
        <f t="shared" si="1"/>
        <v/>
      </c>
    </row>
    <row r="60" spans="8:13" x14ac:dyDescent="0.25">
      <c r="H60" s="8" t="str">
        <f t="shared" si="0"/>
        <v/>
      </c>
      <c r="I60" s="8" t="str">
        <f>IF(ISBLANK(menu!K64),"",menu!K64)</f>
        <v/>
      </c>
      <c r="M60" s="6" t="str">
        <f t="shared" si="1"/>
        <v/>
      </c>
    </row>
    <row r="61" spans="8:13" x14ac:dyDescent="0.25">
      <c r="H61" s="8" t="str">
        <f t="shared" si="0"/>
        <v/>
      </c>
      <c r="I61" s="8" t="str">
        <f>IF(ISBLANK(menu!K65),"",menu!K65)</f>
        <v/>
      </c>
      <c r="M61" s="6" t="str">
        <f t="shared" si="1"/>
        <v/>
      </c>
    </row>
    <row r="62" spans="8:13" x14ac:dyDescent="0.25">
      <c r="H62" s="8" t="str">
        <f t="shared" si="0"/>
        <v/>
      </c>
      <c r="I62" s="8" t="str">
        <f>IF(ISBLANK(menu!K66),"",menu!K66)</f>
        <v/>
      </c>
      <c r="M62" s="6" t="str">
        <f t="shared" si="1"/>
        <v/>
      </c>
    </row>
    <row r="63" spans="8:13" x14ac:dyDescent="0.25">
      <c r="H63" s="8" t="str">
        <f t="shared" si="0"/>
        <v/>
      </c>
      <c r="I63" s="8" t="str">
        <f>IF(ISBLANK(menu!K67),"",menu!K67)</f>
        <v/>
      </c>
      <c r="M63" s="6" t="str">
        <f t="shared" si="1"/>
        <v/>
      </c>
    </row>
    <row r="64" spans="8:13" x14ac:dyDescent="0.25">
      <c r="H64" s="8" t="str">
        <f t="shared" si="0"/>
        <v/>
      </c>
      <c r="I64" s="8" t="str">
        <f>IF(ISBLANK(menu!K68),"",menu!K68)</f>
        <v/>
      </c>
      <c r="M64" s="6" t="str">
        <f t="shared" si="1"/>
        <v/>
      </c>
    </row>
    <row r="65" spans="8:13" x14ac:dyDescent="0.25">
      <c r="H65" s="8" t="str">
        <f t="shared" si="0"/>
        <v/>
      </c>
      <c r="I65" s="8" t="str">
        <f>IF(ISBLANK(menu!K69),"",menu!K69)</f>
        <v/>
      </c>
      <c r="M65" s="6" t="str">
        <f t="shared" si="1"/>
        <v/>
      </c>
    </row>
    <row r="66" spans="8:13" x14ac:dyDescent="0.25">
      <c r="H66" s="8" t="str">
        <f t="shared" si="0"/>
        <v/>
      </c>
      <c r="I66" s="8" t="str">
        <f>IF(ISBLANK(menu!K70),"",menu!K70)</f>
        <v/>
      </c>
      <c r="M66" s="6" t="str">
        <f t="shared" si="1"/>
        <v/>
      </c>
    </row>
    <row r="67" spans="8:13" x14ac:dyDescent="0.25">
      <c r="H67" s="8" t="str">
        <f t="shared" ref="H67:H100" si="2">IF(A67,"CTRL_","")&amp;IF(B67,"ALT_","")&amp;IF(C67,"SHIFT_","")&amp;D67</f>
        <v/>
      </c>
      <c r="I67" s="8" t="str">
        <f>IF(ISBLANK(menu!K71),"",menu!K71)</f>
        <v/>
      </c>
      <c r="M67" s="6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25">
      <c r="H68" s="8" t="str">
        <f t="shared" si="2"/>
        <v/>
      </c>
      <c r="I68" s="8" t="str">
        <f>IF(ISBLANK(menu!K72),"",menu!K72)</f>
        <v/>
      </c>
      <c r="M68" s="6" t="str">
        <f t="shared" si="3"/>
        <v/>
      </c>
    </row>
    <row r="69" spans="8:13" x14ac:dyDescent="0.25">
      <c r="H69" s="8" t="str">
        <f t="shared" si="2"/>
        <v/>
      </c>
      <c r="I69" s="8" t="str">
        <f>IF(ISBLANK(menu!K73),"",menu!K73)</f>
        <v/>
      </c>
      <c r="M69" s="6" t="str">
        <f t="shared" si="3"/>
        <v/>
      </c>
    </row>
    <row r="70" spans="8:13" x14ac:dyDescent="0.25">
      <c r="H70" s="8" t="str">
        <f t="shared" si="2"/>
        <v/>
      </c>
      <c r="I70" s="8" t="str">
        <f>IF(ISBLANK(menu!K74),"",menu!K74)</f>
        <v/>
      </c>
      <c r="M70" s="6" t="str">
        <f t="shared" si="3"/>
        <v/>
      </c>
    </row>
    <row r="71" spans="8:13" x14ac:dyDescent="0.25">
      <c r="H71" s="8" t="str">
        <f t="shared" si="2"/>
        <v/>
      </c>
      <c r="I71" s="8" t="str">
        <f>IF(ISBLANK(menu!K75),"",menu!K75)</f>
        <v/>
      </c>
      <c r="M71" s="6" t="str">
        <f t="shared" si="3"/>
        <v/>
      </c>
    </row>
    <row r="72" spans="8:13" x14ac:dyDescent="0.25">
      <c r="H72" s="8" t="str">
        <f t="shared" si="2"/>
        <v/>
      </c>
      <c r="I72" s="8" t="str">
        <f>IF(ISBLANK(menu!K76),"",menu!K76)</f>
        <v/>
      </c>
      <c r="M72" s="6" t="str">
        <f t="shared" si="3"/>
        <v/>
      </c>
    </row>
    <row r="73" spans="8:13" x14ac:dyDescent="0.25">
      <c r="H73" s="8" t="str">
        <f t="shared" si="2"/>
        <v/>
      </c>
      <c r="I73" s="8" t="str">
        <f>IF(ISBLANK(menu!K77),"",menu!K77)</f>
        <v/>
      </c>
      <c r="M73" s="6" t="str">
        <f t="shared" si="3"/>
        <v/>
      </c>
    </row>
    <row r="74" spans="8:13" x14ac:dyDescent="0.25">
      <c r="H74" s="8" t="str">
        <f t="shared" si="2"/>
        <v/>
      </c>
      <c r="I74" s="8" t="str">
        <f>IF(ISBLANK(menu!K78),"",menu!K78)</f>
        <v/>
      </c>
      <c r="M74" s="6" t="str">
        <f t="shared" si="3"/>
        <v/>
      </c>
    </row>
    <row r="75" spans="8:13" x14ac:dyDescent="0.25">
      <c r="H75" s="8" t="str">
        <f t="shared" si="2"/>
        <v/>
      </c>
      <c r="I75" s="8" t="str">
        <f>IF(ISBLANK(menu!K79),"",menu!K79)</f>
        <v/>
      </c>
      <c r="M75" s="6" t="str">
        <f t="shared" si="3"/>
        <v/>
      </c>
    </row>
    <row r="76" spans="8:13" x14ac:dyDescent="0.25">
      <c r="H76" s="8" t="str">
        <f t="shared" si="2"/>
        <v/>
      </c>
      <c r="I76" s="8" t="str">
        <f>IF(ISBLANK(menu!K80),"",menu!K80)</f>
        <v/>
      </c>
      <c r="M76" s="6" t="str">
        <f t="shared" si="3"/>
        <v/>
      </c>
    </row>
    <row r="77" spans="8:13" x14ac:dyDescent="0.25">
      <c r="H77" s="8" t="str">
        <f t="shared" si="2"/>
        <v/>
      </c>
      <c r="I77" s="8" t="str">
        <f>IF(ISBLANK(menu!K81),"",menu!K81)</f>
        <v/>
      </c>
      <c r="M77" s="6" t="str">
        <f t="shared" si="3"/>
        <v/>
      </c>
    </row>
    <row r="78" spans="8:13" x14ac:dyDescent="0.25">
      <c r="H78" s="8" t="str">
        <f t="shared" si="2"/>
        <v/>
      </c>
      <c r="I78" s="8" t="str">
        <f>IF(ISBLANK(menu!K82),"",menu!K82)</f>
        <v/>
      </c>
      <c r="M78" s="6" t="str">
        <f t="shared" si="3"/>
        <v/>
      </c>
    </row>
    <row r="79" spans="8:13" x14ac:dyDescent="0.25">
      <c r="H79" s="8" t="str">
        <f t="shared" si="2"/>
        <v/>
      </c>
      <c r="I79" s="8" t="str">
        <f>IF(ISBLANK(menu!K83),"",menu!K83)</f>
        <v/>
      </c>
      <c r="M79" s="6" t="str">
        <f t="shared" si="3"/>
        <v/>
      </c>
    </row>
    <row r="80" spans="8:13" x14ac:dyDescent="0.25">
      <c r="H80" s="8" t="str">
        <f t="shared" si="2"/>
        <v/>
      </c>
      <c r="I80" s="8" t="str">
        <f>IF(ISBLANK(menu!K84),"",menu!K84)</f>
        <v/>
      </c>
      <c r="M80" s="6" t="str">
        <f t="shared" si="3"/>
        <v/>
      </c>
    </row>
    <row r="81" spans="8:13" x14ac:dyDescent="0.25">
      <c r="H81" s="8" t="str">
        <f t="shared" si="2"/>
        <v/>
      </c>
      <c r="I81" s="8" t="str">
        <f>IF(ISBLANK(menu!K85),"",menu!K85)</f>
        <v/>
      </c>
      <c r="M81" s="6" t="str">
        <f t="shared" si="3"/>
        <v/>
      </c>
    </row>
    <row r="82" spans="8:13" x14ac:dyDescent="0.25">
      <c r="H82" s="8" t="str">
        <f t="shared" si="2"/>
        <v/>
      </c>
      <c r="I82" s="8" t="str">
        <f>IF(ISBLANK(menu!K86),"",menu!K86)</f>
        <v/>
      </c>
      <c r="M82" s="6" t="str">
        <f t="shared" si="3"/>
        <v/>
      </c>
    </row>
    <row r="83" spans="8:13" x14ac:dyDescent="0.25">
      <c r="H83" s="8" t="str">
        <f t="shared" si="2"/>
        <v/>
      </c>
      <c r="I83" s="8" t="str">
        <f>IF(ISBLANK(menu!K87),"",menu!K87)</f>
        <v/>
      </c>
      <c r="M83" s="6" t="str">
        <f t="shared" si="3"/>
        <v/>
      </c>
    </row>
    <row r="84" spans="8:13" x14ac:dyDescent="0.25">
      <c r="H84" s="8" t="str">
        <f t="shared" si="2"/>
        <v/>
      </c>
      <c r="I84" s="8" t="str">
        <f>IF(ISBLANK(menu!K88),"",menu!K88)</f>
        <v/>
      </c>
      <c r="M84" s="6" t="str">
        <f t="shared" si="3"/>
        <v/>
      </c>
    </row>
    <row r="85" spans="8:13" x14ac:dyDescent="0.25">
      <c r="H85" s="8" t="str">
        <f t="shared" si="2"/>
        <v/>
      </c>
      <c r="I85" s="8" t="str">
        <f>IF(ISBLANK(menu!K89),"",menu!K89)</f>
        <v/>
      </c>
      <c r="M85" s="6" t="str">
        <f t="shared" si="3"/>
        <v/>
      </c>
    </row>
    <row r="86" spans="8:13" x14ac:dyDescent="0.25">
      <c r="H86" s="8" t="str">
        <f t="shared" si="2"/>
        <v/>
      </c>
      <c r="I86" s="8" t="str">
        <f>IF(ISBLANK(menu!K90),"",menu!K90)</f>
        <v/>
      </c>
      <c r="M86" s="6" t="str">
        <f t="shared" si="3"/>
        <v/>
      </c>
    </row>
    <row r="87" spans="8:13" x14ac:dyDescent="0.25">
      <c r="H87" s="8" t="str">
        <f t="shared" si="2"/>
        <v/>
      </c>
      <c r="I87" s="8" t="str">
        <f>IF(ISBLANK(menu!K91),"",menu!K91)</f>
        <v/>
      </c>
      <c r="M87" s="6" t="str">
        <f t="shared" si="3"/>
        <v/>
      </c>
    </row>
    <row r="88" spans="8:13" x14ac:dyDescent="0.25">
      <c r="H88" s="8" t="str">
        <f t="shared" si="2"/>
        <v/>
      </c>
      <c r="I88" s="8" t="str">
        <f>IF(ISBLANK(menu!K92),"",menu!K92)</f>
        <v/>
      </c>
      <c r="M88" s="6" t="str">
        <f t="shared" si="3"/>
        <v/>
      </c>
    </row>
    <row r="89" spans="8:13" x14ac:dyDescent="0.25">
      <c r="H89" s="8" t="str">
        <f t="shared" si="2"/>
        <v/>
      </c>
      <c r="I89" s="8" t="str">
        <f>IF(ISBLANK(menu!K93),"",menu!K93)</f>
        <v/>
      </c>
      <c r="M89" s="6" t="str">
        <f t="shared" si="3"/>
        <v/>
      </c>
    </row>
    <row r="90" spans="8:13" x14ac:dyDescent="0.25">
      <c r="H90" s="8" t="str">
        <f t="shared" si="2"/>
        <v/>
      </c>
      <c r="I90" s="8" t="str">
        <f>IF(ISBLANK(menu!K94),"",menu!K94)</f>
        <v/>
      </c>
      <c r="M90" s="6" t="str">
        <f t="shared" si="3"/>
        <v/>
      </c>
    </row>
    <row r="91" spans="8:13" x14ac:dyDescent="0.25">
      <c r="H91" s="8" t="str">
        <f t="shared" si="2"/>
        <v/>
      </c>
      <c r="I91" s="8" t="str">
        <f>IF(ISBLANK(menu!K95),"",menu!K95)</f>
        <v/>
      </c>
      <c r="M91" s="6" t="str">
        <f t="shared" si="3"/>
        <v/>
      </c>
    </row>
    <row r="92" spans="8:13" x14ac:dyDescent="0.25">
      <c r="H92" s="8" t="str">
        <f t="shared" si="2"/>
        <v/>
      </c>
      <c r="I92" s="8" t="str">
        <f>IF(ISBLANK(menu!K96),"",menu!K96)</f>
        <v/>
      </c>
      <c r="M92" s="6" t="str">
        <f t="shared" si="3"/>
        <v/>
      </c>
    </row>
    <row r="93" spans="8:13" x14ac:dyDescent="0.25">
      <c r="H93" s="8" t="str">
        <f t="shared" si="2"/>
        <v/>
      </c>
      <c r="I93" s="8" t="str">
        <f>IF(ISBLANK(menu!K97),"",menu!K97)</f>
        <v/>
      </c>
      <c r="M93" s="6" t="str">
        <f t="shared" si="3"/>
        <v/>
      </c>
    </row>
    <row r="94" spans="8:13" x14ac:dyDescent="0.25">
      <c r="H94" s="8" t="str">
        <f t="shared" si="2"/>
        <v/>
      </c>
      <c r="I94" s="8" t="str">
        <f>IF(ISBLANK(menu!K98),"",menu!K98)</f>
        <v/>
      </c>
      <c r="M94" s="6" t="str">
        <f t="shared" si="3"/>
        <v/>
      </c>
    </row>
    <row r="95" spans="8:13" x14ac:dyDescent="0.25">
      <c r="H95" s="8" t="str">
        <f t="shared" si="2"/>
        <v/>
      </c>
      <c r="I95" s="8" t="str">
        <f>IF(ISBLANK(menu!K99),"",menu!K99)</f>
        <v/>
      </c>
      <c r="M95" s="6" t="str">
        <f t="shared" si="3"/>
        <v/>
      </c>
    </row>
    <row r="96" spans="8:13" x14ac:dyDescent="0.25">
      <c r="H96" s="8" t="str">
        <f t="shared" si="2"/>
        <v/>
      </c>
      <c r="I96" s="8" t="str">
        <f>IF(ISBLANK(menu!K100),"",menu!K100)</f>
        <v/>
      </c>
      <c r="M96" s="6" t="str">
        <f t="shared" si="3"/>
        <v/>
      </c>
    </row>
    <row r="97" spans="8:13" x14ac:dyDescent="0.25">
      <c r="H97" s="8" t="str">
        <f t="shared" si="2"/>
        <v/>
      </c>
      <c r="I97" s="8" t="str">
        <f>IF(ISBLANK(menu!K101),"",menu!K101)</f>
        <v/>
      </c>
      <c r="M97" s="6" t="str">
        <f t="shared" si="3"/>
        <v/>
      </c>
    </row>
    <row r="98" spans="8:13" x14ac:dyDescent="0.25">
      <c r="H98" s="8" t="str">
        <f t="shared" si="2"/>
        <v/>
      </c>
      <c r="I98" s="8" t="str">
        <f>IF(ISBLANK(menu!K102),"",menu!K102)</f>
        <v/>
      </c>
      <c r="M98" s="6" t="str">
        <f t="shared" si="3"/>
        <v/>
      </c>
    </row>
    <row r="99" spans="8:13" x14ac:dyDescent="0.25">
      <c r="H99" s="8" t="str">
        <f t="shared" si="2"/>
        <v/>
      </c>
      <c r="I99" s="8" t="str">
        <f>IF(ISBLANK(menu!K103),"",menu!K103)</f>
        <v/>
      </c>
      <c r="M99" s="6" t="str">
        <f t="shared" si="3"/>
        <v/>
      </c>
    </row>
    <row r="100" spans="8:13" x14ac:dyDescent="0.25">
      <c r="H100" s="8" t="str">
        <f t="shared" si="2"/>
        <v/>
      </c>
      <c r="I100" s="8" t="str">
        <f>IF(ISBLANK(menu!K104),"",menu!K104)</f>
        <v/>
      </c>
      <c r="M100" s="6" t="str">
        <f t="shared" si="3"/>
        <v/>
      </c>
    </row>
  </sheetData>
  <conditionalFormatting sqref="H1:I1048576">
    <cfRule type="duplicateValues" dxfId="8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5" x14ac:dyDescent="0.25"/>
  <cols>
    <col min="1" max="1" width="14.85546875" bestFit="1" customWidth="1"/>
  </cols>
  <sheetData>
    <row r="1" spans="1:3" x14ac:dyDescent="0.25">
      <c r="A1" t="s">
        <v>343</v>
      </c>
      <c r="B1" t="s">
        <v>369</v>
      </c>
      <c r="C1" t="s">
        <v>507</v>
      </c>
    </row>
    <row r="2" spans="1:3" x14ac:dyDescent="0.25">
      <c r="A2" t="s">
        <v>347</v>
      </c>
      <c r="B2">
        <v>8</v>
      </c>
      <c r="C2" t="s">
        <v>508</v>
      </c>
    </row>
    <row r="3" spans="1:3" x14ac:dyDescent="0.25">
      <c r="A3" t="s">
        <v>348</v>
      </c>
      <c r="B3">
        <v>9</v>
      </c>
      <c r="C3" t="s">
        <v>509</v>
      </c>
    </row>
    <row r="4" spans="1:3" x14ac:dyDescent="0.25">
      <c r="A4" t="s">
        <v>349</v>
      </c>
      <c r="B4">
        <v>13</v>
      </c>
      <c r="C4" t="s">
        <v>510</v>
      </c>
    </row>
    <row r="5" spans="1:3" x14ac:dyDescent="0.25">
      <c r="A5" t="s">
        <v>350</v>
      </c>
      <c r="B5">
        <v>16</v>
      </c>
      <c r="C5" t="s">
        <v>511</v>
      </c>
    </row>
    <row r="6" spans="1:3" x14ac:dyDescent="0.25">
      <c r="A6" t="s">
        <v>351</v>
      </c>
      <c r="B6">
        <v>17</v>
      </c>
      <c r="C6" t="s">
        <v>512</v>
      </c>
    </row>
    <row r="7" spans="1:3" x14ac:dyDescent="0.25">
      <c r="A7" t="s">
        <v>352</v>
      </c>
      <c r="B7">
        <v>18</v>
      </c>
      <c r="C7" t="s">
        <v>513</v>
      </c>
    </row>
    <row r="8" spans="1:3" x14ac:dyDescent="0.25">
      <c r="A8" t="s">
        <v>353</v>
      </c>
      <c r="B8">
        <v>19</v>
      </c>
      <c r="C8" t="s">
        <v>514</v>
      </c>
    </row>
    <row r="9" spans="1:3" x14ac:dyDescent="0.25">
      <c r="A9" t="s">
        <v>354</v>
      </c>
      <c r="B9">
        <v>20</v>
      </c>
      <c r="C9" t="s">
        <v>515</v>
      </c>
    </row>
    <row r="10" spans="1:3" x14ac:dyDescent="0.25">
      <c r="A10" t="s">
        <v>355</v>
      </c>
      <c r="B10">
        <v>27</v>
      </c>
      <c r="C10" t="s">
        <v>516</v>
      </c>
    </row>
    <row r="11" spans="1:3" x14ac:dyDescent="0.25">
      <c r="A11" t="s">
        <v>356</v>
      </c>
      <c r="B11">
        <v>33</v>
      </c>
      <c r="C11" t="s">
        <v>517</v>
      </c>
    </row>
    <row r="12" spans="1:3" x14ac:dyDescent="0.25">
      <c r="A12" t="s">
        <v>357</v>
      </c>
      <c r="B12">
        <v>34</v>
      </c>
      <c r="C12" t="s">
        <v>518</v>
      </c>
    </row>
    <row r="13" spans="1:3" x14ac:dyDescent="0.25">
      <c r="A13" t="s">
        <v>358</v>
      </c>
      <c r="B13">
        <v>35</v>
      </c>
      <c r="C13" t="s">
        <v>519</v>
      </c>
    </row>
    <row r="14" spans="1:3" x14ac:dyDescent="0.25">
      <c r="A14" t="s">
        <v>359</v>
      </c>
      <c r="B14">
        <v>36</v>
      </c>
      <c r="C14" t="s">
        <v>520</v>
      </c>
    </row>
    <row r="15" spans="1:3" x14ac:dyDescent="0.25">
      <c r="A15" t="s">
        <v>360</v>
      </c>
      <c r="B15">
        <v>37</v>
      </c>
      <c r="C15" t="s">
        <v>521</v>
      </c>
    </row>
    <row r="16" spans="1:3" x14ac:dyDescent="0.25">
      <c r="A16" t="s">
        <v>361</v>
      </c>
      <c r="B16">
        <v>38</v>
      </c>
      <c r="C16" t="s">
        <v>522</v>
      </c>
    </row>
    <row r="17" spans="1:3" x14ac:dyDescent="0.25">
      <c r="A17" t="s">
        <v>362</v>
      </c>
      <c r="B17">
        <v>39</v>
      </c>
      <c r="C17" t="s">
        <v>523</v>
      </c>
    </row>
    <row r="18" spans="1:3" x14ac:dyDescent="0.25">
      <c r="A18" t="s">
        <v>363</v>
      </c>
      <c r="B18">
        <v>40</v>
      </c>
      <c r="C18" t="s">
        <v>524</v>
      </c>
    </row>
    <row r="19" spans="1:3" x14ac:dyDescent="0.25">
      <c r="A19" t="s">
        <v>364</v>
      </c>
      <c r="B19">
        <v>45</v>
      </c>
      <c r="C19" t="s">
        <v>525</v>
      </c>
    </row>
    <row r="20" spans="1:3" x14ac:dyDescent="0.25">
      <c r="A20" t="s">
        <v>7</v>
      </c>
      <c r="B20">
        <v>46</v>
      </c>
      <c r="C20" t="s">
        <v>526</v>
      </c>
    </row>
    <row r="21" spans="1:3" x14ac:dyDescent="0.25">
      <c r="A21" t="s">
        <v>666</v>
      </c>
      <c r="B21">
        <v>48</v>
      </c>
      <c r="C21" t="s">
        <v>527</v>
      </c>
    </row>
    <row r="22" spans="1:3" x14ac:dyDescent="0.25">
      <c r="A22" t="s">
        <v>667</v>
      </c>
      <c r="B22">
        <v>49</v>
      </c>
      <c r="C22" t="s">
        <v>528</v>
      </c>
    </row>
    <row r="23" spans="1:3" x14ac:dyDescent="0.25">
      <c r="A23" t="s">
        <v>668</v>
      </c>
      <c r="B23">
        <v>50</v>
      </c>
      <c r="C23" t="s">
        <v>529</v>
      </c>
    </row>
    <row r="24" spans="1:3" x14ac:dyDescent="0.25">
      <c r="A24" t="s">
        <v>669</v>
      </c>
      <c r="B24">
        <v>51</v>
      </c>
      <c r="C24" t="s">
        <v>530</v>
      </c>
    </row>
    <row r="25" spans="1:3" x14ac:dyDescent="0.25">
      <c r="A25" t="s">
        <v>670</v>
      </c>
      <c r="B25">
        <v>52</v>
      </c>
      <c r="C25" t="s">
        <v>531</v>
      </c>
    </row>
    <row r="26" spans="1:3" x14ac:dyDescent="0.25">
      <c r="A26" t="s">
        <v>671</v>
      </c>
      <c r="B26">
        <v>53</v>
      </c>
      <c r="C26" t="s">
        <v>532</v>
      </c>
    </row>
    <row r="27" spans="1:3" x14ac:dyDescent="0.25">
      <c r="A27" t="s">
        <v>672</v>
      </c>
      <c r="B27">
        <v>54</v>
      </c>
      <c r="C27" t="s">
        <v>533</v>
      </c>
    </row>
    <row r="28" spans="1:3" x14ac:dyDescent="0.25">
      <c r="A28" t="s">
        <v>673</v>
      </c>
      <c r="B28">
        <v>55</v>
      </c>
      <c r="C28" t="s">
        <v>534</v>
      </c>
    </row>
    <row r="29" spans="1:3" x14ac:dyDescent="0.25">
      <c r="A29" t="s">
        <v>674</v>
      </c>
      <c r="B29">
        <v>56</v>
      </c>
      <c r="C29" t="s">
        <v>535</v>
      </c>
    </row>
    <row r="30" spans="1:3" x14ac:dyDescent="0.25">
      <c r="A30" t="s">
        <v>675</v>
      </c>
      <c r="B30">
        <v>57</v>
      </c>
      <c r="C30" t="s">
        <v>536</v>
      </c>
    </row>
    <row r="31" spans="1:3" x14ac:dyDescent="0.25">
      <c r="A31" t="s">
        <v>365</v>
      </c>
      <c r="B31">
        <v>65</v>
      </c>
      <c r="C31" t="s">
        <v>537</v>
      </c>
    </row>
    <row r="32" spans="1:3" x14ac:dyDescent="0.25">
      <c r="A32" t="s">
        <v>366</v>
      </c>
      <c r="B32">
        <v>66</v>
      </c>
      <c r="C32" t="s">
        <v>538</v>
      </c>
    </row>
    <row r="33" spans="1:3" x14ac:dyDescent="0.25">
      <c r="A33" t="s">
        <v>367</v>
      </c>
      <c r="B33">
        <v>67</v>
      </c>
      <c r="C33" t="s">
        <v>539</v>
      </c>
    </row>
    <row r="34" spans="1:3" x14ac:dyDescent="0.25">
      <c r="A34" t="s">
        <v>368</v>
      </c>
      <c r="B34">
        <v>68</v>
      </c>
      <c r="C34" t="s">
        <v>540</v>
      </c>
    </row>
    <row r="35" spans="1:3" x14ac:dyDescent="0.25">
      <c r="A35" t="s">
        <v>370</v>
      </c>
      <c r="B35">
        <v>69</v>
      </c>
      <c r="C35" t="s">
        <v>541</v>
      </c>
    </row>
    <row r="36" spans="1:3" x14ac:dyDescent="0.25">
      <c r="A36" t="s">
        <v>371</v>
      </c>
      <c r="B36">
        <v>70</v>
      </c>
      <c r="C36" t="s">
        <v>542</v>
      </c>
    </row>
    <row r="37" spans="1:3" x14ac:dyDescent="0.25">
      <c r="A37" t="s">
        <v>372</v>
      </c>
      <c r="B37">
        <v>71</v>
      </c>
      <c r="C37" t="s">
        <v>543</v>
      </c>
    </row>
    <row r="38" spans="1:3" x14ac:dyDescent="0.25">
      <c r="A38" t="s">
        <v>373</v>
      </c>
      <c r="B38">
        <v>72</v>
      </c>
      <c r="C38" t="s">
        <v>544</v>
      </c>
    </row>
    <row r="39" spans="1:3" x14ac:dyDescent="0.25">
      <c r="A39" t="s">
        <v>374</v>
      </c>
      <c r="B39">
        <v>73</v>
      </c>
      <c r="C39" t="s">
        <v>545</v>
      </c>
    </row>
    <row r="40" spans="1:3" x14ac:dyDescent="0.25">
      <c r="A40" t="s">
        <v>375</v>
      </c>
      <c r="B40">
        <v>74</v>
      </c>
      <c r="C40" t="s">
        <v>546</v>
      </c>
    </row>
    <row r="41" spans="1:3" x14ac:dyDescent="0.25">
      <c r="A41" t="s">
        <v>376</v>
      </c>
      <c r="B41">
        <v>75</v>
      </c>
      <c r="C41" t="s">
        <v>547</v>
      </c>
    </row>
    <row r="42" spans="1:3" x14ac:dyDescent="0.25">
      <c r="A42" t="s">
        <v>377</v>
      </c>
      <c r="B42">
        <v>76</v>
      </c>
      <c r="C42" t="s">
        <v>548</v>
      </c>
    </row>
    <row r="43" spans="1:3" x14ac:dyDescent="0.25">
      <c r="A43" t="s">
        <v>378</v>
      </c>
      <c r="B43">
        <v>77</v>
      </c>
      <c r="C43" t="s">
        <v>549</v>
      </c>
    </row>
    <row r="44" spans="1:3" x14ac:dyDescent="0.25">
      <c r="A44" t="s">
        <v>379</v>
      </c>
      <c r="B44">
        <v>78</v>
      </c>
      <c r="C44" t="s">
        <v>550</v>
      </c>
    </row>
    <row r="45" spans="1:3" x14ac:dyDescent="0.25">
      <c r="A45" t="s">
        <v>380</v>
      </c>
      <c r="B45">
        <v>79</v>
      </c>
      <c r="C45" t="s">
        <v>551</v>
      </c>
    </row>
    <row r="46" spans="1:3" x14ac:dyDescent="0.25">
      <c r="A46" t="s">
        <v>381</v>
      </c>
      <c r="B46">
        <v>80</v>
      </c>
      <c r="C46" t="s">
        <v>552</v>
      </c>
    </row>
    <row r="47" spans="1:3" x14ac:dyDescent="0.25">
      <c r="A47" t="s">
        <v>382</v>
      </c>
      <c r="B47">
        <v>81</v>
      </c>
      <c r="C47" t="s">
        <v>553</v>
      </c>
    </row>
    <row r="48" spans="1:3" x14ac:dyDescent="0.25">
      <c r="A48" t="s">
        <v>383</v>
      </c>
      <c r="B48">
        <v>82</v>
      </c>
      <c r="C48" t="s">
        <v>554</v>
      </c>
    </row>
    <row r="49" spans="1:3" x14ac:dyDescent="0.25">
      <c r="A49" t="s">
        <v>384</v>
      </c>
      <c r="B49">
        <v>83</v>
      </c>
      <c r="C49" t="s">
        <v>555</v>
      </c>
    </row>
    <row r="50" spans="1:3" x14ac:dyDescent="0.25">
      <c r="A50" t="s">
        <v>385</v>
      </c>
      <c r="B50">
        <v>84</v>
      </c>
      <c r="C50" t="s">
        <v>556</v>
      </c>
    </row>
    <row r="51" spans="1:3" x14ac:dyDescent="0.25">
      <c r="A51" t="s">
        <v>386</v>
      </c>
      <c r="B51">
        <v>85</v>
      </c>
      <c r="C51" t="s">
        <v>557</v>
      </c>
    </row>
    <row r="52" spans="1:3" x14ac:dyDescent="0.25">
      <c r="A52" t="s">
        <v>387</v>
      </c>
      <c r="B52">
        <v>86</v>
      </c>
      <c r="C52" t="s">
        <v>558</v>
      </c>
    </row>
    <row r="53" spans="1:3" x14ac:dyDescent="0.25">
      <c r="A53" t="s">
        <v>388</v>
      </c>
      <c r="B53">
        <v>87</v>
      </c>
      <c r="C53" t="s">
        <v>559</v>
      </c>
    </row>
    <row r="54" spans="1:3" x14ac:dyDescent="0.25">
      <c r="A54" t="s">
        <v>37</v>
      </c>
      <c r="B54">
        <v>88</v>
      </c>
      <c r="C54" t="s">
        <v>560</v>
      </c>
    </row>
    <row r="55" spans="1:3" x14ac:dyDescent="0.25">
      <c r="A55" t="s">
        <v>38</v>
      </c>
      <c r="B55">
        <v>89</v>
      </c>
      <c r="C55" t="s">
        <v>561</v>
      </c>
    </row>
    <row r="56" spans="1:3" x14ac:dyDescent="0.25">
      <c r="A56" t="s">
        <v>389</v>
      </c>
      <c r="B56">
        <v>90</v>
      </c>
      <c r="C56" t="s">
        <v>562</v>
      </c>
    </row>
    <row r="57" spans="1:3" x14ac:dyDescent="0.25">
      <c r="A57" t="s">
        <v>390</v>
      </c>
      <c r="B57">
        <v>91</v>
      </c>
      <c r="C57" t="s">
        <v>563</v>
      </c>
    </row>
    <row r="58" spans="1:3" x14ac:dyDescent="0.25">
      <c r="A58" t="s">
        <v>391</v>
      </c>
      <c r="B58">
        <v>92</v>
      </c>
      <c r="C58" t="s">
        <v>564</v>
      </c>
    </row>
    <row r="59" spans="1:3" x14ac:dyDescent="0.25">
      <c r="A59" t="s">
        <v>392</v>
      </c>
      <c r="B59">
        <v>93</v>
      </c>
      <c r="C59" t="s">
        <v>565</v>
      </c>
    </row>
    <row r="60" spans="1:3" x14ac:dyDescent="0.25">
      <c r="A60" t="s">
        <v>393</v>
      </c>
      <c r="B60">
        <v>96</v>
      </c>
      <c r="C60" t="s">
        <v>566</v>
      </c>
    </row>
    <row r="61" spans="1:3" x14ac:dyDescent="0.25">
      <c r="A61" t="s">
        <v>394</v>
      </c>
      <c r="B61">
        <v>97</v>
      </c>
      <c r="C61" t="s">
        <v>567</v>
      </c>
    </row>
    <row r="62" spans="1:3" x14ac:dyDescent="0.25">
      <c r="A62" t="s">
        <v>395</v>
      </c>
      <c r="B62">
        <v>98</v>
      </c>
      <c r="C62" t="s">
        <v>568</v>
      </c>
    </row>
    <row r="63" spans="1:3" x14ac:dyDescent="0.25">
      <c r="A63" t="s">
        <v>396</v>
      </c>
      <c r="B63">
        <v>99</v>
      </c>
      <c r="C63" t="s">
        <v>569</v>
      </c>
    </row>
    <row r="64" spans="1:3" x14ac:dyDescent="0.25">
      <c r="A64" t="s">
        <v>397</v>
      </c>
      <c r="B64">
        <v>100</v>
      </c>
      <c r="C64" t="s">
        <v>570</v>
      </c>
    </row>
    <row r="65" spans="1:3" x14ac:dyDescent="0.25">
      <c r="A65" t="s">
        <v>398</v>
      </c>
      <c r="B65">
        <v>101</v>
      </c>
      <c r="C65" t="s">
        <v>571</v>
      </c>
    </row>
    <row r="66" spans="1:3" x14ac:dyDescent="0.25">
      <c r="A66" t="s">
        <v>399</v>
      </c>
      <c r="B66">
        <v>102</v>
      </c>
      <c r="C66" t="s">
        <v>572</v>
      </c>
    </row>
    <row r="67" spans="1:3" x14ac:dyDescent="0.25">
      <c r="A67" t="s">
        <v>400</v>
      </c>
      <c r="B67">
        <v>103</v>
      </c>
      <c r="C67" t="s">
        <v>573</v>
      </c>
    </row>
    <row r="68" spans="1:3" x14ac:dyDescent="0.25">
      <c r="A68" t="s">
        <v>401</v>
      </c>
      <c r="B68">
        <v>104</v>
      </c>
      <c r="C68" t="s">
        <v>574</v>
      </c>
    </row>
    <row r="69" spans="1:3" x14ac:dyDescent="0.25">
      <c r="A69" t="s">
        <v>402</v>
      </c>
      <c r="B69">
        <v>105</v>
      </c>
      <c r="C69" t="s">
        <v>575</v>
      </c>
    </row>
    <row r="70" spans="1:3" x14ac:dyDescent="0.25">
      <c r="A70" t="s">
        <v>403</v>
      </c>
      <c r="B70">
        <v>106</v>
      </c>
      <c r="C70" t="s">
        <v>576</v>
      </c>
    </row>
    <row r="71" spans="1:3" x14ac:dyDescent="0.25">
      <c r="A71" t="s">
        <v>404</v>
      </c>
      <c r="B71">
        <v>107</v>
      </c>
      <c r="C71" t="s">
        <v>577</v>
      </c>
    </row>
    <row r="72" spans="1:3" x14ac:dyDescent="0.25">
      <c r="A72" t="s">
        <v>405</v>
      </c>
      <c r="B72">
        <v>109</v>
      </c>
      <c r="C72" t="s">
        <v>578</v>
      </c>
    </row>
    <row r="73" spans="1:3" x14ac:dyDescent="0.25">
      <c r="A73" t="s">
        <v>406</v>
      </c>
      <c r="B73">
        <v>110</v>
      </c>
      <c r="C73" t="s">
        <v>579</v>
      </c>
    </row>
    <row r="74" spans="1:3" x14ac:dyDescent="0.25">
      <c r="A74" t="s">
        <v>407</v>
      </c>
      <c r="B74">
        <v>111</v>
      </c>
      <c r="C74" t="s">
        <v>580</v>
      </c>
    </row>
    <row r="75" spans="1:3" x14ac:dyDescent="0.25">
      <c r="A75" t="s">
        <v>408</v>
      </c>
      <c r="B75">
        <v>112</v>
      </c>
      <c r="C75" t="s">
        <v>581</v>
      </c>
    </row>
    <row r="76" spans="1:3" x14ac:dyDescent="0.25">
      <c r="A76" t="s">
        <v>409</v>
      </c>
      <c r="B76">
        <v>113</v>
      </c>
      <c r="C76" t="s">
        <v>582</v>
      </c>
    </row>
    <row r="77" spans="1:3" x14ac:dyDescent="0.25">
      <c r="A77" t="s">
        <v>410</v>
      </c>
      <c r="B77">
        <v>114</v>
      </c>
      <c r="C77" t="s">
        <v>583</v>
      </c>
    </row>
    <row r="78" spans="1:3" x14ac:dyDescent="0.25">
      <c r="A78" t="s">
        <v>411</v>
      </c>
      <c r="B78">
        <v>115</v>
      </c>
      <c r="C78" t="s">
        <v>584</v>
      </c>
    </row>
    <row r="79" spans="1:3" x14ac:dyDescent="0.25">
      <c r="A79" t="s">
        <v>412</v>
      </c>
      <c r="B79">
        <v>116</v>
      </c>
      <c r="C79" t="s">
        <v>585</v>
      </c>
    </row>
    <row r="80" spans="1:3" x14ac:dyDescent="0.25">
      <c r="A80" t="s">
        <v>413</v>
      </c>
      <c r="B80">
        <v>117</v>
      </c>
      <c r="C80" t="s">
        <v>586</v>
      </c>
    </row>
    <row r="81" spans="1:3" x14ac:dyDescent="0.25">
      <c r="A81" t="s">
        <v>414</v>
      </c>
      <c r="B81">
        <v>118</v>
      </c>
      <c r="C81" t="s">
        <v>587</v>
      </c>
    </row>
    <row r="82" spans="1:3" x14ac:dyDescent="0.25">
      <c r="A82" t="s">
        <v>415</v>
      </c>
      <c r="B82">
        <v>119</v>
      </c>
      <c r="C82" t="s">
        <v>588</v>
      </c>
    </row>
    <row r="83" spans="1:3" x14ac:dyDescent="0.25">
      <c r="A83" t="s">
        <v>416</v>
      </c>
      <c r="B83">
        <v>120</v>
      </c>
      <c r="C83" t="s">
        <v>589</v>
      </c>
    </row>
    <row r="84" spans="1:3" x14ac:dyDescent="0.25">
      <c r="A84" t="s">
        <v>417</v>
      </c>
      <c r="B84">
        <v>121</v>
      </c>
      <c r="C84" t="s">
        <v>590</v>
      </c>
    </row>
    <row r="85" spans="1:3" x14ac:dyDescent="0.25">
      <c r="A85" t="s">
        <v>418</v>
      </c>
      <c r="B85">
        <v>122</v>
      </c>
      <c r="C85" t="s">
        <v>591</v>
      </c>
    </row>
    <row r="86" spans="1:3" x14ac:dyDescent="0.25">
      <c r="A86" t="s">
        <v>419</v>
      </c>
      <c r="B86">
        <v>123</v>
      </c>
      <c r="C86" t="s">
        <v>592</v>
      </c>
    </row>
    <row r="87" spans="1:3" x14ac:dyDescent="0.25">
      <c r="A87" t="s">
        <v>420</v>
      </c>
      <c r="B87">
        <v>144</v>
      </c>
      <c r="C87" t="s">
        <v>593</v>
      </c>
    </row>
    <row r="88" spans="1:3" x14ac:dyDescent="0.25">
      <c r="A88" t="s">
        <v>421</v>
      </c>
      <c r="B88">
        <v>145</v>
      </c>
      <c r="C88" t="s">
        <v>594</v>
      </c>
    </row>
    <row r="89" spans="1:3" x14ac:dyDescent="0.25">
      <c r="A89" t="s">
        <v>422</v>
      </c>
      <c r="B89">
        <v>186</v>
      </c>
      <c r="C89" t="s">
        <v>595</v>
      </c>
    </row>
    <row r="90" spans="1:3" x14ac:dyDescent="0.25">
      <c r="A90" t="s">
        <v>423</v>
      </c>
      <c r="B90">
        <v>187</v>
      </c>
      <c r="C90" t="s">
        <v>596</v>
      </c>
    </row>
    <row r="91" spans="1:3" x14ac:dyDescent="0.25">
      <c r="A91" t="s">
        <v>424</v>
      </c>
      <c r="B91">
        <v>188</v>
      </c>
      <c r="C91" t="s">
        <v>643</v>
      </c>
    </row>
    <row r="92" spans="1:3" x14ac:dyDescent="0.25">
      <c r="A92" t="s">
        <v>425</v>
      </c>
      <c r="B92">
        <v>189</v>
      </c>
      <c r="C92" t="s">
        <v>647</v>
      </c>
    </row>
    <row r="93" spans="1:3" x14ac:dyDescent="0.25">
      <c r="A93" t="s">
        <v>426</v>
      </c>
      <c r="B93">
        <v>190</v>
      </c>
      <c r="C93" t="s">
        <v>648</v>
      </c>
    </row>
    <row r="94" spans="1:3" x14ac:dyDescent="0.25">
      <c r="A94" t="s">
        <v>427</v>
      </c>
      <c r="B94">
        <v>191</v>
      </c>
      <c r="C94" t="s">
        <v>597</v>
      </c>
    </row>
    <row r="95" spans="1:3" x14ac:dyDescent="0.25">
      <c r="A95" t="s">
        <v>428</v>
      </c>
      <c r="B95">
        <v>192</v>
      </c>
      <c r="C95" t="s">
        <v>598</v>
      </c>
    </row>
    <row r="96" spans="1:3" x14ac:dyDescent="0.25">
      <c r="A96" t="s">
        <v>429</v>
      </c>
      <c r="B96">
        <v>219</v>
      </c>
      <c r="C96" t="s">
        <v>599</v>
      </c>
    </row>
    <row r="97" spans="1:3" x14ac:dyDescent="0.25">
      <c r="A97" t="s">
        <v>430</v>
      </c>
      <c r="B97">
        <v>220</v>
      </c>
      <c r="C97" t="s">
        <v>600</v>
      </c>
    </row>
    <row r="98" spans="1:3" x14ac:dyDescent="0.25">
      <c r="A98" t="s">
        <v>431</v>
      </c>
      <c r="B98">
        <v>221</v>
      </c>
      <c r="C98" t="s">
        <v>601</v>
      </c>
    </row>
    <row r="99" spans="1:3" x14ac:dyDescent="0.25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7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4"/>
  <sheetViews>
    <sheetView workbookViewId="0">
      <selection activeCell="M1" sqref="M1"/>
    </sheetView>
  </sheetViews>
  <sheetFormatPr defaultColWidth="8.85546875" defaultRowHeight="15" x14ac:dyDescent="0.25"/>
  <cols>
    <col min="1" max="16384" width="8.85546875" style="6"/>
  </cols>
  <sheetData>
    <row r="1" spans="1:13" x14ac:dyDescent="0.25">
      <c r="C1" s="15" t="s">
        <v>329</v>
      </c>
      <c r="D1" s="15"/>
      <c r="E1" s="15" t="s">
        <v>330</v>
      </c>
      <c r="F1" s="15"/>
      <c r="M1" s="11" t="s">
        <v>2218</v>
      </c>
    </row>
    <row r="2" spans="1:13" x14ac:dyDescent="0.25">
      <c r="A2" s="6" t="s">
        <v>288</v>
      </c>
      <c r="B2" s="6" t="s">
        <v>22</v>
      </c>
      <c r="C2" s="6" t="s">
        <v>97</v>
      </c>
      <c r="D2" s="6" t="s">
        <v>289</v>
      </c>
      <c r="E2" s="6" t="s">
        <v>97</v>
      </c>
      <c r="F2" s="6" t="s">
        <v>289</v>
      </c>
    </row>
    <row r="3" spans="1:13" x14ac:dyDescent="0.25">
      <c r="A3" s="6" t="s">
        <v>40</v>
      </c>
      <c r="B3" s="6" t="s">
        <v>1228</v>
      </c>
      <c r="C3" s="6" t="s">
        <v>46</v>
      </c>
      <c r="D3" s="6" t="s">
        <v>67</v>
      </c>
      <c r="E3" s="6" t="s">
        <v>700</v>
      </c>
      <c r="F3" s="6" t="s">
        <v>701</v>
      </c>
    </row>
    <row r="4" spans="1:13" x14ac:dyDescent="0.25">
      <c r="A4" s="6" t="s">
        <v>54</v>
      </c>
      <c r="B4" s="6" t="s">
        <v>1229</v>
      </c>
      <c r="C4" s="6" t="s">
        <v>53</v>
      </c>
      <c r="D4" s="6" t="s">
        <v>66</v>
      </c>
      <c r="E4" s="6" t="s">
        <v>702</v>
      </c>
      <c r="F4" s="6" t="s">
        <v>703</v>
      </c>
    </row>
    <row r="5" spans="1:13" x14ac:dyDescent="0.25">
      <c r="A5" s="6" t="s">
        <v>41</v>
      </c>
      <c r="B5" s="6" t="s">
        <v>1230</v>
      </c>
      <c r="C5" s="6" t="s">
        <v>47</v>
      </c>
      <c r="D5" s="6" t="s">
        <v>1226</v>
      </c>
      <c r="E5" s="6" t="s">
        <v>704</v>
      </c>
      <c r="F5" s="6" t="s">
        <v>1227</v>
      </c>
    </row>
    <row r="6" spans="1:13" x14ac:dyDescent="0.25">
      <c r="A6" s="6" t="s">
        <v>1427</v>
      </c>
      <c r="B6" s="6" t="s">
        <v>1429</v>
      </c>
      <c r="C6" s="6" t="s">
        <v>1428</v>
      </c>
      <c r="D6" s="6" t="s">
        <v>1431</v>
      </c>
      <c r="E6" s="6" t="s">
        <v>1430</v>
      </c>
      <c r="F6" s="6" t="s">
        <v>1432</v>
      </c>
    </row>
    <row r="7" spans="1:13" x14ac:dyDescent="0.25">
      <c r="A7" s="6" t="s">
        <v>1221</v>
      </c>
      <c r="B7" s="6" t="s">
        <v>1231</v>
      </c>
      <c r="C7" s="6" t="s">
        <v>1222</v>
      </c>
      <c r="D7" s="6" t="s">
        <v>1223</v>
      </c>
      <c r="E7" s="6" t="s">
        <v>1224</v>
      </c>
      <c r="F7" s="6" t="s">
        <v>1225</v>
      </c>
    </row>
    <row r="8" spans="1:13" x14ac:dyDescent="0.25">
      <c r="A8" s="6" t="s">
        <v>1248</v>
      </c>
      <c r="B8" s="6" t="s">
        <v>1234</v>
      </c>
      <c r="C8" s="6" t="s">
        <v>48</v>
      </c>
      <c r="D8" s="6" t="s">
        <v>69</v>
      </c>
      <c r="E8" s="6" t="s">
        <v>705</v>
      </c>
      <c r="F8" s="6" t="s">
        <v>706</v>
      </c>
    </row>
    <row r="9" spans="1:13" x14ac:dyDescent="0.25">
      <c r="A9" s="6" t="s">
        <v>2204</v>
      </c>
      <c r="B9" s="6" t="s">
        <v>2211</v>
      </c>
      <c r="C9" s="6" t="s">
        <v>2205</v>
      </c>
      <c r="D9" s="6" t="s">
        <v>2206</v>
      </c>
      <c r="E9" s="6" t="s">
        <v>2216</v>
      </c>
      <c r="F9" s="6" t="s">
        <v>2217</v>
      </c>
    </row>
    <row r="10" spans="1:13" x14ac:dyDescent="0.25">
      <c r="A10" s="6" t="s">
        <v>43</v>
      </c>
      <c r="B10" s="6" t="s">
        <v>1232</v>
      </c>
      <c r="C10" s="6" t="s">
        <v>49</v>
      </c>
      <c r="D10" s="6" t="s">
        <v>70</v>
      </c>
      <c r="E10" s="6" t="s">
        <v>707</v>
      </c>
      <c r="F10" s="6" t="s">
        <v>708</v>
      </c>
    </row>
    <row r="11" spans="1:13" x14ac:dyDescent="0.25">
      <c r="A11" s="6" t="s">
        <v>44</v>
      </c>
      <c r="B11" s="6" t="s">
        <v>1233</v>
      </c>
      <c r="C11" s="6" t="s">
        <v>50</v>
      </c>
      <c r="D11" s="6" t="s">
        <v>71</v>
      </c>
      <c r="E11" s="6" t="s">
        <v>709</v>
      </c>
      <c r="F11" s="6" t="s">
        <v>710</v>
      </c>
    </row>
    <row r="14" spans="1:13" x14ac:dyDescent="0.25">
      <c r="A14" s="6" t="s">
        <v>45</v>
      </c>
      <c r="B14" s="6" t="s">
        <v>1235</v>
      </c>
      <c r="C14" s="6" t="s">
        <v>51</v>
      </c>
      <c r="D14" s="6" t="s">
        <v>72</v>
      </c>
      <c r="E14" s="6" t="s">
        <v>711</v>
      </c>
      <c r="F14" s="6" t="s">
        <v>712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371475</xdr:colOff>
                    <xdr:row>2</xdr:row>
                    <xdr:rowOff>9525</xdr:rowOff>
                  </from>
                  <to>
                    <xdr:col>17</xdr:col>
                    <xdr:colOff>457200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39"/>
  <sheetViews>
    <sheetView workbookViewId="0">
      <pane ySplit="2" topLeftCell="A120" activePane="bottomLeft" state="frozen"/>
      <selection pane="bottomLeft" activeCell="A138" sqref="A138"/>
    </sheetView>
  </sheetViews>
  <sheetFormatPr defaultRowHeight="15" x14ac:dyDescent="0.25"/>
  <cols>
    <col min="1" max="1" width="22.140625" style="13" bestFit="1" customWidth="1"/>
    <col min="2" max="2" width="38.7109375" customWidth="1"/>
    <col min="18" max="18" width="8.85546875" style="12"/>
  </cols>
  <sheetData>
    <row r="1" spans="1:18" x14ac:dyDescent="0.25">
      <c r="I1" s="15" t="s">
        <v>329</v>
      </c>
      <c r="J1" s="15"/>
      <c r="K1" s="15" t="s">
        <v>330</v>
      </c>
      <c r="L1" s="15"/>
    </row>
    <row r="2" spans="1:18" x14ac:dyDescent="0.25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6" t="s">
        <v>97</v>
      </c>
      <c r="J2" s="6" t="s">
        <v>289</v>
      </c>
      <c r="K2" s="6" t="s">
        <v>97</v>
      </c>
      <c r="L2" s="6" t="s">
        <v>289</v>
      </c>
      <c r="R2" s="12" t="s">
        <v>1618</v>
      </c>
    </row>
    <row r="3" spans="1:18" x14ac:dyDescent="0.25">
      <c r="A3" s="13" t="s">
        <v>823</v>
      </c>
      <c r="B3" t="s">
        <v>1782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2" t="s">
        <v>1848</v>
      </c>
    </row>
    <row r="4" spans="1:18" x14ac:dyDescent="0.25">
      <c r="A4" s="13" t="s">
        <v>1208</v>
      </c>
      <c r="B4" t="s">
        <v>1196</v>
      </c>
      <c r="E4">
        <v>48</v>
      </c>
      <c r="F4">
        <v>48</v>
      </c>
      <c r="H4" t="s">
        <v>40</v>
      </c>
      <c r="I4" t="s">
        <v>1200</v>
      </c>
      <c r="J4" t="s">
        <v>1204</v>
      </c>
      <c r="K4" t="s">
        <v>1422</v>
      </c>
      <c r="L4" t="s">
        <v>1206</v>
      </c>
      <c r="R4" s="12" t="s">
        <v>1636</v>
      </c>
    </row>
    <row r="5" spans="1:18" x14ac:dyDescent="0.25">
      <c r="A5" s="13" t="s">
        <v>1211</v>
      </c>
      <c r="B5" t="s">
        <v>1198</v>
      </c>
      <c r="E5">
        <v>48</v>
      </c>
      <c r="F5">
        <v>48</v>
      </c>
      <c r="H5" t="s">
        <v>40</v>
      </c>
      <c r="I5" t="s">
        <v>1203</v>
      </c>
      <c r="J5" t="s">
        <v>1216</v>
      </c>
      <c r="K5" t="s">
        <v>1421</v>
      </c>
      <c r="L5" t="s">
        <v>1217</v>
      </c>
      <c r="R5" s="12" t="s">
        <v>1637</v>
      </c>
    </row>
    <row r="6" spans="1:18" x14ac:dyDescent="0.25">
      <c r="A6" s="13" t="s">
        <v>1209</v>
      </c>
      <c r="B6" t="s">
        <v>1199</v>
      </c>
      <c r="E6">
        <v>48</v>
      </c>
      <c r="F6">
        <v>48</v>
      </c>
      <c r="H6" t="s">
        <v>40</v>
      </c>
      <c r="I6" t="s">
        <v>1201</v>
      </c>
      <c r="J6" t="s">
        <v>1205</v>
      </c>
      <c r="K6" t="s">
        <v>1423</v>
      </c>
      <c r="L6" t="s">
        <v>1207</v>
      </c>
      <c r="R6" s="12" t="s">
        <v>1638</v>
      </c>
    </row>
    <row r="7" spans="1:18" x14ac:dyDescent="0.25">
      <c r="A7" s="13" t="s">
        <v>1213</v>
      </c>
      <c r="B7" t="s">
        <v>1212</v>
      </c>
      <c r="E7">
        <v>48</v>
      </c>
      <c r="F7">
        <v>48</v>
      </c>
      <c r="H7" t="s">
        <v>40</v>
      </c>
      <c r="I7" t="s">
        <v>1214</v>
      </c>
      <c r="J7" t="s">
        <v>1219</v>
      </c>
      <c r="K7" t="s">
        <v>1214</v>
      </c>
      <c r="L7" t="s">
        <v>1220</v>
      </c>
      <c r="R7" s="12" t="s">
        <v>1639</v>
      </c>
    </row>
    <row r="8" spans="1:18" x14ac:dyDescent="0.25">
      <c r="A8" s="13" t="s">
        <v>1210</v>
      </c>
      <c r="B8" t="s">
        <v>1197</v>
      </c>
      <c r="E8">
        <v>48</v>
      </c>
      <c r="F8">
        <v>48</v>
      </c>
      <c r="H8" t="s">
        <v>40</v>
      </c>
      <c r="I8" t="s">
        <v>1202</v>
      </c>
      <c r="J8" t="s">
        <v>1215</v>
      </c>
      <c r="K8" t="s">
        <v>1420</v>
      </c>
      <c r="L8" t="s">
        <v>1218</v>
      </c>
      <c r="R8" s="12" t="s">
        <v>1640</v>
      </c>
    </row>
    <row r="9" spans="1:18" x14ac:dyDescent="0.25">
      <c r="A9" s="13" t="s">
        <v>1032</v>
      </c>
      <c r="B9" t="s">
        <v>1195</v>
      </c>
      <c r="C9" t="s">
        <v>299</v>
      </c>
      <c r="D9" t="s">
        <v>724</v>
      </c>
      <c r="E9">
        <v>48</v>
      </c>
      <c r="F9">
        <v>48</v>
      </c>
      <c r="G9" t="s">
        <v>1037</v>
      </c>
      <c r="H9" t="s">
        <v>40</v>
      </c>
      <c r="I9" t="s">
        <v>1033</v>
      </c>
      <c r="J9" t="s">
        <v>1034</v>
      </c>
      <c r="K9" t="s">
        <v>1035</v>
      </c>
      <c r="L9" t="s">
        <v>1036</v>
      </c>
      <c r="R9" s="12" t="s">
        <v>1633</v>
      </c>
    </row>
    <row r="10" spans="1:18" x14ac:dyDescent="0.25">
      <c r="A10" s="13" t="s">
        <v>1670</v>
      </c>
      <c r="B10" t="s">
        <v>1669</v>
      </c>
      <c r="E10">
        <v>48</v>
      </c>
      <c r="F10">
        <v>48</v>
      </c>
      <c r="H10" t="s">
        <v>40</v>
      </c>
      <c r="I10" t="s">
        <v>1671</v>
      </c>
      <c r="J10" t="s">
        <v>1673</v>
      </c>
      <c r="K10" t="s">
        <v>1672</v>
      </c>
      <c r="L10" t="s">
        <v>1674</v>
      </c>
      <c r="R10" s="12" t="s">
        <v>1675</v>
      </c>
    </row>
    <row r="11" spans="1:18" x14ac:dyDescent="0.25">
      <c r="A11" s="13" t="s">
        <v>1968</v>
      </c>
      <c r="B11" t="s">
        <v>1969</v>
      </c>
      <c r="E11">
        <v>48</v>
      </c>
      <c r="F11">
        <v>96</v>
      </c>
      <c r="H11" t="s">
        <v>40</v>
      </c>
      <c r="I11" t="s">
        <v>1970</v>
      </c>
      <c r="J11" t="s">
        <v>1973</v>
      </c>
      <c r="K11" t="s">
        <v>1971</v>
      </c>
      <c r="L11" t="s">
        <v>1972</v>
      </c>
      <c r="R11" s="12" t="s">
        <v>1974</v>
      </c>
    </row>
    <row r="12" spans="1:18" x14ac:dyDescent="0.25">
      <c r="A12" s="13" t="s">
        <v>2153</v>
      </c>
      <c r="B12" t="s">
        <v>2152</v>
      </c>
      <c r="E12">
        <v>48</v>
      </c>
      <c r="F12">
        <v>48</v>
      </c>
      <c r="H12" t="s">
        <v>40</v>
      </c>
      <c r="I12" t="s">
        <v>2154</v>
      </c>
      <c r="J12" t="s">
        <v>2156</v>
      </c>
      <c r="K12" t="s">
        <v>2157</v>
      </c>
      <c r="L12" t="s">
        <v>2155</v>
      </c>
      <c r="R12" s="12" t="s">
        <v>2177</v>
      </c>
    </row>
    <row r="13" spans="1:18" x14ac:dyDescent="0.25">
      <c r="A13" s="13" t="s">
        <v>2163</v>
      </c>
      <c r="B13" t="s">
        <v>2158</v>
      </c>
      <c r="E13">
        <v>48</v>
      </c>
      <c r="F13">
        <v>48</v>
      </c>
      <c r="H13" t="s">
        <v>40</v>
      </c>
      <c r="I13" t="s">
        <v>2159</v>
      </c>
      <c r="J13" t="s">
        <v>2161</v>
      </c>
      <c r="K13" t="s">
        <v>2160</v>
      </c>
      <c r="L13" t="s">
        <v>2162</v>
      </c>
      <c r="R13" s="12" t="s">
        <v>2178</v>
      </c>
    </row>
    <row r="14" spans="1:18" x14ac:dyDescent="0.25">
      <c r="A14" s="13" t="s">
        <v>2180</v>
      </c>
      <c r="B14" t="s">
        <v>2179</v>
      </c>
      <c r="E14">
        <v>72</v>
      </c>
      <c r="F14">
        <v>48</v>
      </c>
      <c r="H14" t="s">
        <v>40</v>
      </c>
      <c r="I14" t="s">
        <v>2181</v>
      </c>
      <c r="J14" t="s">
        <v>2183</v>
      </c>
      <c r="K14" t="s">
        <v>2182</v>
      </c>
      <c r="L14" t="s">
        <v>2184</v>
      </c>
      <c r="R14" s="12" t="s">
        <v>2185</v>
      </c>
    </row>
    <row r="15" spans="1:18" x14ac:dyDescent="0.25">
      <c r="A15" s="13" t="s">
        <v>966</v>
      </c>
      <c r="B15" t="s">
        <v>970</v>
      </c>
      <c r="C15" t="s">
        <v>299</v>
      </c>
      <c r="D15" t="s">
        <v>724</v>
      </c>
      <c r="E15">
        <v>48</v>
      </c>
      <c r="F15">
        <v>48</v>
      </c>
      <c r="G15" t="s">
        <v>35</v>
      </c>
      <c r="H15" t="s">
        <v>54</v>
      </c>
      <c r="I15" t="s">
        <v>309</v>
      </c>
      <c r="J15" t="s">
        <v>968</v>
      </c>
      <c r="K15" t="s">
        <v>967</v>
      </c>
      <c r="L15" t="s">
        <v>969</v>
      </c>
      <c r="R15" s="12" t="s">
        <v>1632</v>
      </c>
    </row>
    <row r="16" spans="1:18" x14ac:dyDescent="0.25">
      <c r="A16" s="13" t="s">
        <v>922</v>
      </c>
      <c r="B16" t="s">
        <v>1950</v>
      </c>
      <c r="C16" t="s">
        <v>299</v>
      </c>
      <c r="D16" t="s">
        <v>724</v>
      </c>
      <c r="E16">
        <v>96</v>
      </c>
      <c r="F16">
        <v>48</v>
      </c>
      <c r="G16" t="s">
        <v>923</v>
      </c>
      <c r="H16" t="s">
        <v>54</v>
      </c>
      <c r="I16" t="s">
        <v>924</v>
      </c>
      <c r="J16" t="s">
        <v>1662</v>
      </c>
      <c r="K16" t="s">
        <v>925</v>
      </c>
      <c r="L16" t="s">
        <v>1663</v>
      </c>
      <c r="R16" s="12" t="s">
        <v>1951</v>
      </c>
    </row>
    <row r="17" spans="1:18" x14ac:dyDescent="0.25">
      <c r="A17" s="13" t="s">
        <v>1659</v>
      </c>
      <c r="B17" t="s">
        <v>1666</v>
      </c>
      <c r="E17">
        <v>96</v>
      </c>
      <c r="F17">
        <v>72</v>
      </c>
      <c r="H17" t="s">
        <v>54</v>
      </c>
      <c r="I17" t="s">
        <v>1660</v>
      </c>
      <c r="J17" t="s">
        <v>1664</v>
      </c>
      <c r="K17" t="s">
        <v>1661</v>
      </c>
      <c r="L17" t="s">
        <v>1665</v>
      </c>
      <c r="R17" s="12" t="s">
        <v>1948</v>
      </c>
    </row>
    <row r="18" spans="1:18" x14ac:dyDescent="0.25">
      <c r="A18" s="13" t="s">
        <v>1676</v>
      </c>
      <c r="B18" t="s">
        <v>1783</v>
      </c>
      <c r="E18">
        <v>96</v>
      </c>
      <c r="F18">
        <v>168</v>
      </c>
      <c r="H18" t="s">
        <v>54</v>
      </c>
      <c r="I18" t="s">
        <v>1677</v>
      </c>
      <c r="J18" t="s">
        <v>1678</v>
      </c>
      <c r="K18" t="s">
        <v>1679</v>
      </c>
      <c r="L18" t="s">
        <v>1680</v>
      </c>
      <c r="R18" s="12" t="s">
        <v>1949</v>
      </c>
    </row>
    <row r="19" spans="1:18" x14ac:dyDescent="0.25">
      <c r="A19" s="13" t="s">
        <v>1937</v>
      </c>
      <c r="B19" t="s">
        <v>1942</v>
      </c>
      <c r="E19">
        <v>96</v>
      </c>
      <c r="F19">
        <v>120</v>
      </c>
      <c r="H19" t="s">
        <v>54</v>
      </c>
      <c r="I19" t="s">
        <v>1938</v>
      </c>
      <c r="J19" t="s">
        <v>1940</v>
      </c>
      <c r="K19" t="s">
        <v>1939</v>
      </c>
      <c r="L19" t="s">
        <v>1941</v>
      </c>
      <c r="R19" s="12" t="s">
        <v>1979</v>
      </c>
    </row>
    <row r="20" spans="1:18" x14ac:dyDescent="0.25">
      <c r="A20" s="13" t="s">
        <v>1943</v>
      </c>
      <c r="B20" t="s">
        <v>1982</v>
      </c>
      <c r="E20">
        <v>96</v>
      </c>
      <c r="F20">
        <v>120</v>
      </c>
      <c r="H20" t="s">
        <v>54</v>
      </c>
      <c r="I20" t="s">
        <v>1975</v>
      </c>
      <c r="J20" t="s">
        <v>1977</v>
      </c>
      <c r="K20" t="s">
        <v>1976</v>
      </c>
      <c r="L20" t="s">
        <v>1978</v>
      </c>
      <c r="R20" s="12" t="s">
        <v>1983</v>
      </c>
    </row>
    <row r="21" spans="1:18" x14ac:dyDescent="0.25">
      <c r="A21" s="13" t="s">
        <v>1980</v>
      </c>
      <c r="B21" t="s">
        <v>1981</v>
      </c>
      <c r="E21">
        <v>96</v>
      </c>
      <c r="F21">
        <v>120</v>
      </c>
      <c r="H21" t="s">
        <v>54</v>
      </c>
      <c r="I21" t="s">
        <v>1944</v>
      </c>
      <c r="J21" t="s">
        <v>1946</v>
      </c>
      <c r="K21" t="s">
        <v>1945</v>
      </c>
      <c r="L21" t="s">
        <v>1947</v>
      </c>
      <c r="R21" s="12" t="s">
        <v>1984</v>
      </c>
    </row>
    <row r="22" spans="1:18" x14ac:dyDescent="0.25">
      <c r="A22" s="13" t="s">
        <v>1129</v>
      </c>
      <c r="B22" t="s">
        <v>1784</v>
      </c>
      <c r="C22" t="s">
        <v>299</v>
      </c>
      <c r="D22" t="s">
        <v>724</v>
      </c>
      <c r="E22">
        <v>48</v>
      </c>
      <c r="F22">
        <v>48</v>
      </c>
      <c r="G22" t="s">
        <v>1130</v>
      </c>
      <c r="H22" t="s">
        <v>41</v>
      </c>
      <c r="I22" t="s">
        <v>1131</v>
      </c>
      <c r="J22" t="s">
        <v>1133</v>
      </c>
      <c r="K22" t="s">
        <v>1132</v>
      </c>
      <c r="L22" t="s">
        <v>1134</v>
      </c>
      <c r="R22" s="12" t="s">
        <v>1849</v>
      </c>
    </row>
    <row r="23" spans="1:18" x14ac:dyDescent="0.25">
      <c r="A23" s="13" t="s">
        <v>2014</v>
      </c>
      <c r="B23" t="s">
        <v>2019</v>
      </c>
      <c r="E23">
        <v>72</v>
      </c>
      <c r="F23">
        <v>48</v>
      </c>
      <c r="H23" t="s">
        <v>41</v>
      </c>
      <c r="I23" t="s">
        <v>2015</v>
      </c>
      <c r="J23" t="s">
        <v>2017</v>
      </c>
      <c r="K23" t="s">
        <v>2016</v>
      </c>
      <c r="L23" t="s">
        <v>2018</v>
      </c>
      <c r="R23" s="12" t="s">
        <v>2020</v>
      </c>
    </row>
    <row r="24" spans="1:18" x14ac:dyDescent="0.25">
      <c r="A24" s="13" t="s">
        <v>725</v>
      </c>
      <c r="B24" t="s">
        <v>730</v>
      </c>
      <c r="C24" t="s">
        <v>299</v>
      </c>
      <c r="D24" t="s">
        <v>724</v>
      </c>
      <c r="E24">
        <v>48</v>
      </c>
      <c r="F24">
        <v>48</v>
      </c>
      <c r="G24" t="s">
        <v>727</v>
      </c>
      <c r="H24" t="s">
        <v>41</v>
      </c>
      <c r="I24" t="s">
        <v>296</v>
      </c>
      <c r="J24" t="s">
        <v>731</v>
      </c>
      <c r="K24" t="s">
        <v>728</v>
      </c>
      <c r="L24" t="s">
        <v>729</v>
      </c>
      <c r="R24" s="12" t="s">
        <v>1726</v>
      </c>
    </row>
    <row r="25" spans="1:18" x14ac:dyDescent="0.25">
      <c r="A25" s="13" t="s">
        <v>1385</v>
      </c>
      <c r="B25" t="s">
        <v>1273</v>
      </c>
      <c r="E25">
        <v>48</v>
      </c>
      <c r="F25">
        <v>48</v>
      </c>
      <c r="H25" t="s">
        <v>41</v>
      </c>
      <c r="I25" t="s">
        <v>1274</v>
      </c>
      <c r="J25" t="s">
        <v>1282</v>
      </c>
      <c r="K25" t="s">
        <v>1329</v>
      </c>
      <c r="L25" t="s">
        <v>1352</v>
      </c>
      <c r="R25" s="12" t="s">
        <v>1649</v>
      </c>
    </row>
    <row r="26" spans="1:18" x14ac:dyDescent="0.25">
      <c r="A26" s="13" t="s">
        <v>1386</v>
      </c>
      <c r="B26" t="s">
        <v>1785</v>
      </c>
      <c r="E26">
        <v>48</v>
      </c>
      <c r="F26">
        <v>48</v>
      </c>
      <c r="H26" t="s">
        <v>41</v>
      </c>
      <c r="I26" t="s">
        <v>1275</v>
      </c>
      <c r="J26" t="s">
        <v>1283</v>
      </c>
      <c r="K26" t="s">
        <v>1330</v>
      </c>
      <c r="L26" t="s">
        <v>1353</v>
      </c>
      <c r="R26" s="12" t="s">
        <v>1850</v>
      </c>
    </row>
    <row r="27" spans="1:18" x14ac:dyDescent="0.25">
      <c r="A27" s="13" t="s">
        <v>1383</v>
      </c>
      <c r="B27" t="s">
        <v>1293</v>
      </c>
      <c r="E27">
        <v>48</v>
      </c>
      <c r="F27">
        <v>48</v>
      </c>
      <c r="H27" t="s">
        <v>41</v>
      </c>
      <c r="I27" t="s">
        <v>1271</v>
      </c>
      <c r="J27" t="s">
        <v>1295</v>
      </c>
      <c r="K27" t="s">
        <v>1327</v>
      </c>
      <c r="L27" t="s">
        <v>1350</v>
      </c>
      <c r="R27" s="12" t="s">
        <v>1648</v>
      </c>
    </row>
    <row r="28" spans="1:18" x14ac:dyDescent="0.25">
      <c r="A28" s="13" t="s">
        <v>1393</v>
      </c>
      <c r="B28" t="s">
        <v>1296</v>
      </c>
      <c r="E28">
        <v>48</v>
      </c>
      <c r="F28">
        <v>48</v>
      </c>
      <c r="H28" t="s">
        <v>41</v>
      </c>
      <c r="I28" t="s">
        <v>1297</v>
      </c>
      <c r="J28" t="s">
        <v>1294</v>
      </c>
      <c r="K28" t="s">
        <v>1336</v>
      </c>
      <c r="L28" t="s">
        <v>1360</v>
      </c>
      <c r="R28" s="12" t="s">
        <v>1650</v>
      </c>
    </row>
    <row r="29" spans="1:18" x14ac:dyDescent="0.25">
      <c r="A29" s="13" t="s">
        <v>1392</v>
      </c>
      <c r="B29" t="s">
        <v>1786</v>
      </c>
      <c r="E29">
        <v>48</v>
      </c>
      <c r="F29">
        <v>48</v>
      </c>
      <c r="H29" t="s">
        <v>41</v>
      </c>
      <c r="I29" t="s">
        <v>1292</v>
      </c>
      <c r="J29" t="s">
        <v>1291</v>
      </c>
      <c r="K29" t="s">
        <v>1725</v>
      </c>
      <c r="L29" t="s">
        <v>1359</v>
      </c>
      <c r="R29" s="12" t="s">
        <v>1851</v>
      </c>
    </row>
    <row r="30" spans="1:18" x14ac:dyDescent="0.25">
      <c r="A30" s="13" t="s">
        <v>1406</v>
      </c>
      <c r="B30" t="s">
        <v>1787</v>
      </c>
      <c r="E30">
        <v>48</v>
      </c>
      <c r="F30">
        <v>48</v>
      </c>
      <c r="H30" t="s">
        <v>41</v>
      </c>
      <c r="I30" t="s">
        <v>1306</v>
      </c>
      <c r="J30" t="s">
        <v>1321</v>
      </c>
      <c r="K30" t="s">
        <v>1344</v>
      </c>
      <c r="L30" t="s">
        <v>1373</v>
      </c>
      <c r="R30" s="12" t="s">
        <v>1852</v>
      </c>
    </row>
    <row r="31" spans="1:18" x14ac:dyDescent="0.25">
      <c r="A31" s="13" t="s">
        <v>1408</v>
      </c>
      <c r="B31" t="s">
        <v>1788</v>
      </c>
      <c r="E31">
        <v>48</v>
      </c>
      <c r="F31">
        <v>48</v>
      </c>
      <c r="H31" t="s">
        <v>41</v>
      </c>
      <c r="I31" t="s">
        <v>1304</v>
      </c>
      <c r="J31" t="s">
        <v>1323</v>
      </c>
      <c r="K31" t="s">
        <v>1346</v>
      </c>
      <c r="L31" t="s">
        <v>1375</v>
      </c>
      <c r="R31" s="12" t="s">
        <v>1853</v>
      </c>
    </row>
    <row r="32" spans="1:18" x14ac:dyDescent="0.25">
      <c r="A32" s="13" t="s">
        <v>1381</v>
      </c>
      <c r="B32" t="s">
        <v>2001</v>
      </c>
      <c r="E32">
        <v>48</v>
      </c>
      <c r="F32">
        <v>48</v>
      </c>
      <c r="H32" t="s">
        <v>41</v>
      </c>
      <c r="I32" t="s">
        <v>1269</v>
      </c>
      <c r="J32" t="s">
        <v>1279</v>
      </c>
      <c r="K32" t="s">
        <v>1325</v>
      </c>
      <c r="L32" t="s">
        <v>1348</v>
      </c>
      <c r="R32" s="12" t="s">
        <v>2009</v>
      </c>
    </row>
    <row r="33" spans="1:18" x14ac:dyDescent="0.25">
      <c r="A33" s="13" t="s">
        <v>1985</v>
      </c>
      <c r="B33" t="s">
        <v>2002</v>
      </c>
      <c r="E33">
        <v>96</v>
      </c>
      <c r="F33">
        <v>48</v>
      </c>
      <c r="H33" t="s">
        <v>41</v>
      </c>
      <c r="I33" t="s">
        <v>1988</v>
      </c>
      <c r="J33" t="s">
        <v>1993</v>
      </c>
      <c r="K33" t="s">
        <v>1991</v>
      </c>
      <c r="L33" t="s">
        <v>1996</v>
      </c>
      <c r="R33" s="12" t="s">
        <v>2010</v>
      </c>
    </row>
    <row r="34" spans="1:18" x14ac:dyDescent="0.25">
      <c r="A34" s="13" t="s">
        <v>1986</v>
      </c>
      <c r="B34" t="s">
        <v>2003</v>
      </c>
      <c r="E34">
        <v>96</v>
      </c>
      <c r="F34">
        <v>48</v>
      </c>
      <c r="H34" t="s">
        <v>41</v>
      </c>
      <c r="I34" t="s">
        <v>1989</v>
      </c>
      <c r="J34" t="s">
        <v>1994</v>
      </c>
      <c r="K34" t="s">
        <v>1989</v>
      </c>
      <c r="L34" t="s">
        <v>1997</v>
      </c>
      <c r="R34" s="12" t="s">
        <v>2011</v>
      </c>
    </row>
    <row r="35" spans="1:18" x14ac:dyDescent="0.25">
      <c r="A35" s="13" t="s">
        <v>1987</v>
      </c>
      <c r="B35" t="s">
        <v>2004</v>
      </c>
      <c r="E35">
        <v>96</v>
      </c>
      <c r="F35">
        <v>48</v>
      </c>
      <c r="H35" t="s">
        <v>41</v>
      </c>
      <c r="I35" t="s">
        <v>1990</v>
      </c>
      <c r="J35" t="s">
        <v>1995</v>
      </c>
      <c r="K35" t="s">
        <v>1992</v>
      </c>
      <c r="L35" t="s">
        <v>1998</v>
      </c>
      <c r="R35" s="12" t="s">
        <v>2012</v>
      </c>
    </row>
    <row r="36" spans="1:18" x14ac:dyDescent="0.25">
      <c r="A36" s="13" t="s">
        <v>2000</v>
      </c>
      <c r="B36" t="s">
        <v>1999</v>
      </c>
      <c r="E36">
        <v>96</v>
      </c>
      <c r="F36">
        <v>48</v>
      </c>
      <c r="H36" t="s">
        <v>41</v>
      </c>
      <c r="I36" t="s">
        <v>2007</v>
      </c>
      <c r="J36" t="s">
        <v>2005</v>
      </c>
      <c r="K36" t="s">
        <v>2008</v>
      </c>
      <c r="L36" t="s">
        <v>2006</v>
      </c>
      <c r="R36" s="12" t="s">
        <v>2013</v>
      </c>
    </row>
    <row r="37" spans="1:18" x14ac:dyDescent="0.25">
      <c r="A37" s="13" t="s">
        <v>1409</v>
      </c>
      <c r="B37" t="s">
        <v>1789</v>
      </c>
      <c r="E37">
        <v>48</v>
      </c>
      <c r="F37">
        <v>48</v>
      </c>
      <c r="H37" t="s">
        <v>41</v>
      </c>
      <c r="I37" t="s">
        <v>1203</v>
      </c>
      <c r="J37" t="s">
        <v>1324</v>
      </c>
      <c r="K37" t="s">
        <v>1347</v>
      </c>
      <c r="L37" t="s">
        <v>1376</v>
      </c>
      <c r="R37" s="12" t="s">
        <v>1854</v>
      </c>
    </row>
    <row r="38" spans="1:18" x14ac:dyDescent="0.25">
      <c r="A38" s="13" t="s">
        <v>1407</v>
      </c>
      <c r="B38" t="s">
        <v>1790</v>
      </c>
      <c r="E38">
        <v>48</v>
      </c>
      <c r="F38">
        <v>48</v>
      </c>
      <c r="H38" t="s">
        <v>41</v>
      </c>
      <c r="I38" t="s">
        <v>1305</v>
      </c>
      <c r="J38" t="s">
        <v>1322</v>
      </c>
      <c r="K38" t="s">
        <v>1345</v>
      </c>
      <c r="L38" t="s">
        <v>1374</v>
      </c>
      <c r="R38" s="12" t="s">
        <v>1855</v>
      </c>
    </row>
    <row r="39" spans="1:18" x14ac:dyDescent="0.25">
      <c r="A39" s="13" t="s">
        <v>1384</v>
      </c>
      <c r="B39" t="s">
        <v>1791</v>
      </c>
      <c r="E39">
        <v>48</v>
      </c>
      <c r="F39">
        <v>48</v>
      </c>
      <c r="H39" t="s">
        <v>41</v>
      </c>
      <c r="I39" t="s">
        <v>1272</v>
      </c>
      <c r="J39" t="s">
        <v>1281</v>
      </c>
      <c r="K39" t="s">
        <v>1328</v>
      </c>
      <c r="L39" t="s">
        <v>1351</v>
      </c>
      <c r="R39" s="12" t="s">
        <v>1856</v>
      </c>
    </row>
    <row r="40" spans="1:18" x14ac:dyDescent="0.25">
      <c r="A40" s="13" t="s">
        <v>1382</v>
      </c>
      <c r="B40" t="s">
        <v>1792</v>
      </c>
      <c r="E40">
        <v>48</v>
      </c>
      <c r="F40">
        <v>48</v>
      </c>
      <c r="H40" t="s">
        <v>41</v>
      </c>
      <c r="I40" t="s">
        <v>1270</v>
      </c>
      <c r="J40" t="s">
        <v>1280</v>
      </c>
      <c r="K40" t="s">
        <v>1326</v>
      </c>
      <c r="L40" t="s">
        <v>1349</v>
      </c>
      <c r="R40" s="12" t="s">
        <v>1857</v>
      </c>
    </row>
    <row r="41" spans="1:18" x14ac:dyDescent="0.25">
      <c r="A41" s="13" t="s">
        <v>1387</v>
      </c>
      <c r="B41" t="s">
        <v>1793</v>
      </c>
      <c r="E41">
        <v>48</v>
      </c>
      <c r="F41">
        <v>48</v>
      </c>
      <c r="H41" t="s">
        <v>41</v>
      </c>
      <c r="I41" t="s">
        <v>1277</v>
      </c>
      <c r="J41" t="s">
        <v>1284</v>
      </c>
      <c r="K41" t="s">
        <v>1331</v>
      </c>
      <c r="L41" t="s">
        <v>1354</v>
      </c>
      <c r="R41" s="12" t="s">
        <v>1858</v>
      </c>
    </row>
    <row r="42" spans="1:18" x14ac:dyDescent="0.25">
      <c r="A42" s="13" t="s">
        <v>1396</v>
      </c>
      <c r="B42" t="s">
        <v>1794</v>
      </c>
      <c r="E42">
        <v>48</v>
      </c>
      <c r="F42">
        <v>48</v>
      </c>
      <c r="H42" t="s">
        <v>41</v>
      </c>
      <c r="I42" t="s">
        <v>1302</v>
      </c>
      <c r="J42" t="s">
        <v>1303</v>
      </c>
      <c r="K42" t="s">
        <v>1338</v>
      </c>
      <c r="L42" t="s">
        <v>1363</v>
      </c>
      <c r="R42" s="12" t="s">
        <v>1859</v>
      </c>
    </row>
    <row r="43" spans="1:18" x14ac:dyDescent="0.25">
      <c r="A43" s="13" t="s">
        <v>1395</v>
      </c>
      <c r="B43" t="s">
        <v>1795</v>
      </c>
      <c r="E43">
        <v>48</v>
      </c>
      <c r="F43">
        <v>48</v>
      </c>
      <c r="H43" t="s">
        <v>41</v>
      </c>
      <c r="I43" t="s">
        <v>1300</v>
      </c>
      <c r="J43" t="s">
        <v>1301</v>
      </c>
      <c r="K43" t="s">
        <v>1337</v>
      </c>
      <c r="L43" t="s">
        <v>1362</v>
      </c>
      <c r="R43" s="12" t="s">
        <v>1860</v>
      </c>
    </row>
    <row r="44" spans="1:18" x14ac:dyDescent="0.25">
      <c r="A44" s="13" t="s">
        <v>1388</v>
      </c>
      <c r="B44" t="s">
        <v>1796</v>
      </c>
      <c r="E44">
        <v>48</v>
      </c>
      <c r="F44">
        <v>48</v>
      </c>
      <c r="H44" t="s">
        <v>41</v>
      </c>
      <c r="I44" t="s">
        <v>1276</v>
      </c>
      <c r="J44" t="s">
        <v>1286</v>
      </c>
      <c r="K44" t="s">
        <v>1332</v>
      </c>
      <c r="L44" t="s">
        <v>1355</v>
      </c>
      <c r="R44" s="12" t="s">
        <v>1861</v>
      </c>
    </row>
    <row r="45" spans="1:18" x14ac:dyDescent="0.25">
      <c r="A45" s="13" t="s">
        <v>1389</v>
      </c>
      <c r="B45" t="s">
        <v>1797</v>
      </c>
      <c r="E45">
        <v>48</v>
      </c>
      <c r="F45">
        <v>48</v>
      </c>
      <c r="H45" t="s">
        <v>41</v>
      </c>
      <c r="I45" t="s">
        <v>1287</v>
      </c>
      <c r="J45" t="s">
        <v>1285</v>
      </c>
      <c r="K45" t="s">
        <v>1333</v>
      </c>
      <c r="L45" t="s">
        <v>1356</v>
      </c>
      <c r="R45" s="12" t="s">
        <v>1862</v>
      </c>
    </row>
    <row r="46" spans="1:18" x14ac:dyDescent="0.25">
      <c r="A46" s="13" t="s">
        <v>1390</v>
      </c>
      <c r="B46" t="s">
        <v>1798</v>
      </c>
      <c r="E46">
        <v>48</v>
      </c>
      <c r="F46">
        <v>48</v>
      </c>
      <c r="H46" t="s">
        <v>41</v>
      </c>
      <c r="I46" t="s">
        <v>1278</v>
      </c>
      <c r="J46" t="s">
        <v>1288</v>
      </c>
      <c r="K46" t="s">
        <v>1334</v>
      </c>
      <c r="L46" t="s">
        <v>1357</v>
      </c>
      <c r="R46" s="12" t="s">
        <v>1863</v>
      </c>
    </row>
    <row r="47" spans="1:18" x14ac:dyDescent="0.25">
      <c r="A47" s="13" t="s">
        <v>1391</v>
      </c>
      <c r="B47" t="s">
        <v>1799</v>
      </c>
      <c r="E47">
        <v>48</v>
      </c>
      <c r="F47">
        <v>48</v>
      </c>
      <c r="H47" t="s">
        <v>41</v>
      </c>
      <c r="I47" t="s">
        <v>1289</v>
      </c>
      <c r="J47" t="s">
        <v>1290</v>
      </c>
      <c r="K47" t="s">
        <v>1335</v>
      </c>
      <c r="L47" t="s">
        <v>1358</v>
      </c>
      <c r="R47" s="12" t="s">
        <v>1864</v>
      </c>
    </row>
    <row r="48" spans="1:18" x14ac:dyDescent="0.25">
      <c r="A48" s="13" t="s">
        <v>1401</v>
      </c>
      <c r="B48" t="s">
        <v>1800</v>
      </c>
      <c r="E48">
        <v>48</v>
      </c>
      <c r="F48">
        <v>48</v>
      </c>
      <c r="H48" t="s">
        <v>41</v>
      </c>
      <c r="I48" t="s">
        <v>1310</v>
      </c>
      <c r="J48" t="s">
        <v>1380</v>
      </c>
      <c r="K48" t="s">
        <v>1310</v>
      </c>
      <c r="L48" t="s">
        <v>1368</v>
      </c>
      <c r="R48" s="12" t="s">
        <v>1865</v>
      </c>
    </row>
    <row r="49" spans="1:18" x14ac:dyDescent="0.25">
      <c r="A49" s="13" t="s">
        <v>1402</v>
      </c>
      <c r="B49" t="s">
        <v>1801</v>
      </c>
      <c r="E49">
        <v>48</v>
      </c>
      <c r="F49">
        <v>48</v>
      </c>
      <c r="H49" t="s">
        <v>41</v>
      </c>
      <c r="I49" t="s">
        <v>1309</v>
      </c>
      <c r="J49" t="s">
        <v>1316</v>
      </c>
      <c r="K49" t="s">
        <v>1342</v>
      </c>
      <c r="L49" t="s">
        <v>1369</v>
      </c>
      <c r="R49" s="12" t="s">
        <v>1866</v>
      </c>
    </row>
    <row r="50" spans="1:18" x14ac:dyDescent="0.25">
      <c r="A50" s="13" t="s">
        <v>1399</v>
      </c>
      <c r="B50" t="s">
        <v>1802</v>
      </c>
      <c r="E50">
        <v>48</v>
      </c>
      <c r="F50">
        <v>48</v>
      </c>
      <c r="H50" t="s">
        <v>41</v>
      </c>
      <c r="I50" t="s">
        <v>1311</v>
      </c>
      <c r="J50" t="s">
        <v>1378</v>
      </c>
      <c r="K50" t="s">
        <v>1340</v>
      </c>
      <c r="L50" t="s">
        <v>1366</v>
      </c>
      <c r="R50" s="12" t="s">
        <v>1867</v>
      </c>
    </row>
    <row r="51" spans="1:18" x14ac:dyDescent="0.25">
      <c r="A51" s="13" t="s">
        <v>1400</v>
      </c>
      <c r="B51" t="s">
        <v>1803</v>
      </c>
      <c r="E51">
        <v>48</v>
      </c>
      <c r="F51">
        <v>48</v>
      </c>
      <c r="H51" t="s">
        <v>41</v>
      </c>
      <c r="I51" t="s">
        <v>1314</v>
      </c>
      <c r="J51" t="s">
        <v>1379</v>
      </c>
      <c r="K51" t="s">
        <v>1341</v>
      </c>
      <c r="L51" t="s">
        <v>1367</v>
      </c>
      <c r="R51" s="12" t="s">
        <v>1868</v>
      </c>
    </row>
    <row r="52" spans="1:18" x14ac:dyDescent="0.25">
      <c r="A52" s="13" t="s">
        <v>1398</v>
      </c>
      <c r="B52" t="s">
        <v>1804</v>
      </c>
      <c r="E52">
        <v>48</v>
      </c>
      <c r="F52">
        <v>48</v>
      </c>
      <c r="H52" t="s">
        <v>41</v>
      </c>
      <c r="I52" t="s">
        <v>1312</v>
      </c>
      <c r="J52" t="s">
        <v>1377</v>
      </c>
      <c r="K52" t="s">
        <v>1339</v>
      </c>
      <c r="L52" t="s">
        <v>1365</v>
      </c>
      <c r="R52" s="12" t="s">
        <v>1869</v>
      </c>
    </row>
    <row r="53" spans="1:18" x14ac:dyDescent="0.25">
      <c r="A53" s="13" t="s">
        <v>1415</v>
      </c>
      <c r="B53" t="s">
        <v>1805</v>
      </c>
      <c r="E53">
        <v>96</v>
      </c>
      <c r="F53">
        <v>48</v>
      </c>
      <c r="H53" t="s">
        <v>41</v>
      </c>
      <c r="I53" t="s">
        <v>1417</v>
      </c>
      <c r="J53" t="s">
        <v>1416</v>
      </c>
      <c r="K53" t="s">
        <v>1418</v>
      </c>
      <c r="L53" t="s">
        <v>1419</v>
      </c>
      <c r="R53" s="12" t="s">
        <v>1870</v>
      </c>
    </row>
    <row r="54" spans="1:18" x14ac:dyDescent="0.25">
      <c r="A54" s="13" t="s">
        <v>1397</v>
      </c>
      <c r="B54" t="s">
        <v>1806</v>
      </c>
      <c r="E54">
        <v>48</v>
      </c>
      <c r="F54">
        <v>48</v>
      </c>
      <c r="H54" t="s">
        <v>41</v>
      </c>
      <c r="I54" t="s">
        <v>1313</v>
      </c>
      <c r="J54" t="s">
        <v>1315</v>
      </c>
      <c r="K54" t="s">
        <v>1313</v>
      </c>
      <c r="L54" t="s">
        <v>1364</v>
      </c>
      <c r="R54" s="12" t="s">
        <v>1871</v>
      </c>
    </row>
    <row r="55" spans="1:18" x14ac:dyDescent="0.25">
      <c r="A55" s="13" t="s">
        <v>1394</v>
      </c>
      <c r="B55" t="s">
        <v>1807</v>
      </c>
      <c r="E55">
        <v>48</v>
      </c>
      <c r="F55">
        <v>48</v>
      </c>
      <c r="H55" t="s">
        <v>41</v>
      </c>
      <c r="I55" t="s">
        <v>1298</v>
      </c>
      <c r="J55" t="s">
        <v>1299</v>
      </c>
      <c r="K55" t="s">
        <v>1298</v>
      </c>
      <c r="L55" t="s">
        <v>1361</v>
      </c>
      <c r="R55" s="12" t="s">
        <v>1872</v>
      </c>
    </row>
    <row r="56" spans="1:18" x14ac:dyDescent="0.25">
      <c r="A56" s="13" t="s">
        <v>1414</v>
      </c>
      <c r="B56" t="s">
        <v>1808</v>
      </c>
      <c r="E56">
        <v>48</v>
      </c>
      <c r="F56">
        <v>48</v>
      </c>
      <c r="H56" t="s">
        <v>41</v>
      </c>
      <c r="I56" t="s">
        <v>1412</v>
      </c>
      <c r="J56" t="s">
        <v>1410</v>
      </c>
      <c r="K56" t="s">
        <v>1411</v>
      </c>
      <c r="L56" t="s">
        <v>1413</v>
      </c>
      <c r="R56" s="12" t="s">
        <v>1873</v>
      </c>
    </row>
    <row r="57" spans="1:18" x14ac:dyDescent="0.25">
      <c r="A57" s="13" t="s">
        <v>1404</v>
      </c>
      <c r="B57" t="s">
        <v>1809</v>
      </c>
      <c r="E57">
        <v>48</v>
      </c>
      <c r="F57">
        <v>48</v>
      </c>
      <c r="H57" t="s">
        <v>41</v>
      </c>
      <c r="I57" t="s">
        <v>1307</v>
      </c>
      <c r="J57" t="s">
        <v>1319</v>
      </c>
      <c r="K57" t="s">
        <v>1307</v>
      </c>
      <c r="L57" t="s">
        <v>1371</v>
      </c>
      <c r="R57" s="12" t="s">
        <v>1874</v>
      </c>
    </row>
    <row r="58" spans="1:18" x14ac:dyDescent="0.25">
      <c r="A58" s="13" t="s">
        <v>1405</v>
      </c>
      <c r="B58" t="s">
        <v>1810</v>
      </c>
      <c r="E58">
        <v>48</v>
      </c>
      <c r="F58">
        <v>48</v>
      </c>
      <c r="H58" t="s">
        <v>41</v>
      </c>
      <c r="I58" t="s">
        <v>1308</v>
      </c>
      <c r="J58" t="s">
        <v>1320</v>
      </c>
      <c r="K58" t="s">
        <v>1308</v>
      </c>
      <c r="L58" t="s">
        <v>1372</v>
      </c>
      <c r="R58" s="12" t="s">
        <v>1875</v>
      </c>
    </row>
    <row r="59" spans="1:18" x14ac:dyDescent="0.25">
      <c r="A59" s="13" t="s">
        <v>1403</v>
      </c>
      <c r="B59" t="s">
        <v>1811</v>
      </c>
      <c r="E59">
        <v>48</v>
      </c>
      <c r="F59">
        <v>48</v>
      </c>
      <c r="H59" t="s">
        <v>41</v>
      </c>
      <c r="I59" t="s">
        <v>1318</v>
      </c>
      <c r="J59" t="s">
        <v>1317</v>
      </c>
      <c r="K59" t="s">
        <v>1343</v>
      </c>
      <c r="L59" t="s">
        <v>1370</v>
      </c>
      <c r="R59" s="12" t="s">
        <v>1876</v>
      </c>
    </row>
    <row r="60" spans="1:18" x14ac:dyDescent="0.25">
      <c r="A60" s="13" t="s">
        <v>1501</v>
      </c>
      <c r="B60" t="s">
        <v>1812</v>
      </c>
      <c r="E60">
        <v>48</v>
      </c>
      <c r="F60">
        <v>48</v>
      </c>
      <c r="H60" t="s">
        <v>1427</v>
      </c>
      <c r="I60" t="s">
        <v>1453</v>
      </c>
      <c r="J60" t="s">
        <v>1477</v>
      </c>
      <c r="K60" t="s">
        <v>1453</v>
      </c>
      <c r="L60" t="s">
        <v>1525</v>
      </c>
      <c r="R60" s="12" t="s">
        <v>1877</v>
      </c>
    </row>
    <row r="61" spans="1:18" x14ac:dyDescent="0.25">
      <c r="A61" s="13" t="s">
        <v>1493</v>
      </c>
      <c r="B61" t="s">
        <v>1813</v>
      </c>
      <c r="E61">
        <v>48</v>
      </c>
      <c r="F61">
        <v>48</v>
      </c>
      <c r="H61" t="s">
        <v>1427</v>
      </c>
      <c r="I61" t="s">
        <v>1445</v>
      </c>
      <c r="J61" t="s">
        <v>1469</v>
      </c>
      <c r="K61" t="s">
        <v>1445</v>
      </c>
      <c r="L61" t="s">
        <v>1517</v>
      </c>
      <c r="R61" s="12" t="s">
        <v>1878</v>
      </c>
    </row>
    <row r="62" spans="1:18" x14ac:dyDescent="0.25">
      <c r="A62" s="13" t="s">
        <v>1503</v>
      </c>
      <c r="B62" t="s">
        <v>1814</v>
      </c>
      <c r="E62">
        <v>48</v>
      </c>
      <c r="F62">
        <v>48</v>
      </c>
      <c r="H62" t="s">
        <v>1427</v>
      </c>
      <c r="I62" t="s">
        <v>1455</v>
      </c>
      <c r="J62" t="s">
        <v>1479</v>
      </c>
      <c r="K62" t="s">
        <v>1455</v>
      </c>
      <c r="L62" t="s">
        <v>1527</v>
      </c>
      <c r="R62" s="12" t="s">
        <v>1879</v>
      </c>
    </row>
    <row r="63" spans="1:18" x14ac:dyDescent="0.25">
      <c r="A63" s="13" t="s">
        <v>1497</v>
      </c>
      <c r="B63" t="s">
        <v>1815</v>
      </c>
      <c r="E63">
        <v>48</v>
      </c>
      <c r="F63">
        <v>48</v>
      </c>
      <c r="H63" t="s">
        <v>1427</v>
      </c>
      <c r="I63" t="s">
        <v>1450</v>
      </c>
      <c r="J63" t="s">
        <v>1473</v>
      </c>
      <c r="K63" t="s">
        <v>1450</v>
      </c>
      <c r="L63" t="s">
        <v>1521</v>
      </c>
      <c r="R63" s="12" t="s">
        <v>1880</v>
      </c>
    </row>
    <row r="64" spans="1:18" x14ac:dyDescent="0.25">
      <c r="A64" s="13" t="s">
        <v>1499</v>
      </c>
      <c r="B64" t="s">
        <v>1816</v>
      </c>
      <c r="E64">
        <v>48</v>
      </c>
      <c r="F64">
        <v>48</v>
      </c>
      <c r="H64" t="s">
        <v>1427</v>
      </c>
      <c r="I64" t="s">
        <v>1451</v>
      </c>
      <c r="J64" t="s">
        <v>1475</v>
      </c>
      <c r="K64" t="s">
        <v>1451</v>
      </c>
      <c r="L64" t="s">
        <v>1523</v>
      </c>
      <c r="R64" s="12" t="s">
        <v>1881</v>
      </c>
    </row>
    <row r="65" spans="1:18" x14ac:dyDescent="0.25">
      <c r="A65" s="13" t="s">
        <v>1495</v>
      </c>
      <c r="B65" t="s">
        <v>1817</v>
      </c>
      <c r="E65">
        <v>48</v>
      </c>
      <c r="F65">
        <v>48</v>
      </c>
      <c r="H65" t="s">
        <v>1427</v>
      </c>
      <c r="I65" t="s">
        <v>1447</v>
      </c>
      <c r="J65" t="s">
        <v>1471</v>
      </c>
      <c r="K65" t="s">
        <v>1447</v>
      </c>
      <c r="L65" t="s">
        <v>1519</v>
      </c>
      <c r="R65" s="12" t="s">
        <v>1882</v>
      </c>
    </row>
    <row r="66" spans="1:18" x14ac:dyDescent="0.25">
      <c r="A66" s="13" t="s">
        <v>1489</v>
      </c>
      <c r="B66" t="s">
        <v>1818</v>
      </c>
      <c r="E66">
        <v>48</v>
      </c>
      <c r="F66">
        <v>48</v>
      </c>
      <c r="H66" t="s">
        <v>1427</v>
      </c>
      <c r="I66" t="s">
        <v>1441</v>
      </c>
      <c r="J66" t="s">
        <v>1465</v>
      </c>
      <c r="K66" t="s">
        <v>1441</v>
      </c>
      <c r="L66" t="s">
        <v>1513</v>
      </c>
      <c r="R66" s="12" t="s">
        <v>1883</v>
      </c>
    </row>
    <row r="67" spans="1:18" x14ac:dyDescent="0.25">
      <c r="A67" s="13" t="s">
        <v>1481</v>
      </c>
      <c r="B67" t="s">
        <v>1819</v>
      </c>
      <c r="E67">
        <v>48</v>
      </c>
      <c r="F67">
        <v>48</v>
      </c>
      <c r="H67" t="s">
        <v>1427</v>
      </c>
      <c r="I67" t="s">
        <v>1433</v>
      </c>
      <c r="J67" t="s">
        <v>1458</v>
      </c>
      <c r="K67" t="s">
        <v>1433</v>
      </c>
      <c r="L67" t="s">
        <v>1505</v>
      </c>
      <c r="R67" s="12" t="s">
        <v>1884</v>
      </c>
    </row>
    <row r="68" spans="1:18" x14ac:dyDescent="0.25">
      <c r="A68" s="13" t="s">
        <v>1491</v>
      </c>
      <c r="B68" t="s">
        <v>1820</v>
      </c>
      <c r="E68">
        <v>48</v>
      </c>
      <c r="F68">
        <v>48</v>
      </c>
      <c r="H68" t="s">
        <v>1427</v>
      </c>
      <c r="I68" t="s">
        <v>1443</v>
      </c>
      <c r="J68" t="s">
        <v>1467</v>
      </c>
      <c r="K68" t="s">
        <v>1443</v>
      </c>
      <c r="L68" t="s">
        <v>1515</v>
      </c>
      <c r="R68" s="12" t="s">
        <v>1885</v>
      </c>
    </row>
    <row r="69" spans="1:18" x14ac:dyDescent="0.25">
      <c r="A69" s="13" t="s">
        <v>1485</v>
      </c>
      <c r="B69" t="s">
        <v>1821</v>
      </c>
      <c r="E69">
        <v>48</v>
      </c>
      <c r="F69">
        <v>48</v>
      </c>
      <c r="H69" t="s">
        <v>1427</v>
      </c>
      <c r="I69" t="s">
        <v>1437</v>
      </c>
      <c r="J69" t="s">
        <v>1457</v>
      </c>
      <c r="K69" t="s">
        <v>1437</v>
      </c>
      <c r="L69" t="s">
        <v>1509</v>
      </c>
      <c r="R69" s="12" t="s">
        <v>1886</v>
      </c>
    </row>
    <row r="70" spans="1:18" x14ac:dyDescent="0.25">
      <c r="A70" s="13" t="s">
        <v>1487</v>
      </c>
      <c r="B70" t="s">
        <v>1822</v>
      </c>
      <c r="E70">
        <v>48</v>
      </c>
      <c r="F70">
        <v>48</v>
      </c>
      <c r="H70" t="s">
        <v>1427</v>
      </c>
      <c r="I70" t="s">
        <v>1439</v>
      </c>
      <c r="J70" t="s">
        <v>1463</v>
      </c>
      <c r="K70" t="s">
        <v>1439</v>
      </c>
      <c r="L70" t="s">
        <v>1511</v>
      </c>
      <c r="R70" s="12" t="s">
        <v>1887</v>
      </c>
    </row>
    <row r="71" spans="1:18" x14ac:dyDescent="0.25">
      <c r="A71" s="13" t="s">
        <v>1483</v>
      </c>
      <c r="B71" t="s">
        <v>1823</v>
      </c>
      <c r="E71">
        <v>48</v>
      </c>
      <c r="F71">
        <v>48</v>
      </c>
      <c r="H71" t="s">
        <v>1427</v>
      </c>
      <c r="I71" t="s">
        <v>1435</v>
      </c>
      <c r="J71" t="s">
        <v>1460</v>
      </c>
      <c r="K71" t="s">
        <v>1435</v>
      </c>
      <c r="L71" t="s">
        <v>1507</v>
      </c>
      <c r="R71" s="12" t="s">
        <v>1888</v>
      </c>
    </row>
    <row r="72" spans="1:18" x14ac:dyDescent="0.25">
      <c r="A72" s="13" t="s">
        <v>1502</v>
      </c>
      <c r="B72" t="s">
        <v>1824</v>
      </c>
      <c r="E72">
        <v>48</v>
      </c>
      <c r="F72">
        <v>48</v>
      </c>
      <c r="H72" t="s">
        <v>1427</v>
      </c>
      <c r="I72" t="s">
        <v>1454</v>
      </c>
      <c r="J72" t="s">
        <v>1478</v>
      </c>
      <c r="K72" t="s">
        <v>1454</v>
      </c>
      <c r="L72" t="s">
        <v>1526</v>
      </c>
      <c r="R72" s="12" t="s">
        <v>1889</v>
      </c>
    </row>
    <row r="73" spans="1:18" x14ac:dyDescent="0.25">
      <c r="A73" s="13" t="s">
        <v>1494</v>
      </c>
      <c r="B73" t="s">
        <v>1825</v>
      </c>
      <c r="E73">
        <v>48</v>
      </c>
      <c r="F73">
        <v>48</v>
      </c>
      <c r="H73" t="s">
        <v>1427</v>
      </c>
      <c r="I73" t="s">
        <v>1446</v>
      </c>
      <c r="J73" t="s">
        <v>1470</v>
      </c>
      <c r="K73" t="s">
        <v>1446</v>
      </c>
      <c r="L73" t="s">
        <v>1518</v>
      </c>
      <c r="R73" s="12" t="s">
        <v>1890</v>
      </c>
    </row>
    <row r="74" spans="1:18" x14ac:dyDescent="0.25">
      <c r="A74" s="13" t="s">
        <v>1504</v>
      </c>
      <c r="B74" t="s">
        <v>1826</v>
      </c>
      <c r="E74">
        <v>48</v>
      </c>
      <c r="F74">
        <v>48</v>
      </c>
      <c r="H74" t="s">
        <v>1427</v>
      </c>
      <c r="I74" t="s">
        <v>1456</v>
      </c>
      <c r="J74" t="s">
        <v>1480</v>
      </c>
      <c r="K74" t="s">
        <v>1456</v>
      </c>
      <c r="L74" t="s">
        <v>1528</v>
      </c>
      <c r="R74" s="12" t="s">
        <v>1891</v>
      </c>
    </row>
    <row r="75" spans="1:18" x14ac:dyDescent="0.25">
      <c r="A75" s="13" t="s">
        <v>1498</v>
      </c>
      <c r="B75" t="s">
        <v>1827</v>
      </c>
      <c r="E75">
        <v>48</v>
      </c>
      <c r="F75">
        <v>48</v>
      </c>
      <c r="H75" t="s">
        <v>1427</v>
      </c>
      <c r="I75" t="s">
        <v>1449</v>
      </c>
      <c r="J75" t="s">
        <v>1474</v>
      </c>
      <c r="K75" t="s">
        <v>1449</v>
      </c>
      <c r="L75" t="s">
        <v>1522</v>
      </c>
      <c r="R75" s="12" t="s">
        <v>1892</v>
      </c>
    </row>
    <row r="76" spans="1:18" x14ac:dyDescent="0.25">
      <c r="A76" s="13" t="s">
        <v>1500</v>
      </c>
      <c r="B76" t="s">
        <v>1828</v>
      </c>
      <c r="E76">
        <v>48</v>
      </c>
      <c r="F76">
        <v>48</v>
      </c>
      <c r="H76" t="s">
        <v>1427</v>
      </c>
      <c r="I76" t="s">
        <v>1452</v>
      </c>
      <c r="J76" t="s">
        <v>1476</v>
      </c>
      <c r="K76" t="s">
        <v>1452</v>
      </c>
      <c r="L76" t="s">
        <v>1524</v>
      </c>
      <c r="R76" s="12" t="s">
        <v>1893</v>
      </c>
    </row>
    <row r="77" spans="1:18" x14ac:dyDescent="0.25">
      <c r="A77" s="13" t="s">
        <v>1496</v>
      </c>
      <c r="B77" t="s">
        <v>1829</v>
      </c>
      <c r="E77">
        <v>48</v>
      </c>
      <c r="F77">
        <v>48</v>
      </c>
      <c r="H77" t="s">
        <v>1427</v>
      </c>
      <c r="I77" t="s">
        <v>1448</v>
      </c>
      <c r="J77" t="s">
        <v>1472</v>
      </c>
      <c r="K77" t="s">
        <v>1448</v>
      </c>
      <c r="L77" t="s">
        <v>1520</v>
      </c>
      <c r="R77" s="12" t="s">
        <v>1894</v>
      </c>
    </row>
    <row r="78" spans="1:18" x14ac:dyDescent="0.25">
      <c r="A78" s="13" t="s">
        <v>1490</v>
      </c>
      <c r="B78" t="s">
        <v>1830</v>
      </c>
      <c r="E78">
        <v>48</v>
      </c>
      <c r="F78">
        <v>48</v>
      </c>
      <c r="H78" t="s">
        <v>1427</v>
      </c>
      <c r="I78" t="s">
        <v>1442</v>
      </c>
      <c r="J78" t="s">
        <v>1466</v>
      </c>
      <c r="K78" t="s">
        <v>1442</v>
      </c>
      <c r="L78" t="s">
        <v>1514</v>
      </c>
      <c r="R78" s="12" t="s">
        <v>1895</v>
      </c>
    </row>
    <row r="79" spans="1:18" x14ac:dyDescent="0.25">
      <c r="A79" s="13" t="s">
        <v>1482</v>
      </c>
      <c r="B79" t="s">
        <v>1831</v>
      </c>
      <c r="E79">
        <v>48</v>
      </c>
      <c r="F79">
        <v>48</v>
      </c>
      <c r="H79" t="s">
        <v>1427</v>
      </c>
      <c r="I79" t="s">
        <v>1434</v>
      </c>
      <c r="J79" t="s">
        <v>1459</v>
      </c>
      <c r="K79" t="s">
        <v>1434</v>
      </c>
      <c r="L79" t="s">
        <v>1506</v>
      </c>
      <c r="R79" s="12" t="s">
        <v>1896</v>
      </c>
    </row>
    <row r="80" spans="1:18" x14ac:dyDescent="0.25">
      <c r="A80" s="13" t="s">
        <v>1492</v>
      </c>
      <c r="B80" t="s">
        <v>1832</v>
      </c>
      <c r="E80">
        <v>48</v>
      </c>
      <c r="F80">
        <v>48</v>
      </c>
      <c r="H80" t="s">
        <v>1427</v>
      </c>
      <c r="I80" t="s">
        <v>1444</v>
      </c>
      <c r="J80" t="s">
        <v>1468</v>
      </c>
      <c r="K80" t="s">
        <v>1444</v>
      </c>
      <c r="L80" t="s">
        <v>1516</v>
      </c>
      <c r="R80" s="12" t="s">
        <v>1897</v>
      </c>
    </row>
    <row r="81" spans="1:18" x14ac:dyDescent="0.25">
      <c r="A81" s="13" t="s">
        <v>1486</v>
      </c>
      <c r="B81" t="s">
        <v>1833</v>
      </c>
      <c r="E81">
        <v>48</v>
      </c>
      <c r="F81">
        <v>48</v>
      </c>
      <c r="H81" t="s">
        <v>1427</v>
      </c>
      <c r="I81" t="s">
        <v>1438</v>
      </c>
      <c r="J81" t="s">
        <v>1462</v>
      </c>
      <c r="K81" t="s">
        <v>1438</v>
      </c>
      <c r="L81" t="s">
        <v>1510</v>
      </c>
      <c r="R81" s="12" t="s">
        <v>1898</v>
      </c>
    </row>
    <row r="82" spans="1:18" x14ac:dyDescent="0.25">
      <c r="A82" s="13" t="s">
        <v>1488</v>
      </c>
      <c r="B82" t="s">
        <v>1834</v>
      </c>
      <c r="E82">
        <v>48</v>
      </c>
      <c r="F82">
        <v>48</v>
      </c>
      <c r="H82" t="s">
        <v>1427</v>
      </c>
      <c r="I82" t="s">
        <v>1440</v>
      </c>
      <c r="J82" t="s">
        <v>1464</v>
      </c>
      <c r="K82" t="s">
        <v>1440</v>
      </c>
      <c r="L82" t="s">
        <v>1512</v>
      </c>
      <c r="R82" s="12" t="s">
        <v>1899</v>
      </c>
    </row>
    <row r="83" spans="1:18" x14ac:dyDescent="0.25">
      <c r="A83" s="13" t="s">
        <v>1484</v>
      </c>
      <c r="B83" t="s">
        <v>1835</v>
      </c>
      <c r="E83">
        <v>48</v>
      </c>
      <c r="F83">
        <v>48</v>
      </c>
      <c r="H83" t="s">
        <v>1427</v>
      </c>
      <c r="I83" t="s">
        <v>1436</v>
      </c>
      <c r="J83" t="s">
        <v>1461</v>
      </c>
      <c r="K83" t="s">
        <v>1436</v>
      </c>
      <c r="L83" t="s">
        <v>1508</v>
      </c>
      <c r="R83" s="12" t="s">
        <v>1900</v>
      </c>
    </row>
    <row r="84" spans="1:18" x14ac:dyDescent="0.25">
      <c r="A84" s="13" t="s">
        <v>1668</v>
      </c>
      <c r="B84" t="s">
        <v>1836</v>
      </c>
      <c r="E84">
        <v>48</v>
      </c>
      <c r="F84">
        <v>48</v>
      </c>
      <c r="H84" t="s">
        <v>1221</v>
      </c>
      <c r="I84" t="s">
        <v>1681</v>
      </c>
      <c r="J84" t="s">
        <v>1683</v>
      </c>
      <c r="K84" t="s">
        <v>1682</v>
      </c>
      <c r="L84" t="s">
        <v>1684</v>
      </c>
      <c r="R84" s="12" t="s">
        <v>1901</v>
      </c>
    </row>
    <row r="85" spans="1:18" x14ac:dyDescent="0.25">
      <c r="A85" s="13" t="s">
        <v>1953</v>
      </c>
      <c r="B85" t="s">
        <v>1952</v>
      </c>
      <c r="E85">
        <v>48</v>
      </c>
      <c r="F85">
        <v>48</v>
      </c>
      <c r="H85" t="s">
        <v>1221</v>
      </c>
      <c r="I85" t="s">
        <v>2100</v>
      </c>
      <c r="J85" t="s">
        <v>1960</v>
      </c>
      <c r="K85" t="s">
        <v>2100</v>
      </c>
      <c r="L85" t="s">
        <v>1961</v>
      </c>
      <c r="R85" s="12" t="s">
        <v>2122</v>
      </c>
    </row>
    <row r="86" spans="1:18" x14ac:dyDescent="0.25">
      <c r="A86" s="13" t="s">
        <v>1954</v>
      </c>
      <c r="B86" t="s">
        <v>1957</v>
      </c>
      <c r="E86">
        <v>48</v>
      </c>
      <c r="F86">
        <v>48</v>
      </c>
      <c r="H86" t="s">
        <v>1221</v>
      </c>
      <c r="I86" t="s">
        <v>2101</v>
      </c>
      <c r="J86" t="s">
        <v>1962</v>
      </c>
      <c r="K86" t="s">
        <v>2101</v>
      </c>
      <c r="L86" t="s">
        <v>1963</v>
      </c>
      <c r="R86" s="12" t="s">
        <v>2123</v>
      </c>
    </row>
    <row r="87" spans="1:18" x14ac:dyDescent="0.25">
      <c r="A87" s="13" t="s">
        <v>1955</v>
      </c>
      <c r="B87" t="s">
        <v>1959</v>
      </c>
      <c r="E87">
        <v>48</v>
      </c>
      <c r="F87">
        <v>48</v>
      </c>
      <c r="H87" t="s">
        <v>1221</v>
      </c>
      <c r="I87" t="s">
        <v>2102</v>
      </c>
      <c r="J87" t="s">
        <v>1964</v>
      </c>
      <c r="K87" t="s">
        <v>2102</v>
      </c>
      <c r="L87" t="s">
        <v>1965</v>
      </c>
      <c r="R87" s="12" t="s">
        <v>2124</v>
      </c>
    </row>
    <row r="88" spans="1:18" x14ac:dyDescent="0.25">
      <c r="A88" s="13" t="s">
        <v>1956</v>
      </c>
      <c r="B88" t="s">
        <v>1958</v>
      </c>
      <c r="E88">
        <v>48</v>
      </c>
      <c r="F88">
        <v>48</v>
      </c>
      <c r="H88" t="s">
        <v>1221</v>
      </c>
      <c r="I88" t="s">
        <v>2103</v>
      </c>
      <c r="J88" t="s">
        <v>1966</v>
      </c>
      <c r="K88" t="s">
        <v>2103</v>
      </c>
      <c r="L88" t="s">
        <v>1967</v>
      </c>
      <c r="R88" s="12" t="s">
        <v>2125</v>
      </c>
    </row>
    <row r="89" spans="1:18" x14ac:dyDescent="0.25">
      <c r="A89" s="13" t="s">
        <v>1704</v>
      </c>
      <c r="B89" t="s">
        <v>1837</v>
      </c>
      <c r="E89">
        <v>48</v>
      </c>
      <c r="F89">
        <v>48</v>
      </c>
      <c r="H89" t="s">
        <v>1221</v>
      </c>
      <c r="I89" t="s">
        <v>1705</v>
      </c>
      <c r="J89" t="s">
        <v>1710</v>
      </c>
      <c r="K89" t="s">
        <v>2113</v>
      </c>
      <c r="L89" t="s">
        <v>1706</v>
      </c>
      <c r="R89" s="12" t="s">
        <v>2126</v>
      </c>
    </row>
    <row r="90" spans="1:18" x14ac:dyDescent="0.25">
      <c r="A90" s="13" t="s">
        <v>2092</v>
      </c>
      <c r="B90" t="s">
        <v>2094</v>
      </c>
      <c r="E90">
        <v>48</v>
      </c>
      <c r="F90">
        <v>48</v>
      </c>
      <c r="H90" t="s">
        <v>1221</v>
      </c>
      <c r="I90" t="s">
        <v>2104</v>
      </c>
      <c r="J90" t="s">
        <v>2108</v>
      </c>
      <c r="K90" t="s">
        <v>2112</v>
      </c>
      <c r="L90" t="s">
        <v>2117</v>
      </c>
      <c r="R90" s="12" t="s">
        <v>2127</v>
      </c>
    </row>
    <row r="91" spans="1:18" x14ac:dyDescent="0.25">
      <c r="A91" s="13" t="s">
        <v>2093</v>
      </c>
      <c r="B91" t="s">
        <v>2096</v>
      </c>
      <c r="E91">
        <v>48</v>
      </c>
      <c r="F91">
        <v>48</v>
      </c>
      <c r="H91" t="s">
        <v>1221</v>
      </c>
      <c r="I91" t="s">
        <v>2105</v>
      </c>
      <c r="J91" t="s">
        <v>2109</v>
      </c>
      <c r="K91" t="s">
        <v>2114</v>
      </c>
      <c r="L91" t="s">
        <v>2118</v>
      </c>
      <c r="R91" s="12" t="s">
        <v>2128</v>
      </c>
    </row>
    <row r="92" spans="1:18" x14ac:dyDescent="0.25">
      <c r="A92" s="13" t="s">
        <v>2095</v>
      </c>
      <c r="B92" t="s">
        <v>2097</v>
      </c>
      <c r="E92">
        <v>48</v>
      </c>
      <c r="F92">
        <v>48</v>
      </c>
      <c r="H92" t="s">
        <v>1221</v>
      </c>
      <c r="I92" t="s">
        <v>2106</v>
      </c>
      <c r="J92" t="s">
        <v>2110</v>
      </c>
      <c r="K92" t="s">
        <v>2115</v>
      </c>
      <c r="L92" t="s">
        <v>2119</v>
      </c>
      <c r="R92" s="12" t="s">
        <v>2129</v>
      </c>
    </row>
    <row r="93" spans="1:18" x14ac:dyDescent="0.25">
      <c r="A93" s="13" t="s">
        <v>2098</v>
      </c>
      <c r="B93" t="s">
        <v>2099</v>
      </c>
      <c r="E93">
        <v>48</v>
      </c>
      <c r="F93">
        <v>48</v>
      </c>
      <c r="H93" t="s">
        <v>1221</v>
      </c>
      <c r="I93" t="s">
        <v>2107</v>
      </c>
      <c r="J93" t="s">
        <v>2111</v>
      </c>
      <c r="K93" t="s">
        <v>2116</v>
      </c>
      <c r="L93" t="s">
        <v>2120</v>
      </c>
      <c r="R93" s="12" t="s">
        <v>2130</v>
      </c>
    </row>
    <row r="94" spans="1:18" x14ac:dyDescent="0.25">
      <c r="A94" s="13" t="s">
        <v>1719</v>
      </c>
      <c r="B94" t="s">
        <v>1838</v>
      </c>
      <c r="E94">
        <v>48</v>
      </c>
      <c r="F94">
        <v>48</v>
      </c>
      <c r="H94" t="s">
        <v>1221</v>
      </c>
      <c r="I94" t="s">
        <v>1720</v>
      </c>
      <c r="J94" t="s">
        <v>1722</v>
      </c>
      <c r="K94" t="s">
        <v>1721</v>
      </c>
      <c r="L94" t="s">
        <v>1723</v>
      </c>
      <c r="R94" s="12" t="s">
        <v>1902</v>
      </c>
    </row>
    <row r="95" spans="1:18" x14ac:dyDescent="0.25">
      <c r="A95" s="13" t="s">
        <v>1691</v>
      </c>
      <c r="B95" t="s">
        <v>1839</v>
      </c>
      <c r="E95">
        <v>48</v>
      </c>
      <c r="F95">
        <v>48</v>
      </c>
      <c r="H95" t="s">
        <v>1221</v>
      </c>
      <c r="I95" t="s">
        <v>1685</v>
      </c>
      <c r="J95" t="s">
        <v>1687</v>
      </c>
      <c r="K95" t="s">
        <v>1686</v>
      </c>
      <c r="L95" t="s">
        <v>1688</v>
      </c>
      <c r="R95" s="12" t="s">
        <v>1903</v>
      </c>
    </row>
    <row r="96" spans="1:18" x14ac:dyDescent="0.25">
      <c r="A96" s="13" t="s">
        <v>1707</v>
      </c>
      <c r="B96" t="s">
        <v>1840</v>
      </c>
      <c r="E96">
        <v>48</v>
      </c>
      <c r="F96">
        <v>48</v>
      </c>
      <c r="H96" t="s">
        <v>1221</v>
      </c>
      <c r="I96" t="s">
        <v>1708</v>
      </c>
      <c r="J96" t="s">
        <v>1711</v>
      </c>
      <c r="K96" t="s">
        <v>1709</v>
      </c>
      <c r="L96" t="s">
        <v>1712</v>
      </c>
      <c r="R96" s="12" t="s">
        <v>1904</v>
      </c>
    </row>
    <row r="97" spans="1:18" x14ac:dyDescent="0.25">
      <c r="A97" s="13" t="s">
        <v>1715</v>
      </c>
      <c r="B97" t="s">
        <v>1714</v>
      </c>
      <c r="E97">
        <v>48</v>
      </c>
      <c r="F97">
        <v>48</v>
      </c>
      <c r="H97" t="s">
        <v>1221</v>
      </c>
      <c r="I97" t="s">
        <v>1713</v>
      </c>
      <c r="J97" t="s">
        <v>1717</v>
      </c>
      <c r="K97" t="s">
        <v>1716</v>
      </c>
      <c r="L97" t="s">
        <v>1718</v>
      </c>
      <c r="R97" s="12" t="s">
        <v>1724</v>
      </c>
    </row>
    <row r="98" spans="1:18" x14ac:dyDescent="0.25">
      <c r="A98" s="13" t="s">
        <v>1139</v>
      </c>
      <c r="B98" t="s">
        <v>1150</v>
      </c>
      <c r="D98" t="s">
        <v>724</v>
      </c>
      <c r="E98">
        <v>48</v>
      </c>
      <c r="F98">
        <v>48</v>
      </c>
      <c r="H98" t="s">
        <v>1221</v>
      </c>
      <c r="I98" t="s">
        <v>1141</v>
      </c>
      <c r="J98" t="s">
        <v>1145</v>
      </c>
      <c r="K98" t="s">
        <v>1143</v>
      </c>
      <c r="L98" t="s">
        <v>1147</v>
      </c>
      <c r="R98" s="12" t="s">
        <v>1634</v>
      </c>
    </row>
    <row r="99" spans="1:18" x14ac:dyDescent="0.25">
      <c r="A99" s="13" t="s">
        <v>1140</v>
      </c>
      <c r="B99" t="s">
        <v>1149</v>
      </c>
      <c r="D99" t="s">
        <v>724</v>
      </c>
      <c r="E99">
        <v>48</v>
      </c>
      <c r="F99">
        <v>48</v>
      </c>
      <c r="H99" t="s">
        <v>1221</v>
      </c>
      <c r="I99" t="s">
        <v>1142</v>
      </c>
      <c r="J99" t="s">
        <v>1146</v>
      </c>
      <c r="K99" t="s">
        <v>1144</v>
      </c>
      <c r="L99" t="s">
        <v>1148</v>
      </c>
      <c r="R99" s="12" t="s">
        <v>1635</v>
      </c>
    </row>
    <row r="100" spans="1:18" x14ac:dyDescent="0.25">
      <c r="A100" s="13" t="s">
        <v>1692</v>
      </c>
      <c r="B100" t="s">
        <v>1689</v>
      </c>
      <c r="E100">
        <v>48</v>
      </c>
      <c r="F100">
        <v>48</v>
      </c>
      <c r="H100" t="s">
        <v>1221</v>
      </c>
      <c r="I100" t="s">
        <v>1694</v>
      </c>
      <c r="J100" t="s">
        <v>1698</v>
      </c>
      <c r="K100" t="s">
        <v>1696</v>
      </c>
      <c r="L100" t="s">
        <v>1699</v>
      </c>
      <c r="R100" s="12" t="s">
        <v>1702</v>
      </c>
    </row>
    <row r="101" spans="1:18" x14ac:dyDescent="0.25">
      <c r="A101" s="13" t="s">
        <v>1693</v>
      </c>
      <c r="B101" t="s">
        <v>1690</v>
      </c>
      <c r="E101">
        <v>48</v>
      </c>
      <c r="F101">
        <v>48</v>
      </c>
      <c r="H101" t="s">
        <v>1221</v>
      </c>
      <c r="I101" t="s">
        <v>1695</v>
      </c>
      <c r="J101" t="s">
        <v>1700</v>
      </c>
      <c r="K101" t="s">
        <v>1697</v>
      </c>
      <c r="L101" t="s">
        <v>1701</v>
      </c>
      <c r="R101" s="12" t="s">
        <v>1703</v>
      </c>
    </row>
    <row r="102" spans="1:18" x14ac:dyDescent="0.25">
      <c r="A102" s="13" t="s">
        <v>2022</v>
      </c>
      <c r="B102" t="s">
        <v>2021</v>
      </c>
      <c r="E102">
        <v>144</v>
      </c>
      <c r="F102">
        <v>48</v>
      </c>
      <c r="H102" t="s">
        <v>1221</v>
      </c>
      <c r="I102" t="s">
        <v>296</v>
      </c>
      <c r="J102" t="s">
        <v>2059</v>
      </c>
      <c r="K102" t="s">
        <v>728</v>
      </c>
      <c r="L102" t="s">
        <v>2061</v>
      </c>
      <c r="R102" s="12" t="s">
        <v>2143</v>
      </c>
    </row>
    <row r="103" spans="1:18" x14ac:dyDescent="0.25">
      <c r="A103" s="13" t="s">
        <v>2025</v>
      </c>
      <c r="B103" t="s">
        <v>2023</v>
      </c>
      <c r="E103">
        <v>144</v>
      </c>
      <c r="F103">
        <v>48</v>
      </c>
      <c r="H103" t="s">
        <v>1221</v>
      </c>
      <c r="I103" t="s">
        <v>2043</v>
      </c>
      <c r="J103" t="s">
        <v>2060</v>
      </c>
      <c r="K103" t="s">
        <v>2053</v>
      </c>
      <c r="L103" t="s">
        <v>2072</v>
      </c>
      <c r="R103" s="12" t="s">
        <v>2144</v>
      </c>
    </row>
    <row r="104" spans="1:18" x14ac:dyDescent="0.25">
      <c r="A104" s="13" t="s">
        <v>2027</v>
      </c>
      <c r="B104" t="s">
        <v>2024</v>
      </c>
      <c r="E104">
        <v>120</v>
      </c>
      <c r="F104">
        <v>48</v>
      </c>
      <c r="H104" t="s">
        <v>1221</v>
      </c>
      <c r="I104" t="s">
        <v>2044</v>
      </c>
      <c r="J104" t="s">
        <v>2062</v>
      </c>
      <c r="K104" t="s">
        <v>2044</v>
      </c>
      <c r="L104" t="s">
        <v>2073</v>
      </c>
      <c r="R104" s="12" t="s">
        <v>2145</v>
      </c>
    </row>
    <row r="105" spans="1:18" x14ac:dyDescent="0.25">
      <c r="A105" s="13" t="s">
        <v>2028</v>
      </c>
      <c r="B105" t="s">
        <v>2026</v>
      </c>
      <c r="E105">
        <v>120</v>
      </c>
      <c r="F105">
        <v>48</v>
      </c>
      <c r="H105" t="s">
        <v>1221</v>
      </c>
      <c r="I105" t="s">
        <v>2045</v>
      </c>
      <c r="J105" t="s">
        <v>2063</v>
      </c>
      <c r="K105" t="s">
        <v>2045</v>
      </c>
      <c r="L105" t="s">
        <v>2074</v>
      </c>
      <c r="R105" s="12" t="s">
        <v>2146</v>
      </c>
    </row>
    <row r="106" spans="1:18" x14ac:dyDescent="0.25">
      <c r="A106" s="13" t="s">
        <v>2030</v>
      </c>
      <c r="B106" t="s">
        <v>2029</v>
      </c>
      <c r="E106">
        <v>48</v>
      </c>
      <c r="F106">
        <v>48</v>
      </c>
      <c r="H106" t="s">
        <v>1221</v>
      </c>
      <c r="I106" t="s">
        <v>2046</v>
      </c>
      <c r="J106" t="s">
        <v>2064</v>
      </c>
      <c r="K106" t="s">
        <v>2058</v>
      </c>
      <c r="L106" t="s">
        <v>2075</v>
      </c>
      <c r="R106" s="12" t="s">
        <v>2082</v>
      </c>
    </row>
    <row r="107" spans="1:18" x14ac:dyDescent="0.25">
      <c r="A107" s="13" t="s">
        <v>2032</v>
      </c>
      <c r="B107" t="s">
        <v>2031</v>
      </c>
      <c r="E107">
        <v>96</v>
      </c>
      <c r="F107">
        <v>48</v>
      </c>
      <c r="H107" t="s">
        <v>1221</v>
      </c>
      <c r="I107" t="s">
        <v>2047</v>
      </c>
      <c r="J107" t="s">
        <v>2065</v>
      </c>
      <c r="K107" t="s">
        <v>2054</v>
      </c>
      <c r="L107" t="s">
        <v>2076</v>
      </c>
      <c r="R107" s="12" t="s">
        <v>2147</v>
      </c>
    </row>
    <row r="108" spans="1:18" x14ac:dyDescent="0.25">
      <c r="A108" s="13" t="s">
        <v>2034</v>
      </c>
      <c r="B108" t="s">
        <v>2033</v>
      </c>
      <c r="E108">
        <v>48</v>
      </c>
      <c r="F108">
        <v>48</v>
      </c>
      <c r="H108" t="s">
        <v>1221</v>
      </c>
      <c r="I108" t="s">
        <v>2048</v>
      </c>
      <c r="J108" t="s">
        <v>2066</v>
      </c>
      <c r="K108" t="s">
        <v>2055</v>
      </c>
      <c r="L108" t="s">
        <v>2077</v>
      </c>
      <c r="R108" s="12" t="s">
        <v>2083</v>
      </c>
    </row>
    <row r="109" spans="1:18" x14ac:dyDescent="0.25">
      <c r="A109" s="13" t="s">
        <v>2036</v>
      </c>
      <c r="B109" t="s">
        <v>2035</v>
      </c>
      <c r="E109">
        <v>48</v>
      </c>
      <c r="F109">
        <v>48</v>
      </c>
      <c r="H109" t="s">
        <v>1221</v>
      </c>
      <c r="I109" t="s">
        <v>2051</v>
      </c>
      <c r="J109" t="s">
        <v>2067</v>
      </c>
      <c r="K109" t="s">
        <v>2056</v>
      </c>
      <c r="L109" t="s">
        <v>2078</v>
      </c>
      <c r="R109" s="12" t="s">
        <v>2084</v>
      </c>
    </row>
    <row r="110" spans="1:18" x14ac:dyDescent="0.25">
      <c r="A110" s="13" t="s">
        <v>2038</v>
      </c>
      <c r="B110" t="s">
        <v>2037</v>
      </c>
      <c r="E110">
        <v>48</v>
      </c>
      <c r="F110">
        <v>48</v>
      </c>
      <c r="H110" t="s">
        <v>1221</v>
      </c>
      <c r="I110" t="s">
        <v>2049</v>
      </c>
      <c r="J110" t="s">
        <v>2068</v>
      </c>
      <c r="K110" t="s">
        <v>2069</v>
      </c>
      <c r="L110" t="s">
        <v>2079</v>
      </c>
      <c r="R110" s="12" t="s">
        <v>2085</v>
      </c>
    </row>
    <row r="111" spans="1:18" x14ac:dyDescent="0.25">
      <c r="A111" s="13" t="s">
        <v>2042</v>
      </c>
      <c r="B111" t="s">
        <v>2041</v>
      </c>
      <c r="E111">
        <v>72</v>
      </c>
      <c r="F111">
        <v>48</v>
      </c>
      <c r="H111" t="s">
        <v>1221</v>
      </c>
      <c r="I111" t="s">
        <v>2052</v>
      </c>
      <c r="J111" t="s">
        <v>2070</v>
      </c>
      <c r="K111" t="s">
        <v>2052</v>
      </c>
      <c r="L111" t="s">
        <v>2081</v>
      </c>
      <c r="R111" s="12" t="s">
        <v>2148</v>
      </c>
    </row>
    <row r="112" spans="1:18" x14ac:dyDescent="0.25">
      <c r="A112" s="13" t="s">
        <v>2087</v>
      </c>
      <c r="B112" t="s">
        <v>2088</v>
      </c>
      <c r="E112">
        <v>72</v>
      </c>
      <c r="F112">
        <v>48</v>
      </c>
      <c r="H112" t="s">
        <v>1221</v>
      </c>
      <c r="I112" t="s">
        <v>2089</v>
      </c>
      <c r="J112" t="s">
        <v>2090</v>
      </c>
      <c r="K112" t="s">
        <v>2089</v>
      </c>
      <c r="L112" t="s">
        <v>2090</v>
      </c>
      <c r="R112" s="12" t="s">
        <v>2149</v>
      </c>
    </row>
    <row r="113" spans="1:18" x14ac:dyDescent="0.25">
      <c r="A113" s="13" t="s">
        <v>2040</v>
      </c>
      <c r="B113" t="s">
        <v>2039</v>
      </c>
      <c r="E113">
        <v>48</v>
      </c>
      <c r="F113">
        <v>48</v>
      </c>
      <c r="H113" t="s">
        <v>1221</v>
      </c>
      <c r="I113" t="s">
        <v>2050</v>
      </c>
      <c r="J113" t="s">
        <v>2071</v>
      </c>
      <c r="K113" t="s">
        <v>2057</v>
      </c>
      <c r="L113" t="s">
        <v>2080</v>
      </c>
      <c r="R113" s="12" t="s">
        <v>2086</v>
      </c>
    </row>
    <row r="114" spans="1:18" x14ac:dyDescent="0.25">
      <c r="A114" s="13" t="s">
        <v>2121</v>
      </c>
      <c r="B114" t="s">
        <v>2132</v>
      </c>
      <c r="E114">
        <v>72</v>
      </c>
      <c r="F114">
        <v>48</v>
      </c>
      <c r="H114" t="s">
        <v>1221</v>
      </c>
      <c r="I114" t="s">
        <v>2136</v>
      </c>
      <c r="J114" t="s">
        <v>2137</v>
      </c>
      <c r="K114" t="s">
        <v>2135</v>
      </c>
      <c r="L114" t="s">
        <v>2138</v>
      </c>
      <c r="R114" s="12" t="s">
        <v>2150</v>
      </c>
    </row>
    <row r="115" spans="1:18" x14ac:dyDescent="0.25">
      <c r="A115" s="13" t="s">
        <v>2133</v>
      </c>
      <c r="B115" t="s">
        <v>2134</v>
      </c>
      <c r="E115">
        <v>72</v>
      </c>
      <c r="F115">
        <v>48</v>
      </c>
      <c r="H115" t="s">
        <v>1221</v>
      </c>
      <c r="I115" t="s">
        <v>2139</v>
      </c>
      <c r="J115" t="s">
        <v>2141</v>
      </c>
      <c r="K115" t="s">
        <v>2140</v>
      </c>
      <c r="L115" t="s">
        <v>2142</v>
      </c>
      <c r="R115" s="12" t="s">
        <v>2151</v>
      </c>
    </row>
    <row r="116" spans="1:18" x14ac:dyDescent="0.25">
      <c r="A116" s="13" t="s">
        <v>1266</v>
      </c>
      <c r="B116" t="s">
        <v>1254</v>
      </c>
      <c r="E116">
        <v>48</v>
      </c>
      <c r="F116">
        <v>48</v>
      </c>
      <c r="H116" t="s">
        <v>1248</v>
      </c>
      <c r="I116" t="s">
        <v>1256</v>
      </c>
      <c r="J116" t="s">
        <v>1263</v>
      </c>
      <c r="K116" t="s">
        <v>1256</v>
      </c>
      <c r="L116" t="s">
        <v>2091</v>
      </c>
      <c r="R116" s="12" t="s">
        <v>2131</v>
      </c>
    </row>
    <row r="117" spans="1:18" x14ac:dyDescent="0.25">
      <c r="A117" s="13" t="s">
        <v>1238</v>
      </c>
      <c r="B117" t="s">
        <v>1249</v>
      </c>
      <c r="E117">
        <v>48</v>
      </c>
      <c r="F117">
        <v>48</v>
      </c>
      <c r="H117" t="s">
        <v>1248</v>
      </c>
      <c r="I117" t="s">
        <v>1242</v>
      </c>
      <c r="J117" t="s">
        <v>1242</v>
      </c>
      <c r="K117" t="s">
        <v>1246</v>
      </c>
      <c r="L117" t="s">
        <v>1246</v>
      </c>
      <c r="R117" s="12" t="s">
        <v>1641</v>
      </c>
    </row>
    <row r="118" spans="1:18" x14ac:dyDescent="0.25">
      <c r="A118" s="13" t="s">
        <v>1237</v>
      </c>
      <c r="B118" t="s">
        <v>1250</v>
      </c>
      <c r="E118">
        <v>48</v>
      </c>
      <c r="F118">
        <v>48</v>
      </c>
      <c r="H118" t="s">
        <v>1248</v>
      </c>
      <c r="I118" t="s">
        <v>1240</v>
      </c>
      <c r="J118" t="s">
        <v>1240</v>
      </c>
      <c r="K118" t="s">
        <v>1244</v>
      </c>
      <c r="L118" t="s">
        <v>1244</v>
      </c>
      <c r="R118" s="12" t="s">
        <v>1642</v>
      </c>
    </row>
    <row r="119" spans="1:18" x14ac:dyDescent="0.25">
      <c r="A119" s="13" t="s">
        <v>1264</v>
      </c>
      <c r="B119" t="s">
        <v>1251</v>
      </c>
      <c r="E119">
        <v>48</v>
      </c>
      <c r="F119">
        <v>48</v>
      </c>
      <c r="H119" t="s">
        <v>1248</v>
      </c>
      <c r="I119" t="s">
        <v>1258</v>
      </c>
      <c r="J119" t="s">
        <v>1258</v>
      </c>
      <c r="K119" t="s">
        <v>1260</v>
      </c>
      <c r="L119" t="s">
        <v>1260</v>
      </c>
      <c r="R119" s="12" t="s">
        <v>1643</v>
      </c>
    </row>
    <row r="120" spans="1:18" x14ac:dyDescent="0.25">
      <c r="A120" s="13" t="s">
        <v>1236</v>
      </c>
      <c r="B120" t="s">
        <v>1253</v>
      </c>
      <c r="E120">
        <v>48</v>
      </c>
      <c r="F120">
        <v>48</v>
      </c>
      <c r="H120" t="s">
        <v>1248</v>
      </c>
      <c r="I120" t="s">
        <v>1241</v>
      </c>
      <c r="J120" t="s">
        <v>1241</v>
      </c>
      <c r="K120" t="s">
        <v>1245</v>
      </c>
      <c r="L120" t="s">
        <v>1245</v>
      </c>
      <c r="R120" s="12" t="s">
        <v>1644</v>
      </c>
    </row>
    <row r="121" spans="1:18" x14ac:dyDescent="0.25">
      <c r="A121" s="13" t="s">
        <v>1265</v>
      </c>
      <c r="B121" t="s">
        <v>1252</v>
      </c>
      <c r="E121">
        <v>48</v>
      </c>
      <c r="F121">
        <v>48</v>
      </c>
      <c r="H121" t="s">
        <v>1248</v>
      </c>
      <c r="I121" t="s">
        <v>1259</v>
      </c>
      <c r="J121" t="s">
        <v>1259</v>
      </c>
      <c r="K121" t="s">
        <v>1261</v>
      </c>
      <c r="L121" t="s">
        <v>1261</v>
      </c>
      <c r="R121" s="12" t="s">
        <v>1645</v>
      </c>
    </row>
    <row r="122" spans="1:18" x14ac:dyDescent="0.25">
      <c r="A122" s="13" t="s">
        <v>1239</v>
      </c>
      <c r="B122" t="s">
        <v>1268</v>
      </c>
      <c r="E122">
        <v>48</v>
      </c>
      <c r="F122">
        <v>48</v>
      </c>
      <c r="H122" t="s">
        <v>1248</v>
      </c>
      <c r="I122" t="s">
        <v>1243</v>
      </c>
      <c r="J122" t="s">
        <v>1243</v>
      </c>
      <c r="K122" t="s">
        <v>1247</v>
      </c>
      <c r="L122" t="s">
        <v>1247</v>
      </c>
      <c r="R122" s="12" t="s">
        <v>1646</v>
      </c>
    </row>
    <row r="123" spans="1:18" x14ac:dyDescent="0.25">
      <c r="A123" s="13" t="s">
        <v>1267</v>
      </c>
      <c r="B123" t="s">
        <v>1255</v>
      </c>
      <c r="E123">
        <v>48</v>
      </c>
      <c r="F123">
        <v>48</v>
      </c>
      <c r="H123" t="s">
        <v>1248</v>
      </c>
      <c r="I123" t="s">
        <v>1257</v>
      </c>
      <c r="J123" t="s">
        <v>1257</v>
      </c>
      <c r="K123" t="s">
        <v>1262</v>
      </c>
      <c r="L123" t="s">
        <v>1262</v>
      </c>
      <c r="R123" s="12" t="s">
        <v>1647</v>
      </c>
    </row>
    <row r="124" spans="1:18" x14ac:dyDescent="0.25">
      <c r="A124" s="13" t="s">
        <v>2165</v>
      </c>
      <c r="B124" t="s">
        <v>2164</v>
      </c>
      <c r="E124">
        <v>72</v>
      </c>
      <c r="F124">
        <v>72</v>
      </c>
      <c r="H124" t="s">
        <v>1248</v>
      </c>
      <c r="I124" t="s">
        <v>2175</v>
      </c>
      <c r="J124" t="s">
        <v>2169</v>
      </c>
      <c r="K124" t="s">
        <v>2176</v>
      </c>
      <c r="L124" t="s">
        <v>2170</v>
      </c>
      <c r="R124" s="12" t="s">
        <v>2197</v>
      </c>
    </row>
    <row r="125" spans="1:18" x14ac:dyDescent="0.25">
      <c r="A125" s="13" t="s">
        <v>2168</v>
      </c>
      <c r="B125" t="s">
        <v>2166</v>
      </c>
      <c r="E125">
        <v>72</v>
      </c>
      <c r="F125">
        <v>48</v>
      </c>
      <c r="H125" t="s">
        <v>1248</v>
      </c>
      <c r="I125" t="s">
        <v>2171</v>
      </c>
      <c r="J125" t="s">
        <v>2173</v>
      </c>
      <c r="K125" t="s">
        <v>2172</v>
      </c>
      <c r="L125" t="s">
        <v>2174</v>
      </c>
      <c r="R125" s="12" t="s">
        <v>2198</v>
      </c>
    </row>
    <row r="126" spans="1:18" x14ac:dyDescent="0.25">
      <c r="A126" s="13" t="s">
        <v>2167</v>
      </c>
      <c r="B126" t="s">
        <v>2186</v>
      </c>
      <c r="E126">
        <v>48</v>
      </c>
      <c r="F126">
        <v>48</v>
      </c>
      <c r="H126" t="s">
        <v>1248</v>
      </c>
      <c r="I126" t="s">
        <v>2189</v>
      </c>
      <c r="J126" t="s">
        <v>2191</v>
      </c>
      <c r="K126" t="s">
        <v>2190</v>
      </c>
      <c r="L126" t="s">
        <v>2192</v>
      </c>
      <c r="R126" s="12" t="s">
        <v>2199</v>
      </c>
    </row>
    <row r="127" spans="1:18" x14ac:dyDescent="0.25">
      <c r="A127" s="13" t="s">
        <v>2187</v>
      </c>
      <c r="B127" t="s">
        <v>2188</v>
      </c>
      <c r="E127">
        <v>48</v>
      </c>
      <c r="F127">
        <v>48</v>
      </c>
      <c r="H127" t="s">
        <v>1248</v>
      </c>
      <c r="I127" t="s">
        <v>2193</v>
      </c>
      <c r="J127" t="s">
        <v>2195</v>
      </c>
      <c r="K127" t="s">
        <v>2194</v>
      </c>
      <c r="L127" t="s">
        <v>2196</v>
      </c>
      <c r="R127" s="12" t="s">
        <v>2200</v>
      </c>
    </row>
    <row r="128" spans="1:18" x14ac:dyDescent="0.25">
      <c r="A128" s="13" t="s">
        <v>1727</v>
      </c>
      <c r="B128" t="s">
        <v>1841</v>
      </c>
      <c r="E128">
        <v>48</v>
      </c>
      <c r="F128">
        <v>48</v>
      </c>
      <c r="H128" t="s">
        <v>43</v>
      </c>
      <c r="I128" t="s">
        <v>1728</v>
      </c>
      <c r="J128" t="s">
        <v>1730</v>
      </c>
      <c r="K128" t="s">
        <v>1729</v>
      </c>
      <c r="L128" t="s">
        <v>1731</v>
      </c>
      <c r="R128" s="12" t="s">
        <v>1905</v>
      </c>
    </row>
    <row r="129" spans="1:18" x14ac:dyDescent="0.25">
      <c r="A129" s="13" t="s">
        <v>1135</v>
      </c>
      <c r="B129" t="s">
        <v>1842</v>
      </c>
      <c r="C129" t="s">
        <v>299</v>
      </c>
      <c r="D129" t="s">
        <v>724</v>
      </c>
      <c r="E129">
        <v>48</v>
      </c>
      <c r="F129">
        <v>48</v>
      </c>
      <c r="H129" t="s">
        <v>43</v>
      </c>
      <c r="I129" t="s">
        <v>1136</v>
      </c>
      <c r="J129" t="s">
        <v>1137</v>
      </c>
      <c r="K129" t="s">
        <v>1136</v>
      </c>
      <c r="L129" t="s">
        <v>1138</v>
      </c>
      <c r="R129" s="12" t="s">
        <v>1906</v>
      </c>
    </row>
    <row r="130" spans="1:18" x14ac:dyDescent="0.25">
      <c r="A130" s="13" t="s">
        <v>1596</v>
      </c>
      <c r="B130" t="s">
        <v>1843</v>
      </c>
      <c r="E130">
        <v>48</v>
      </c>
      <c r="F130">
        <v>48</v>
      </c>
      <c r="H130" t="s">
        <v>43</v>
      </c>
      <c r="I130" t="s">
        <v>1592</v>
      </c>
      <c r="J130" t="s">
        <v>1594</v>
      </c>
      <c r="K130" t="s">
        <v>1593</v>
      </c>
      <c r="L130" t="s">
        <v>1595</v>
      </c>
      <c r="R130" s="12" t="s">
        <v>1907</v>
      </c>
    </row>
    <row r="131" spans="1:18" x14ac:dyDescent="0.25">
      <c r="A131" s="13" t="s">
        <v>1605</v>
      </c>
      <c r="B131" t="s">
        <v>1844</v>
      </c>
      <c r="E131">
        <v>192</v>
      </c>
      <c r="F131">
        <v>48</v>
      </c>
      <c r="H131" t="s">
        <v>43</v>
      </c>
      <c r="I131" t="s">
        <v>1597</v>
      </c>
      <c r="J131" t="s">
        <v>1602</v>
      </c>
      <c r="K131" t="s">
        <v>1600</v>
      </c>
      <c r="L131" t="s">
        <v>1603</v>
      </c>
      <c r="R131" s="12" t="s">
        <v>1908</v>
      </c>
    </row>
    <row r="132" spans="1:18" x14ac:dyDescent="0.25">
      <c r="A132" s="13" t="s">
        <v>1606</v>
      </c>
      <c r="B132" t="s">
        <v>1845</v>
      </c>
      <c r="E132">
        <v>288</v>
      </c>
      <c r="F132">
        <v>96</v>
      </c>
      <c r="H132" t="s">
        <v>43</v>
      </c>
      <c r="I132" t="s">
        <v>1599</v>
      </c>
      <c r="J132" t="s">
        <v>1598</v>
      </c>
      <c r="K132" t="s">
        <v>1601</v>
      </c>
      <c r="L132" t="s">
        <v>1604</v>
      </c>
      <c r="R132" s="12" t="s">
        <v>1909</v>
      </c>
    </row>
    <row r="133" spans="1:18" x14ac:dyDescent="0.25">
      <c r="A133" s="13" t="s">
        <v>1615</v>
      </c>
      <c r="B133" t="s">
        <v>1846</v>
      </c>
      <c r="E133">
        <v>48</v>
      </c>
      <c r="F133">
        <v>48</v>
      </c>
      <c r="H133" t="s">
        <v>44</v>
      </c>
      <c r="I133" t="s">
        <v>1607</v>
      </c>
      <c r="J133" t="s">
        <v>1611</v>
      </c>
      <c r="K133" t="s">
        <v>1609</v>
      </c>
      <c r="L133" t="s">
        <v>1613</v>
      </c>
      <c r="R133" s="12" t="s">
        <v>1910</v>
      </c>
    </row>
    <row r="134" spans="1:18" x14ac:dyDescent="0.25">
      <c r="A134" s="13" t="s">
        <v>1616</v>
      </c>
      <c r="B134" t="s">
        <v>1847</v>
      </c>
      <c r="E134">
        <v>48</v>
      </c>
      <c r="F134">
        <v>48</v>
      </c>
      <c r="H134" t="s">
        <v>44</v>
      </c>
      <c r="I134" t="s">
        <v>1608</v>
      </c>
      <c r="J134" t="s">
        <v>1612</v>
      </c>
      <c r="K134" t="s">
        <v>1610</v>
      </c>
      <c r="L134" t="s">
        <v>1614</v>
      </c>
      <c r="R134" s="12" t="s">
        <v>1911</v>
      </c>
    </row>
    <row r="135" spans="1:18" x14ac:dyDescent="0.25">
      <c r="A135" s="13" t="s">
        <v>2202</v>
      </c>
      <c r="B135" t="s">
        <v>2212</v>
      </c>
      <c r="E135">
        <v>48</v>
      </c>
      <c r="F135">
        <v>24</v>
      </c>
      <c r="H135" t="s">
        <v>2204</v>
      </c>
      <c r="I135" t="s">
        <v>2207</v>
      </c>
      <c r="J135" t="s">
        <v>2214</v>
      </c>
      <c r="K135" t="s">
        <v>2215</v>
      </c>
      <c r="L135" t="s">
        <v>2209</v>
      </c>
      <c r="R135" s="12" t="s">
        <v>2219</v>
      </c>
    </row>
    <row r="136" spans="1:18" x14ac:dyDescent="0.25">
      <c r="A136" s="13" t="s">
        <v>2203</v>
      </c>
      <c r="B136" t="s">
        <v>2213</v>
      </c>
      <c r="E136">
        <v>48</v>
      </c>
      <c r="F136">
        <v>24</v>
      </c>
      <c r="H136" t="s">
        <v>2204</v>
      </c>
      <c r="I136" t="s">
        <v>2208</v>
      </c>
      <c r="J136" t="s">
        <v>2210</v>
      </c>
      <c r="K136" t="s">
        <v>2215</v>
      </c>
      <c r="L136" t="s">
        <v>2210</v>
      </c>
      <c r="R136" s="12" t="s">
        <v>2237</v>
      </c>
    </row>
    <row r="137" spans="1:18" x14ac:dyDescent="0.25">
      <c r="A137" s="13" t="s">
        <v>2236</v>
      </c>
      <c r="B137" t="s">
        <v>2235</v>
      </c>
      <c r="E137">
        <v>216</v>
      </c>
      <c r="F137">
        <v>48</v>
      </c>
      <c r="H137" t="s">
        <v>44</v>
      </c>
      <c r="I137" t="s">
        <v>1597</v>
      </c>
      <c r="J137" t="s">
        <v>1602</v>
      </c>
      <c r="K137" t="s">
        <v>1600</v>
      </c>
      <c r="L137" t="s">
        <v>1603</v>
      </c>
      <c r="R137" s="12" t="s">
        <v>2238</v>
      </c>
    </row>
    <row r="138" spans="1:18" x14ac:dyDescent="0.25">
      <c r="A138" s="13" t="s">
        <v>2240</v>
      </c>
      <c r="B138" t="s">
        <v>2239</v>
      </c>
      <c r="E138">
        <v>312</v>
      </c>
      <c r="F138">
        <v>96</v>
      </c>
      <c r="H138" t="s">
        <v>44</v>
      </c>
      <c r="I138" t="s">
        <v>1599</v>
      </c>
      <c r="J138" t="s">
        <v>1598</v>
      </c>
      <c r="K138" t="s">
        <v>1601</v>
      </c>
      <c r="L138" t="s">
        <v>1604</v>
      </c>
      <c r="R138" s="12" t="s">
        <v>2241</v>
      </c>
    </row>
    <row r="139" spans="1:18" x14ac:dyDescent="0.25">
      <c r="R139" s="12" t="s">
        <v>1617</v>
      </c>
    </row>
  </sheetData>
  <mergeCells count="2">
    <mergeCell ref="I1:J1"/>
    <mergeCell ref="K1:L1"/>
  </mergeCells>
  <conditionalFormatting sqref="A1:A1048576">
    <cfRule type="duplicateValues" dxfId="6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9525</xdr:colOff>
                    <xdr:row>1</xdr:row>
                    <xdr:rowOff>171450</xdr:rowOff>
                  </from>
                  <to>
                    <xdr:col>20</xdr:col>
                    <xdr:colOff>171450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5" x14ac:dyDescent="0.25"/>
  <cols>
    <col min="8" max="8" width="29.140625" customWidth="1"/>
  </cols>
  <sheetData>
    <row r="1" spans="1:10" x14ac:dyDescent="0.25">
      <c r="A1" t="s">
        <v>1552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0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25">
      <c r="A2" t="s">
        <v>1554</v>
      </c>
      <c r="B2" t="s">
        <v>1565</v>
      </c>
      <c r="C2" t="s">
        <v>1564</v>
      </c>
      <c r="D2" t="s">
        <v>1563</v>
      </c>
      <c r="E2">
        <v>0</v>
      </c>
      <c r="F2" t="s">
        <v>1531</v>
      </c>
      <c r="G2" t="s">
        <v>1551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25">
      <c r="A3" t="s">
        <v>1622</v>
      </c>
      <c r="B3" t="s">
        <v>1565</v>
      </c>
      <c r="C3" t="s">
        <v>1564</v>
      </c>
      <c r="D3" t="s">
        <v>1564</v>
      </c>
      <c r="E3">
        <v>1</v>
      </c>
      <c r="F3" t="s">
        <v>1623</v>
      </c>
      <c r="G3" t="s">
        <v>1624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25">
      <c r="A4" t="s">
        <v>1555</v>
      </c>
      <c r="B4" t="s">
        <v>1566</v>
      </c>
      <c r="C4" t="s">
        <v>1567</v>
      </c>
      <c r="D4" t="s">
        <v>1568</v>
      </c>
      <c r="E4">
        <v>2</v>
      </c>
      <c r="F4" t="s">
        <v>1532</v>
      </c>
      <c r="G4" t="s">
        <v>1541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25">
      <c r="A5" t="s">
        <v>1556</v>
      </c>
      <c r="B5" t="s">
        <v>1569</v>
      </c>
      <c r="C5" t="s">
        <v>1570</v>
      </c>
      <c r="D5" t="s">
        <v>1567</v>
      </c>
      <c r="E5">
        <v>1</v>
      </c>
      <c r="F5" t="s">
        <v>1533</v>
      </c>
      <c r="G5" t="s">
        <v>1542</v>
      </c>
      <c r="J5" t="str">
        <f t="shared" si="0"/>
        <v>"hm":{a:[[0,0],[1,0]],b:[0.5,0.5],c:[0,1],m:1,desc:{"en-us":"Heun's method","es-mx":"Método de Heun"}},</v>
      </c>
    </row>
    <row r="6" spans="1:10" x14ac:dyDescent="0.25">
      <c r="A6" t="s">
        <v>1557</v>
      </c>
      <c r="B6" t="s">
        <v>1573</v>
      </c>
      <c r="C6" t="s">
        <v>1572</v>
      </c>
      <c r="D6" t="s">
        <v>1571</v>
      </c>
      <c r="E6">
        <v>3</v>
      </c>
      <c r="F6" t="s">
        <v>1534</v>
      </c>
      <c r="G6" t="s">
        <v>1543</v>
      </c>
      <c r="J6" t="str">
        <f t="shared" si="0"/>
        <v>"rm":{a:[[0,0],[2/3,0]],b:[0.25,0.75],c:[0,2/3],m:3,desc:{"en-us":"Ralston's method","es-mx":"Método de Ralston"}},</v>
      </c>
    </row>
    <row r="7" spans="1:10" x14ac:dyDescent="0.25">
      <c r="A7" t="s">
        <v>1558</v>
      </c>
      <c r="B7" t="s">
        <v>1574</v>
      </c>
      <c r="C7" t="s">
        <v>1575</v>
      </c>
      <c r="D7" t="s">
        <v>1576</v>
      </c>
      <c r="E7">
        <v>2</v>
      </c>
      <c r="F7" t="s">
        <v>1535</v>
      </c>
      <c r="G7" t="s">
        <v>1544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25">
      <c r="A8" t="s">
        <v>1559</v>
      </c>
      <c r="B8" t="s">
        <v>1577</v>
      </c>
      <c r="C8" t="s">
        <v>1578</v>
      </c>
      <c r="D8" t="s">
        <v>1579</v>
      </c>
      <c r="E8">
        <v>3</v>
      </c>
      <c r="F8" t="s">
        <v>1536</v>
      </c>
      <c r="G8" t="s">
        <v>1545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25">
      <c r="A9" t="s">
        <v>1560</v>
      </c>
      <c r="B9" t="s">
        <v>1580</v>
      </c>
      <c r="C9" t="s">
        <v>1581</v>
      </c>
      <c r="D9" t="s">
        <v>1582</v>
      </c>
      <c r="E9">
        <v>4</v>
      </c>
      <c r="F9" t="s">
        <v>1537</v>
      </c>
      <c r="G9" t="s">
        <v>1546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25">
      <c r="A10" t="s">
        <v>1561</v>
      </c>
      <c r="B10" t="s">
        <v>1583</v>
      </c>
      <c r="C10" t="s">
        <v>1584</v>
      </c>
      <c r="D10" t="s">
        <v>1585</v>
      </c>
      <c r="E10">
        <v>2</v>
      </c>
      <c r="F10" t="s">
        <v>1538</v>
      </c>
      <c r="G10" t="s">
        <v>1547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25">
      <c r="A11" t="s">
        <v>1562</v>
      </c>
      <c r="B11" t="s">
        <v>1586</v>
      </c>
      <c r="C11" t="s">
        <v>1587</v>
      </c>
      <c r="D11" t="s">
        <v>1588</v>
      </c>
      <c r="E11">
        <v>2</v>
      </c>
      <c r="F11" t="s">
        <v>1539</v>
      </c>
      <c r="G11" t="s">
        <v>1548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25">
      <c r="A12" t="s">
        <v>1553</v>
      </c>
      <c r="B12" t="s">
        <v>1589</v>
      </c>
      <c r="C12" t="s">
        <v>1590</v>
      </c>
      <c r="D12" t="s">
        <v>1591</v>
      </c>
      <c r="E12">
        <v>3</v>
      </c>
      <c r="F12" t="s">
        <v>1540</v>
      </c>
      <c r="G12" t="s">
        <v>1549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25">
      <c r="J13" t="str">
        <f t="shared" si="0"/>
        <v/>
      </c>
    </row>
    <row r="14" spans="1:10" x14ac:dyDescent="0.25">
      <c r="J14" t="str">
        <f t="shared" si="0"/>
        <v/>
      </c>
    </row>
    <row r="15" spans="1:10" x14ac:dyDescent="0.25">
      <c r="J15" t="str">
        <f t="shared" si="0"/>
        <v/>
      </c>
    </row>
    <row r="16" spans="1:10" x14ac:dyDescent="0.25">
      <c r="J16" t="str">
        <f t="shared" si="0"/>
        <v/>
      </c>
    </row>
    <row r="17" spans="10:10" x14ac:dyDescent="0.25">
      <c r="J17" t="str">
        <f t="shared" si="0"/>
        <v/>
      </c>
    </row>
    <row r="18" spans="10:10" x14ac:dyDescent="0.25">
      <c r="J18" t="str">
        <f t="shared" si="0"/>
        <v/>
      </c>
    </row>
    <row r="19" spans="10:10" x14ac:dyDescent="0.25">
      <c r="J19" t="str">
        <f t="shared" si="0"/>
        <v/>
      </c>
    </row>
    <row r="20" spans="10:10" x14ac:dyDescent="0.25">
      <c r="J20" t="str">
        <f t="shared" si="0"/>
        <v/>
      </c>
    </row>
    <row r="21" spans="10:10" x14ac:dyDescent="0.25">
      <c r="J21" t="str">
        <f t="shared" si="0"/>
        <v/>
      </c>
    </row>
    <row r="22" spans="10:10" x14ac:dyDescent="0.25">
      <c r="J22" t="str">
        <f t="shared" si="0"/>
        <v/>
      </c>
    </row>
    <row r="23" spans="10:10" x14ac:dyDescent="0.25">
      <c r="J23" t="str">
        <f t="shared" si="0"/>
        <v/>
      </c>
    </row>
    <row r="24" spans="10:10" x14ac:dyDescent="0.25">
      <c r="J24" t="str">
        <f t="shared" si="0"/>
        <v/>
      </c>
    </row>
  </sheetData>
  <conditionalFormatting sqref="A2:A12">
    <cfRule type="duplicateValues" dxfId="5" priority="2"/>
  </conditionalFormatting>
  <conditionalFormatting sqref="A1:A1048576">
    <cfRule type="duplicateValues" dxfId="4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1768-27A7-4E36-B9DF-30B25B464C20}">
  <sheetPr codeName="Sheet18"/>
  <dimension ref="A1:H16"/>
  <sheetViews>
    <sheetView tabSelected="1" workbookViewId="0">
      <selection activeCell="G1" sqref="G1"/>
    </sheetView>
  </sheetViews>
  <sheetFormatPr defaultRowHeight="15" x14ac:dyDescent="0.25"/>
  <cols>
    <col min="6" max="6" width="29.140625" customWidth="1"/>
  </cols>
  <sheetData>
    <row r="1" spans="1:8" x14ac:dyDescent="0.25">
      <c r="A1" t="s">
        <v>1552</v>
      </c>
      <c r="B1" t="s">
        <v>365</v>
      </c>
      <c r="C1" t="s">
        <v>378</v>
      </c>
      <c r="D1" t="s">
        <v>329</v>
      </c>
      <c r="E1" t="s">
        <v>330</v>
      </c>
      <c r="G1" s="10" t="str">
        <f xml:space="preserve"> "const intTypes = {"&amp;_xlfn.CONCAT(H:H)&amp;"}"</f>
        <v>const intTypes = {"fe":{a:[0,1],m:1,desc:{"en-us":"Forward Euler","es-mx":"Adelante Euler"}},"be":{a:[1],m:0,desc:{"en-us":"Backward Euler","es-mx":"Euler hacia atrás"}},"hm":{a:[1/2,1/2],m:1,desc:{"en-us":"Heun's method","es-mx":"Método de Heun"}}}</v>
      </c>
    </row>
    <row r="2" spans="1:8" x14ac:dyDescent="0.25">
      <c r="A2" t="s">
        <v>1554</v>
      </c>
      <c r="B2" t="s">
        <v>1567</v>
      </c>
      <c r="C2">
        <v>1</v>
      </c>
      <c r="D2" t="s">
        <v>1531</v>
      </c>
      <c r="E2" t="s">
        <v>1551</v>
      </c>
      <c r="H2" t="str">
        <f t="shared" ref="H2:H16" si="0">IF(ISBLANK(A2),"",""""&amp;A2&amp;""":{"&amp;$B$1&amp;":"&amp;B2&amp;","&amp;$C$1&amp;":"&amp;C2&amp;",desc:{"""&amp;$D$1&amp;""":"""&amp;D2&amp;""","""&amp;$E$1&amp;""":"""&amp;E2&amp;"""}}"&amp;IF(ISBLANK(A3),"",","))</f>
        <v>"fe":{a:[0,1],m:1,desc:{"en-us":"Forward Euler","es-mx":"Adelante Euler"}},</v>
      </c>
    </row>
    <row r="3" spans="1:8" x14ac:dyDescent="0.25">
      <c r="A3" t="s">
        <v>1622</v>
      </c>
      <c r="B3" t="s">
        <v>1564</v>
      </c>
      <c r="C3">
        <v>0</v>
      </c>
      <c r="D3" t="s">
        <v>1623</v>
      </c>
      <c r="E3" t="s">
        <v>1624</v>
      </c>
      <c r="H3" t="str">
        <f t="shared" si="0"/>
        <v>"be":{a:[1],m:0,desc:{"en-us":"Backward Euler","es-mx":"Euler hacia atrás"}},</v>
      </c>
    </row>
    <row r="4" spans="1:8" x14ac:dyDescent="0.25">
      <c r="A4" t="s">
        <v>1556</v>
      </c>
      <c r="B4" t="s">
        <v>2201</v>
      </c>
      <c r="C4">
        <v>1</v>
      </c>
      <c r="D4" t="s">
        <v>1533</v>
      </c>
      <c r="E4" t="s">
        <v>1542</v>
      </c>
      <c r="H4" t="str">
        <f t="shared" si="0"/>
        <v>"hm":{a:[1/2,1/2],m:1,desc:{"en-us":"Heun's method","es-mx":"Método de Heun"}}</v>
      </c>
    </row>
    <row r="5" spans="1:8" x14ac:dyDescent="0.25">
      <c r="H5" t="str">
        <f t="shared" si="0"/>
        <v/>
      </c>
    </row>
    <row r="6" spans="1:8" x14ac:dyDescent="0.25">
      <c r="H6" t="str">
        <f t="shared" si="0"/>
        <v/>
      </c>
    </row>
    <row r="7" spans="1:8" x14ac:dyDescent="0.25">
      <c r="H7" t="str">
        <f t="shared" si="0"/>
        <v/>
      </c>
    </row>
    <row r="8" spans="1:8" x14ac:dyDescent="0.25">
      <c r="H8" t="str">
        <f t="shared" si="0"/>
        <v/>
      </c>
    </row>
    <row r="9" spans="1:8" x14ac:dyDescent="0.25">
      <c r="H9" t="str">
        <f t="shared" si="0"/>
        <v/>
      </c>
    </row>
    <row r="10" spans="1:8" x14ac:dyDescent="0.25">
      <c r="H10" t="str">
        <f t="shared" si="0"/>
        <v/>
      </c>
    </row>
    <row r="11" spans="1:8" x14ac:dyDescent="0.25">
      <c r="H11" t="str">
        <f t="shared" si="0"/>
        <v/>
      </c>
    </row>
    <row r="12" spans="1:8" x14ac:dyDescent="0.25">
      <c r="H12" t="str">
        <f t="shared" si="0"/>
        <v/>
      </c>
    </row>
    <row r="13" spans="1:8" x14ac:dyDescent="0.25">
      <c r="H13" t="str">
        <f t="shared" si="0"/>
        <v/>
      </c>
    </row>
    <row r="14" spans="1:8" x14ac:dyDescent="0.25">
      <c r="H14" t="str">
        <f t="shared" si="0"/>
        <v/>
      </c>
    </row>
    <row r="15" spans="1:8" x14ac:dyDescent="0.25">
      <c r="H15" t="str">
        <f t="shared" si="0"/>
        <v/>
      </c>
    </row>
    <row r="16" spans="1:8" x14ac:dyDescent="0.25">
      <c r="H16" t="str">
        <f t="shared" si="0"/>
        <v/>
      </c>
    </row>
  </sheetData>
  <conditionalFormatting sqref="A1:A1048576">
    <cfRule type="duplicateValues" dxfId="3" priority="1"/>
  </conditionalFormatting>
  <conditionalFormatting sqref="A2:A4">
    <cfRule type="duplicateValues" dxfId="2" priority="9"/>
  </conditionalFormatting>
  <pageMargins left="0.7" right="0.7" top="0.75" bottom="0.75" header="0.3" footer="0.3"/>
  <pageSetup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topLeftCell="M1" workbookViewId="0">
      <selection activeCell="H1" sqref="H1"/>
    </sheetView>
  </sheetViews>
  <sheetFormatPr defaultRowHeight="15" x14ac:dyDescent="0.25"/>
  <sheetData>
    <row r="1" spans="1:8" x14ac:dyDescent="0.25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25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25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25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25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25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25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25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25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25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25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25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25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25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25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25">
      <c r="E16" t="str">
        <f t="shared" si="0"/>
        <v/>
      </c>
      <c r="F16" t="str">
        <f t="shared" si="1"/>
        <v/>
      </c>
    </row>
    <row r="17" spans="5:6" x14ac:dyDescent="0.25">
      <c r="E17" t="str">
        <f t="shared" si="0"/>
        <v/>
      </c>
      <c r="F17" t="str">
        <f t="shared" si="1"/>
        <v/>
      </c>
    </row>
    <row r="18" spans="5:6" x14ac:dyDescent="0.25">
      <c r="E18" t="str">
        <f t="shared" si="0"/>
        <v/>
      </c>
      <c r="F18" t="str">
        <f t="shared" si="1"/>
        <v/>
      </c>
    </row>
    <row r="19" spans="5:6" x14ac:dyDescent="0.25">
      <c r="E19" t="str">
        <f t="shared" si="0"/>
        <v/>
      </c>
      <c r="F19" t="str">
        <f t="shared" si="1"/>
        <v/>
      </c>
    </row>
    <row r="20" spans="5:6" x14ac:dyDescent="0.25">
      <c r="E20" t="str">
        <f t="shared" si="0"/>
        <v/>
      </c>
      <c r="F20" t="str">
        <f t="shared" si="1"/>
        <v/>
      </c>
    </row>
    <row r="21" spans="5:6" x14ac:dyDescent="0.25">
      <c r="E21" t="str">
        <f t="shared" si="0"/>
        <v/>
      </c>
      <c r="F21" t="str">
        <f t="shared" si="1"/>
        <v/>
      </c>
    </row>
    <row r="22" spans="5:6" x14ac:dyDescent="0.25">
      <c r="E22" t="str">
        <f t="shared" si="0"/>
        <v/>
      </c>
      <c r="F22" t="str">
        <f t="shared" si="1"/>
        <v/>
      </c>
    </row>
    <row r="23" spans="5:6" x14ac:dyDescent="0.25">
      <c r="E23" t="str">
        <f t="shared" si="0"/>
        <v/>
      </c>
      <c r="F23" t="str">
        <f t="shared" si="1"/>
        <v/>
      </c>
    </row>
    <row r="24" spans="5:6" x14ac:dyDescent="0.25">
      <c r="E24" t="str">
        <f t="shared" si="0"/>
        <v/>
      </c>
      <c r="F24" t="str">
        <f t="shared" si="1"/>
        <v/>
      </c>
    </row>
    <row r="25" spans="5:6" x14ac:dyDescent="0.25">
      <c r="E25" t="str">
        <f t="shared" si="0"/>
        <v/>
      </c>
      <c r="F25" t="str">
        <f t="shared" si="1"/>
        <v/>
      </c>
    </row>
    <row r="26" spans="5:6" x14ac:dyDescent="0.25">
      <c r="E26" t="str">
        <f t="shared" si="0"/>
        <v/>
      </c>
      <c r="F26" t="str">
        <f t="shared" si="1"/>
        <v/>
      </c>
    </row>
    <row r="27" spans="5:6" x14ac:dyDescent="0.25">
      <c r="E27" t="str">
        <f t="shared" si="0"/>
        <v/>
      </c>
      <c r="F27" t="str">
        <f t="shared" si="1"/>
        <v/>
      </c>
    </row>
    <row r="28" spans="5:6" x14ac:dyDescent="0.25">
      <c r="E28" t="str">
        <f t="shared" si="0"/>
        <v/>
      </c>
      <c r="F28" t="str">
        <f t="shared" si="1"/>
        <v/>
      </c>
    </row>
    <row r="29" spans="5:6" x14ac:dyDescent="0.25">
      <c r="E29" t="str">
        <f t="shared" si="0"/>
        <v/>
      </c>
      <c r="F29" t="str">
        <f t="shared" si="1"/>
        <v/>
      </c>
    </row>
    <row r="30" spans="5:6" x14ac:dyDescent="0.25">
      <c r="E30" t="str">
        <f t="shared" si="0"/>
        <v/>
      </c>
      <c r="F30" t="str">
        <f t="shared" si="1"/>
        <v/>
      </c>
    </row>
    <row r="31" spans="5:6" x14ac:dyDescent="0.25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topLeftCell="J1" workbookViewId="0">
      <selection activeCell="R2" sqref="R2"/>
    </sheetView>
  </sheetViews>
  <sheetFormatPr defaultRowHeight="15" x14ac:dyDescent="0.25"/>
  <cols>
    <col min="2" max="5" width="15.28515625" bestFit="1" customWidth="1"/>
    <col min="6" max="7" width="11.28515625" bestFit="1" customWidth="1"/>
    <col min="8" max="9" width="9" bestFit="1" customWidth="1"/>
    <col min="10" max="10" width="10.7109375" bestFit="1" customWidth="1"/>
    <col min="11" max="11" width="11.42578125" customWidth="1"/>
    <col min="13" max="13" width="19.5703125" customWidth="1"/>
    <col min="18" max="18" width="21.42578125" customWidth="1"/>
  </cols>
  <sheetData>
    <row r="1" spans="1:21" x14ac:dyDescent="0.25">
      <c r="A1" t="s">
        <v>913</v>
      </c>
      <c r="B1" t="s">
        <v>914</v>
      </c>
      <c r="C1" t="s">
        <v>915</v>
      </c>
      <c r="D1" t="s">
        <v>1040</v>
      </c>
      <c r="E1" t="s">
        <v>1041</v>
      </c>
      <c r="F1" t="s">
        <v>1039</v>
      </c>
      <c r="G1" t="s">
        <v>1038</v>
      </c>
      <c r="H1" t="s">
        <v>916</v>
      </c>
      <c r="I1" t="s">
        <v>917</v>
      </c>
      <c r="J1" t="s">
        <v>1043</v>
      </c>
      <c r="K1" t="s">
        <v>1044</v>
      </c>
      <c r="L1" t="s">
        <v>1042</v>
      </c>
      <c r="M1" t="s">
        <v>329</v>
      </c>
      <c r="N1" t="s">
        <v>330</v>
      </c>
      <c r="P1" s="10" t="s">
        <v>919</v>
      </c>
      <c r="Q1" s="10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25">
      <c r="A2" t="s">
        <v>918</v>
      </c>
      <c r="B2" t="s">
        <v>1067</v>
      </c>
      <c r="C2" t="s">
        <v>1066</v>
      </c>
      <c r="D2" t="s">
        <v>1070</v>
      </c>
      <c r="E2" t="s">
        <v>1069</v>
      </c>
      <c r="F2" t="s">
        <v>1068</v>
      </c>
      <c r="G2" t="s">
        <v>1071</v>
      </c>
      <c r="H2" t="s">
        <v>724</v>
      </c>
      <c r="I2" t="s">
        <v>724</v>
      </c>
      <c r="J2" t="s">
        <v>1061</v>
      </c>
      <c r="K2" t="s">
        <v>1060</v>
      </c>
      <c r="L2" t="s">
        <v>918</v>
      </c>
      <c r="M2" t="s">
        <v>1153</v>
      </c>
      <c r="N2" t="s">
        <v>1151</v>
      </c>
      <c r="P2" s="10" t="s">
        <v>920</v>
      </c>
      <c r="Q2" s="10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25">
      <c r="A3" t="s">
        <v>1106</v>
      </c>
      <c r="B3" t="s">
        <v>1055</v>
      </c>
      <c r="C3" t="s">
        <v>1054</v>
      </c>
      <c r="D3" t="s">
        <v>1058</v>
      </c>
      <c r="E3" t="s">
        <v>1057</v>
      </c>
      <c r="F3" t="s">
        <v>1056</v>
      </c>
      <c r="G3" t="s">
        <v>1059</v>
      </c>
      <c r="H3" t="s">
        <v>724</v>
      </c>
      <c r="I3" t="s">
        <v>724</v>
      </c>
      <c r="J3" t="s">
        <v>1061</v>
      </c>
      <c r="K3" t="s">
        <v>1060</v>
      </c>
      <c r="L3" t="s">
        <v>918</v>
      </c>
      <c r="M3" t="s">
        <v>1099</v>
      </c>
      <c r="N3" t="s">
        <v>1121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25">
      <c r="A4" t="s">
        <v>1107</v>
      </c>
      <c r="B4" t="s">
        <v>1079</v>
      </c>
      <c r="C4" t="s">
        <v>1078</v>
      </c>
      <c r="D4" t="s">
        <v>1082</v>
      </c>
      <c r="E4" t="s">
        <v>1081</v>
      </c>
      <c r="F4" t="s">
        <v>1080</v>
      </c>
      <c r="G4" t="s">
        <v>1083</v>
      </c>
      <c r="H4" t="s">
        <v>724</v>
      </c>
      <c r="I4" t="s">
        <v>724</v>
      </c>
      <c r="J4" t="s">
        <v>1061</v>
      </c>
      <c r="K4" t="s">
        <v>1060</v>
      </c>
      <c r="L4" t="s">
        <v>918</v>
      </c>
      <c r="M4" t="s">
        <v>1100</v>
      </c>
      <c r="N4" t="s">
        <v>1122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25">
      <c r="A5" t="s">
        <v>1108</v>
      </c>
      <c r="B5" t="s">
        <v>1091</v>
      </c>
      <c r="C5" t="s">
        <v>1090</v>
      </c>
      <c r="D5" t="s">
        <v>1094</v>
      </c>
      <c r="E5" t="s">
        <v>1093</v>
      </c>
      <c r="F5" t="s">
        <v>1092</v>
      </c>
      <c r="G5" t="s">
        <v>1095</v>
      </c>
      <c r="H5" t="s">
        <v>1045</v>
      </c>
      <c r="I5" t="s">
        <v>724</v>
      </c>
      <c r="J5" t="s">
        <v>1052</v>
      </c>
      <c r="K5" t="s">
        <v>1053</v>
      </c>
      <c r="L5" t="s">
        <v>918</v>
      </c>
      <c r="M5" t="s">
        <v>1101</v>
      </c>
      <c r="N5" t="s">
        <v>1123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25">
      <c r="A6" t="s">
        <v>1109</v>
      </c>
      <c r="B6" t="s">
        <v>1097</v>
      </c>
      <c r="C6" t="s">
        <v>1096</v>
      </c>
      <c r="D6" t="s">
        <v>1058</v>
      </c>
      <c r="E6" t="s">
        <v>1057</v>
      </c>
      <c r="F6" t="s">
        <v>1098</v>
      </c>
      <c r="G6" t="s">
        <v>1059</v>
      </c>
      <c r="H6" t="s">
        <v>724</v>
      </c>
      <c r="I6" t="s">
        <v>724</v>
      </c>
      <c r="J6" t="s">
        <v>1061</v>
      </c>
      <c r="K6" t="s">
        <v>1060</v>
      </c>
      <c r="L6" t="s">
        <v>918</v>
      </c>
      <c r="M6" t="s">
        <v>1105</v>
      </c>
      <c r="N6" t="s">
        <v>1124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25">
      <c r="A7" t="s">
        <v>921</v>
      </c>
      <c r="B7" t="s">
        <v>724</v>
      </c>
      <c r="C7" t="s">
        <v>1770</v>
      </c>
      <c r="D7" t="s">
        <v>1771</v>
      </c>
      <c r="E7" t="s">
        <v>1776</v>
      </c>
      <c r="F7" t="s">
        <v>1772</v>
      </c>
      <c r="G7" t="s">
        <v>1772</v>
      </c>
      <c r="H7" t="s">
        <v>1773</v>
      </c>
      <c r="I7" t="s">
        <v>1777</v>
      </c>
      <c r="J7" t="s">
        <v>1052</v>
      </c>
      <c r="K7" t="s">
        <v>1053</v>
      </c>
      <c r="L7" t="s">
        <v>921</v>
      </c>
      <c r="M7" t="s">
        <v>1154</v>
      </c>
      <c r="N7" t="s">
        <v>1152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25">
      <c r="A8" t="s">
        <v>1110</v>
      </c>
      <c r="B8" t="s">
        <v>724</v>
      </c>
      <c r="C8" t="s">
        <v>1062</v>
      </c>
      <c r="D8" t="s">
        <v>724</v>
      </c>
      <c r="E8" t="s">
        <v>1064</v>
      </c>
      <c r="F8" t="s">
        <v>1063</v>
      </c>
      <c r="G8" t="s">
        <v>1065</v>
      </c>
      <c r="H8" t="s">
        <v>1045</v>
      </c>
      <c r="I8" t="s">
        <v>1045</v>
      </c>
      <c r="J8" t="s">
        <v>1052</v>
      </c>
      <c r="K8" t="s">
        <v>1053</v>
      </c>
      <c r="L8" t="s">
        <v>921</v>
      </c>
      <c r="M8" t="s">
        <v>1102</v>
      </c>
      <c r="N8" t="s">
        <v>1125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25">
      <c r="A9" t="s">
        <v>1111</v>
      </c>
      <c r="B9" t="s">
        <v>1073</v>
      </c>
      <c r="C9" t="s">
        <v>1072</v>
      </c>
      <c r="D9" t="s">
        <v>1076</v>
      </c>
      <c r="E9" t="s">
        <v>1075</v>
      </c>
      <c r="F9" t="s">
        <v>1074</v>
      </c>
      <c r="G9" t="s">
        <v>1077</v>
      </c>
      <c r="H9" t="s">
        <v>1045</v>
      </c>
      <c r="I9" t="s">
        <v>1045</v>
      </c>
      <c r="J9" t="s">
        <v>1052</v>
      </c>
      <c r="K9" t="s">
        <v>1053</v>
      </c>
      <c r="L9" t="s">
        <v>921</v>
      </c>
      <c r="M9" t="s">
        <v>1103</v>
      </c>
      <c r="N9" t="s">
        <v>1126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25">
      <c r="A10" t="s">
        <v>1112</v>
      </c>
      <c r="B10" t="s">
        <v>1085</v>
      </c>
      <c r="C10" t="s">
        <v>1084</v>
      </c>
      <c r="D10" t="s">
        <v>1088</v>
      </c>
      <c r="E10" t="s">
        <v>1087</v>
      </c>
      <c r="F10" t="s">
        <v>1086</v>
      </c>
      <c r="G10" t="s">
        <v>1089</v>
      </c>
      <c r="H10" t="s">
        <v>1045</v>
      </c>
      <c r="I10" t="s">
        <v>1045</v>
      </c>
      <c r="J10" t="s">
        <v>1052</v>
      </c>
      <c r="K10" t="s">
        <v>1053</v>
      </c>
      <c r="L10" t="s">
        <v>921</v>
      </c>
      <c r="M10" t="s">
        <v>1104</v>
      </c>
      <c r="N10" t="s">
        <v>1127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25">
      <c r="A11" t="s">
        <v>1113</v>
      </c>
      <c r="B11" t="s">
        <v>1115</v>
      </c>
      <c r="C11" t="s">
        <v>1114</v>
      </c>
      <c r="D11" t="s">
        <v>1118</v>
      </c>
      <c r="E11" t="s">
        <v>1117</v>
      </c>
      <c r="F11" t="s">
        <v>1116</v>
      </c>
      <c r="G11" t="s">
        <v>1119</v>
      </c>
      <c r="H11" t="s">
        <v>1045</v>
      </c>
      <c r="I11" t="s">
        <v>1045</v>
      </c>
      <c r="J11" t="s">
        <v>1052</v>
      </c>
      <c r="K11" t="s">
        <v>1053</v>
      </c>
      <c r="L11" t="s">
        <v>921</v>
      </c>
      <c r="M11" t="s">
        <v>1120</v>
      </c>
      <c r="N11" t="s">
        <v>1128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25">
      <c r="A12" t="s">
        <v>1769</v>
      </c>
      <c r="B12" t="s">
        <v>1047</v>
      </c>
      <c r="C12" t="s">
        <v>1046</v>
      </c>
      <c r="D12" t="s">
        <v>1050</v>
      </c>
      <c r="E12" t="s">
        <v>1049</v>
      </c>
      <c r="F12" t="s">
        <v>1048</v>
      </c>
      <c r="G12" t="s">
        <v>1051</v>
      </c>
      <c r="H12" t="s">
        <v>1045</v>
      </c>
      <c r="I12" t="s">
        <v>1045</v>
      </c>
      <c r="J12" t="s">
        <v>1052</v>
      </c>
      <c r="K12" t="s">
        <v>1053</v>
      </c>
      <c r="L12" t="s">
        <v>921</v>
      </c>
      <c r="M12" t="s">
        <v>1774</v>
      </c>
      <c r="N12" t="s">
        <v>1775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25">
      <c r="A13" t="s">
        <v>1778</v>
      </c>
      <c r="B13" t="s">
        <v>1045</v>
      </c>
      <c r="C13" t="s">
        <v>1773</v>
      </c>
      <c r="D13" t="s">
        <v>1779</v>
      </c>
      <c r="E13" t="s">
        <v>1780</v>
      </c>
      <c r="F13" t="s">
        <v>1772</v>
      </c>
      <c r="G13" t="s">
        <v>1772</v>
      </c>
      <c r="H13" t="s">
        <v>1770</v>
      </c>
      <c r="I13" t="s">
        <v>1781</v>
      </c>
      <c r="J13" t="s">
        <v>1061</v>
      </c>
      <c r="K13" t="s">
        <v>1060</v>
      </c>
      <c r="L13" t="s">
        <v>918</v>
      </c>
      <c r="M13" t="s">
        <v>1105</v>
      </c>
      <c r="N13" t="s">
        <v>1124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25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25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25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25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25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25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25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25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25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25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25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25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25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25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25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25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25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25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25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25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25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25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25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25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25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25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25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25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25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25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25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25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25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workbookViewId="0">
      <selection activeCell="C10" sqref="C10"/>
    </sheetView>
  </sheetViews>
  <sheetFormatPr defaultRowHeight="15" x14ac:dyDescent="0.25"/>
  <cols>
    <col min="1" max="1" width="42" customWidth="1"/>
    <col min="2" max="2" width="15.42578125" customWidth="1"/>
  </cols>
  <sheetData>
    <row r="1" spans="1:5" x14ac:dyDescent="0.25">
      <c r="A1" t="s">
        <v>92</v>
      </c>
      <c r="B1" t="s">
        <v>1749</v>
      </c>
      <c r="C1" t="s">
        <v>771</v>
      </c>
      <c r="D1" t="s">
        <v>1750</v>
      </c>
      <c r="E1" s="12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25">
      <c r="A2" t="s">
        <v>1754</v>
      </c>
      <c r="B2" t="s">
        <v>1751</v>
      </c>
      <c r="C2" t="s">
        <v>1752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25">
      <c r="A3" t="s">
        <v>1755</v>
      </c>
      <c r="B3" t="s">
        <v>686</v>
      </c>
      <c r="C3" t="s">
        <v>1765</v>
      </c>
      <c r="D3" t="str">
        <f t="shared" ref="D3:D26" si="0">IF(ISBLANK(B3),"",""""&amp;B3&amp;""":"&amp;C3&amp;IF(ISBLANK(B4),"}",","))</f>
        <v>"theme":"theme-light",</v>
      </c>
    </row>
    <row r="4" spans="1:5" x14ac:dyDescent="0.25">
      <c r="A4" t="s">
        <v>1756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25">
      <c r="A5" t="s">
        <v>1757</v>
      </c>
      <c r="B5" t="s">
        <v>740</v>
      </c>
      <c r="C5" s="1" t="s">
        <v>1753</v>
      </c>
      <c r="D5" t="str">
        <f t="shared" si="0"/>
        <v>"gLinesMajor":true,</v>
      </c>
    </row>
    <row r="6" spans="1:5" x14ac:dyDescent="0.25">
      <c r="A6" t="s">
        <v>1758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25">
      <c r="A7" t="s">
        <v>1759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25">
      <c r="A8" t="s">
        <v>1760</v>
      </c>
      <c r="B8" t="s">
        <v>752</v>
      </c>
      <c r="C8">
        <v>6</v>
      </c>
      <c r="D8" t="str">
        <f t="shared" si="0"/>
        <v>"gridSize":6,</v>
      </c>
    </row>
    <row r="9" spans="1:5" x14ac:dyDescent="0.25">
      <c r="A9" t="s">
        <v>1761</v>
      </c>
      <c r="B9" t="s">
        <v>759</v>
      </c>
      <c r="C9" s="1" t="s">
        <v>1753</v>
      </c>
      <c r="D9" t="str">
        <f t="shared" si="0"/>
        <v>"guidesEnabled":true,</v>
      </c>
    </row>
    <row r="10" spans="1:5" x14ac:dyDescent="0.25">
      <c r="A10" t="s">
        <v>1762</v>
      </c>
      <c r="B10" t="s">
        <v>857</v>
      </c>
      <c r="C10" s="1" t="s">
        <v>1753</v>
      </c>
      <c r="D10" t="str">
        <f t="shared" si="0"/>
        <v>"showLabels":true,</v>
      </c>
    </row>
    <row r="11" spans="1:5" x14ac:dyDescent="0.25">
      <c r="A11" t="s">
        <v>1763</v>
      </c>
      <c r="B11" t="s">
        <v>972</v>
      </c>
      <c r="C11" s="1" t="s">
        <v>39</v>
      </c>
      <c r="D11" t="str">
        <f t="shared" si="0"/>
        <v>"showExeOrder":false,</v>
      </c>
    </row>
    <row r="12" spans="1:5" x14ac:dyDescent="0.25">
      <c r="A12" t="s">
        <v>1030</v>
      </c>
      <c r="B12" t="s">
        <v>1029</v>
      </c>
      <c r="C12" s="1" t="s">
        <v>1753</v>
      </c>
      <c r="D12" t="str">
        <f t="shared" si="0"/>
        <v>"snapToGrid":true,</v>
      </c>
    </row>
    <row r="13" spans="1:5" x14ac:dyDescent="0.25">
      <c r="A13" t="s">
        <v>1764</v>
      </c>
      <c r="B13" t="s">
        <v>1768</v>
      </c>
      <c r="C13" s="1" t="s">
        <v>39</v>
      </c>
      <c r="D13" t="str">
        <f t="shared" si="0"/>
        <v>"etyCap":false}</v>
      </c>
    </row>
    <row r="14" spans="1:5" x14ac:dyDescent="0.25">
      <c r="D14" t="str">
        <f t="shared" si="0"/>
        <v/>
      </c>
    </row>
    <row r="15" spans="1:5" x14ac:dyDescent="0.25">
      <c r="D15" t="str">
        <f t="shared" si="0"/>
        <v/>
      </c>
    </row>
    <row r="16" spans="1:5" x14ac:dyDescent="0.25">
      <c r="D16" t="str">
        <f t="shared" si="0"/>
        <v/>
      </c>
    </row>
    <row r="17" spans="4:4" x14ac:dyDescent="0.25">
      <c r="D17" t="str">
        <f t="shared" si="0"/>
        <v/>
      </c>
    </row>
    <row r="18" spans="4:4" x14ac:dyDescent="0.25">
      <c r="D18" t="str">
        <f t="shared" si="0"/>
        <v/>
      </c>
    </row>
    <row r="19" spans="4:4" x14ac:dyDescent="0.25">
      <c r="D19" t="str">
        <f t="shared" si="0"/>
        <v/>
      </c>
    </row>
    <row r="20" spans="4:4" x14ac:dyDescent="0.25">
      <c r="D20" t="str">
        <f t="shared" si="0"/>
        <v/>
      </c>
    </row>
    <row r="21" spans="4:4" x14ac:dyDescent="0.25">
      <c r="D21" t="str">
        <f t="shared" si="0"/>
        <v/>
      </c>
    </row>
    <row r="22" spans="4:4" x14ac:dyDescent="0.25">
      <c r="D22" t="str">
        <f t="shared" si="0"/>
        <v/>
      </c>
    </row>
    <row r="23" spans="4:4" x14ac:dyDescent="0.25">
      <c r="D23" t="str">
        <f t="shared" si="0"/>
        <v/>
      </c>
    </row>
    <row r="24" spans="4:4" x14ac:dyDescent="0.25">
      <c r="D24" t="str">
        <f t="shared" si="0"/>
        <v/>
      </c>
    </row>
    <row r="25" spans="4:4" x14ac:dyDescent="0.25">
      <c r="D25" t="str">
        <f t="shared" si="0"/>
        <v/>
      </c>
    </row>
    <row r="26" spans="4:4" x14ac:dyDescent="0.25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int-prev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Suresh Kumar Gadi</cp:lastModifiedBy>
  <dcterms:created xsi:type="dcterms:W3CDTF">2019-07-11T03:45:52Z</dcterms:created>
  <dcterms:modified xsi:type="dcterms:W3CDTF">2023-11-03T13:52:35Z</dcterms:modified>
</cp:coreProperties>
</file>