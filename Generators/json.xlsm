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343934F2-8BD0-4CC7-A807-CD96C3A72294}" xr6:coauthVersionLast="44" xr6:coauthVersionMax="44" xr10:uidLastSave="{00000000-0000-0000-0000-000000000000}"/>
  <bookViews>
    <workbookView xWindow="-108" yWindow="-108" windowWidth="23256" windowHeight="12576" firstSheet="8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46" i="10" l="1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I40" i="11" l="1"/>
  <c r="J40" i="11"/>
  <c r="K40" i="11"/>
  <c r="I41" i="11"/>
  <c r="J41" i="11"/>
  <c r="K41" i="11"/>
  <c r="I42" i="11"/>
  <c r="J42" i="11"/>
  <c r="K42" i="11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I18" i="11" l="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I39" i="13"/>
  <c r="I40" i="13"/>
  <c r="I41" i="13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3" i="11"/>
  <c r="I44" i="11"/>
  <c r="I45" i="11"/>
  <c r="I46" i="11"/>
  <c r="I47" i="11"/>
  <c r="I48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<sst xmlns="http://schemas.openxmlformats.org/spreadsheetml/2006/main" count="1604" uniqueCount="863">
  <si>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</si>
  <si>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</si>
  <si>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</si>
  <si>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</si>
  <si>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</si>
  <si>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</si>
  <si>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</si>
  <si>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</si>
  <si>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</si>
  <si>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</si>
  <si>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</si>
  <si>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</si>
  <si>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</si>
  <si>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</si>
  <si>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</si>
  <si>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</si>
  <si>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</si>
  <si>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</si>
  <si>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</si>
  <si>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</si>
  <si>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</si>
  <si>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</si>
  <si>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</si>
  <si>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</si>
  <si>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</si>
  <si>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</si>
  <si>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</si>
  <si>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</si>
  <si>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</si>
  <si>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</si>
  <si>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</si>
  <si>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</si>
  <si>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</si>
  <si>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</si>
  <si>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</si>
  <si>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</si>
  <si>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</si>
  <si>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</si>
  <si>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</si>
  <si>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</si>
  <si>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</si>
  <si>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</si>
  <si>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</si>
  <si>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</si>
  <si>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</si>
  <si>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</si>
  <si>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</si>
  <si>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</si>
  <si>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</si>
  <si>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</si>
  <si>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</si>
  <si>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</si>
  <si>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</si>
  <si>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</si>
  <si>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</si>
  <si>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</si>
  <si>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</si>
  <si>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</si>
  <si>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</si>
  <si>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</si>
  <si>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</si>
  <si>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</si>
  <si>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</si>
  <si>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</si>
  <si>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</si>
  <si>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</si>
  <si>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</si>
  <si>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</si>
  <si>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</si>
  <si>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</si>
  <si>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</si>
  <si>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</si>
  <si>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</si>
  <si>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</si>
  <si>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</si>
  <si>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</si>
  <si>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</si>
  <si>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</si>
  <si>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</si>
  <si>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</si>
  <si>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</si>
  <si>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</si>
  <si>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</si>
  <si>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</si>
  <si>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</si>
  <si>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</si>
  <si>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</si>
  <si>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</si>
  <si>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</si>
  <si>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</si>
  <si>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</si>
  <si>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</si>
  <si>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</si>
  <si>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</si>
  <si>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</si>
  <si>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</si>
  <si>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</si>
  <si>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</si>
  <si>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</si>
  <si>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</si>
  <si>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</si>
  <si>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</si>
  <si>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</si>
  <si>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</si>
  <si>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</si>
  <si>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</si>
  <si>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</si>
  <si>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</si>
  <si>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</si>
  <si>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</si>
  <si>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</si>
  <si>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</si>
  <si>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</si>
  <si>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</si>
  <si>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</si>
  <si>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</si>
  <si>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</si>
  <si>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</si>
  <si>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</si>
  <si>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</si>
  <si>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</si>
  <si>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</si>
  <si>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</si>
  <si>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</si>
  <si>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</si>
  <si>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</si>
  <si>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</si>
  <si>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</si>
  <si>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</si>
  <si>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</si>
  <si>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</si>
  <si>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</si>
  <si>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</si>
  <si>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</si>
  <si>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</si>
  <si>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</si>
  <si>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</si>
  <si>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</si>
  <si>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</si>
  <si>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</si>
  <si>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</si>
  <si>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</si>
  <si>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</si>
  <si>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</si>
  <si>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</si>
  <si>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</si>
  <si>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</si>
  <si>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</si>
  <si>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</si>
  <si>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</si>
  <si>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</si>
  <si>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</si>
  <si>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</si>
  <si>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</si>
  <si>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</si>
  <si>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</si>
  <si>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</si>
  <si>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</si>
  <si>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</si>
  <si>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</si>
  <si>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</si>
  <si>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</si>
  <si>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</si>
  <si>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</si>
  <si>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</si>
  <si>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</si>
  <si>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</si>
  <si>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</si>
  <si>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</si>
  <si>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</si>
  <si>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</si>
  <si>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</si>
  <si>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</si>
  <si>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</si>
  <si>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</si>
  <si>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</si>
  <si>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</si>
  <si>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</si>
  <si>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</si>
  <si>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</si>
  <si>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</si>
  <si>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</si>
  <si>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</si>
  <si>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</si>
  <si>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</si>
  <si>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</si>
  <si>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</si>
  <si>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</si>
  <si>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</si>
  <si>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</si>
  <si>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</si>
  <si>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</si>
  <si>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</si>
  <si>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</si>
  <si>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</si>
  <si>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</si>
  <si>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</si>
  <si>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</si>
  <si>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</si>
  <si>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</si>
  <si>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</si>
  <si>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</si>
  <si>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</si>
  <si>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</si>
  <si>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</si>
  <si>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</si>
  <si>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</si>
  <si>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</si>
  <si>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</si>
  <si>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</si>
  <si>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</si>
  <si>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</si>
  <si>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</si>
  <si>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</si>
  <si>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</si>
  <si>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</si>
  <si>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</si>
  <si>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</si>
  <si>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</si>
  <si>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</si>
  <si>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</si>
  <si>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</si>
  <si>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</si>
  <si>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</si>
  <si>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</si>
  <si>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</si>
  <si>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</si>
  <si>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</si>
  <si>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</si>
  <si>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</si>
  <si>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</si>
  <si>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</si>
  <si>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</si>
  <si>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</si>
  <si>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</si>
  <si>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</si>
  <si>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</si>
  <si>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</si>
  <si>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</si>
  <si>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</si>
  <si>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</si>
  <si>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</si>
  <si>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</si>
  <si>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</si>
  <si>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</si>
  <si>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</si>
  <si>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</si>
  <si>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</si>
  <si>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</si>
  <si>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</si>
  <si>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</si>
  <si>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</si>
  <si>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</si>
  <si>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</si>
  <si>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</si>
  <si>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</si>
  <si>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</si>
  <si>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</si>
  <si>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</si>
  <si>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</si>
  <si>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</si>
  <si>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</si>
  <si>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</si>
  <si>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</si>
  <si>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</si>
  <si>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</si>
  <si>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</si>
  <si>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</si>
  <si>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</si>
  <si>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</si>
  <si>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</si>
  <si>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</si>
  <si>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</si>
  <si>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</si>
  <si>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</si>
  <si>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</si>
  <si>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</si>
  <si>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</si>
  <si>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</si>
  <si>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</si>
  <si>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</si>
  <si>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</si>
  <si>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</si>
  <si>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</si>
  <si>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</si>
  <si>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</si>
  <si>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</si>
  <si>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</si>
  <si>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</si>
  <si>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</si>
  <si>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</si>
  <si>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</si>
  <si>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</si>
  <si>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</si>
  <si>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</si>
  <si>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</si>
  <si>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</si>
  <si>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</si>
  <si>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</si>
  <si>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</si>
  <si>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</si>
  <si>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</si>
  <si>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</si>
  <si>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</si>
  <si>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</si>
  <si>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</si>
  <si>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</si>
  <si>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</si>
  <si>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</si>
  <si>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</si>
  <si>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</si>
  <si>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</si>
  <si>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</si>
  <si>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</si>
  <si>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</si>
  <si>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</si>
  <si>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</si>
  <si>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</si>
  <si>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</si>
  <si>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</si>
  <si>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</si>
  <si>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</si>
  <si>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</si>
  <si>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</si>
  <si>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</si>
  <si>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</si>
  <si>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</si>
  <si>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</si>
  <si>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</si>
  <si>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</si>
  <si>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</si>
  <si>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</si>
  <si>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</si>
  <si>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</si>
  <si>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</si>
  <si>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</si>
  <si>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</si>
  <si>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</si>
  <si>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</si>
  <si>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</si>
  <si>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</si>
  <si>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</si>
  <si>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</si>
  <si>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</si>
  <si>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</si>
  <si>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</si>
  <si>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</si>
  <si>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</si>
  <si>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</si>
  <si>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</si>
  <si>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</si>
  <si>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</si>
  <si>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</si>
  <si>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</si>
  <si>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</si>
  <si>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</si>
  <si>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</si>
  <si>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</si>
  <si>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</si>
  <si>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</si>
  <si>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</si>
  <si>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</si>
  <si>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</si>
  <si>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</si>
  <si>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</si>
  <si>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</si>
  <si>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</si>
  <si>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</si>
  <si>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</si>
  <si>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</si>
  <si>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</si>
  <si>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</si>
  <si>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</si>
  <si>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</si>
  <si>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</si>
  <si>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</si>
  <si>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</si>
  <si>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</si>
  <si>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</si>
  <si>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</si>
  <si>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</si>
  <si>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</si>
  <si>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</si>
  <si>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</si>
  <si>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</si>
  <si>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</si>
  <si>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</si>
  <si>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</si>
  <si>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</si>
  <si>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</si>
  <si>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</si>
  <si>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</si>
  <si>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</si>
  <si>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</si>
  <si>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</si>
  <si>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</si>
  <si>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</si>
  <si>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</si>
  <si>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</si>
  <si>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</si>
  <si>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</si>
  <si>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</si>
  <si>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</si>
  <si>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</si>
  <si>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</si>
  <si>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</si>
  <si>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</si>
  <si>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</si>
  <si>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</si>
  <si>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</si>
  <si>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</si>
  <si>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</si>
  <si>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</si>
  <si>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</si>
  <si>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</si>
  <si>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</si>
  <si>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</si>
  <si>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</si>
  <si>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</si>
  <si>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</si>
  <si>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</si>
  <si>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</si>
  <si>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</si>
  <si>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</si>
  <si>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</si>
  <si>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</si>
  <si>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</si>
  <si>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</si>
  <si>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</si>
  <si>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</si>
  <si>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</si>
  <si>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</si>
  <si>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</si>
  <si>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</si>
  <si>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</si>
  <si>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</si>
  <si>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</si>
  <si>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</si>
  <si>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</si>
  <si>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</si>
  <si>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</si>
  <si>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</si>
  <si>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</si>
  <si>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</si>
  <si>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</si>
  <si>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</si>
  <si>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</si>
  <si>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</si>
  <si>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</si>
  <si>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</si>
  <si>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</si>
  <si>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</si>
  <si>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</si>
  <si>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</si>
  <si>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</si>
  <si>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</si>
  <si>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</si>
  <si>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</si>
  <si>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</si>
  <si>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</si>
  <si>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</si>
  <si>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</si>
  <si>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</si>
  <si>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</si>
  <si>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</si>
  <si>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</si>
  <si>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</si>
  <si>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</si>
  <si>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</si>
  <si>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</si>
  <si>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</si>
  <si>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</si>
  <si>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</si>
  <si>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</si>
  <si>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</si>
  <si>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</si>
  <si>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</si>
  <si>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</si>
  <si>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</si>
  <si>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</si>
  <si>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</si>
  <si>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</si>
  <si>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</si>
  <si>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</si>
  <si>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</si>
  <si>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</si>
  <si>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</si>
  <si>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</si>
  <si>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</si>
  <si>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</si>
  <si>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</si>
  <si>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</si>
  <si>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</si>
  <si>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</si>
  <si>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</si>
  <si>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</si>
  <si>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</si>
  <si>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</si>
  <si>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</si>
  <si>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</si>
  <si>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</si>
  <si>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</si>
  <si>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</si>
  <si>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</si>
  <si>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</si>
  <si>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</si>
  <si>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</si>
  <si>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</si>
  <si>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</si>
  <si>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</si>
  <si>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</si>
  <si>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</si>
  <si>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</si>
  <si>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</si>
  <si>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</si>
  <si>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</si>
  <si>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</si>
  <si>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</si>
  <si>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</si>
  <si>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</si>
  <si>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</si>
  <si>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</si>
  <si>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</si>
  <si>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</si>
  <si>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</si>
  <si>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</si>
  <si>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</si>
  <si>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</si>
  <si>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</si>
  <si>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</si>
  <si>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</si>
  <si>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</si>
  <si>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</si>
  <si>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</si>
  <si>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</si>
  <si>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</si>
  <si>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</si>
  <si>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</si>
  <si>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</si>
  <si>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</si>
  <si>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</si>
  <si>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</si>
  <si>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</si>
  <si>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</si>
  <si>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</si>
  <si>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</si>
  <si>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</si>
  <si>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</si>
  <si>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</si>
  <si>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</si>
  <si>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</si>
  <si>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</si>
  <si>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</si>
  <si>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</si>
  <si>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</si>
  <si>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</si>
  <si>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</si>
  <si>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</si>
  <si>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</si>
  <si>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</si>
  <si>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</si>
  <si>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</si>
  <si>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</si>
  <si>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</si>
  <si>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</si>
  <si>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</si>
  <si>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</si>
  <si>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</si>
  <si>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</si>
  <si>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</si>
  <si>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</si>
  <si>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</si>
  <si>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</si>
  <si>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</si>
  <si>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</si>
  <si>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</si>
  <si>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</si>
  <si>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</si>
  <si>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</si>
  <si>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</si>
  <si>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</si>
  <si>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</si>
  <si>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</si>
  <si>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</si>
  <si>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</si>
  <si>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</si>
  <si>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</si>
  <si>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</si>
  <si>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</si>
  <si>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</si>
  <si>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</si>
  <si>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</si>
  <si>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</si>
  <si>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</si>
  <si>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</si>
  <si>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</si>
  <si>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</si>
  <si>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</si>
  <si>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</si>
  <si>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</si>
  <si>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</si>
  <si>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</si>
  <si>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</si>
  <si>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</si>
  <si>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</si>
  <si>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</si>
  <si>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</si>
  <si>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</si>
  <si>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</si>
  <si>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</si>
  <si>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</si>
  <si>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</si>
  <si>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</si>
  <si>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</si>
  <si>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</si>
  <si>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</si>
  <si>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</si>
  <si>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</si>
  <si>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</si>
  <si>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</si>
  <si>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</si>
  <si>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</si>
  <si>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</si>
  <si>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</si>
  <si>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</si>
  <si>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</si>
  <si>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</si>
  <si>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</si>
  <si>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</si>
  <si>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</si>
  <si>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</si>
  <si>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</si>
  <si>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</si>
  <si>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</si>
  <si>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</si>
  <si>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</si>
  <si>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</si>
  <si>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</si>
  <si>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</si>
  <si>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</si>
  <si>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</si>
  <si>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</si>
  <si>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</si>
  <si>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</si>
  <si>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</si>
  <si>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</si>
  <si>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</si>
  <si>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</si>
  <si>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</si>
  <si>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</si>
  <si>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</si>
  <si>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</si>
  <si>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</si>
  <si>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</si>
  <si>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</si>
  <si>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</si>
  <si>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</si>
  <si>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</si>
  <si>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</si>
  <si>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</si>
  <si>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</si>
  <si>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</si>
  <si>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</si>
  <si>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</si>
  <si>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</si>
  <si>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</si>
  <si>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</si>
  <si>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</si>
  <si>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</si>
  <si>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</si>
  <si>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</si>
  <si>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</si>
  <si>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</si>
  <si>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</si>
  <si>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</si>
  <si>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</si>
  <si>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</si>
  <si>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</si>
  <si>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</si>
  <si>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</si>
  <si>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</si>
  <si>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</si>
  <si>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</si>
  <si>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</si>
  <si>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</si>
  <si>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</si>
  <si>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</si>
  <si>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</si>
  <si>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</si>
  <si>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</si>
  <si>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</si>
  <si>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</si>
  <si>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</si>
  <si>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</si>
  <si>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</si>
  <si>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</si>
  <si>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</si>
  <si>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</si>
  <si>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</si>
  <si>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</si>
  <si>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</si>
  <si>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</si>
  <si>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</si>
  <si>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</si>
  <si>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</si>
  <si>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</si>
  <si>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</si>
  <si>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</si>
  <si>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</si>
  <si>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</si>
  <si>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</si>
  <si>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</si>
  <si>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</si>
  <si>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</si>
  <si>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</si>
  <si>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</si>
  <si>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</si>
  <si>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</si>
  <si>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</si>
  <si>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</si>
  <si>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</si>
  <si>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</si>
  <si>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</si>
  <si>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</si>
  <si>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</si>
  <si>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</si>
  <si>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</si>
  <si>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</si>
  <si>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</si>
  <si>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</si>
  <si>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</si>
  <si>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</si>
  <si>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</si>
  <si>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</si>
  <si>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</si>
  <si>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</si>
  <si>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</si>
  <si>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</si>
  <si>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</si>
  <si>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</si>
  <si>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</si>
  <si>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</si>
  <si>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</si>
  <si>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</si>
  <si>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</si>
  <si>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</si>
  <si>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</si>
  <si>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</si>
  <si>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</si>
  <si>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</si>
  <si>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</si>
  <si>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</si>
  <si>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</si>
  <si>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</si>
  <si>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</si>
  <si>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</si>
  <si>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</si>
  <si>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</si>
  <si>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</si>
  <si>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</si>
  <si>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</si>
  <si>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</si>
  <si>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</si>
  <si>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</si>
  <si>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</si>
  <si>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</si>
  <si>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</si>
  <si>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</si>
  <si>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</si>
  <si>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</si>
  <si>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</si>
  <si>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</si>
  <si>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</si>
  <si>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</si>
  <si>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</si>
  <si>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</si>
  <si>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</si>
  <si>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</si>
  <si>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</si>
  <si>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</si>
  <si>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</si>
  <si>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</si>
  <si>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</si>
  <si>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</si>
  <si>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</si>
  <si>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</si>
  <si>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</si>
  <si>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</si>
  <si>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</si>
  <si>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</si>
  <si>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</si>
  <si>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</si>
  <si>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matrices."}}},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</si>
  <si>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</si>
  <si>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</si>
  <si>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</si>
  <si>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</si>
  <si>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</si>
  <si>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</si>
  <si>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</si>
  <si>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</si>
  <si>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</si>
  <si>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</si>
  <si>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</si>
  <si>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</si>
  <si>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</si>
  <si>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</si>
  <si>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</si>
  <si>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</si>
  <si>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</si>
  <si>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</si>
  <si>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</si>
  <si>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</si>
  <si>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</si>
  <si>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</si>
  <si>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</si>
  <si>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</si>
  <si>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</si>
  <si>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</si>
  <si>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</si>
  <si>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</si>
  <si>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</si>
  <si>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</si>
  <si>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</si>
  <si>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</si>
  <si>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vm</t>
  </si>
  <si>
    <t>fab fa-vine</t>
  </si>
  <si>
    <t>Variable manager</t>
  </si>
  <si>
    <t>varManagerVue.showGUI()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</si>
  <si>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suavemente"},"prtBelow":false,"func":"alert()"},{"icon":"fab fa-vine","kbShort":{"ctrl":true,"alt":true,"shift":true,"key":"a","keycode":"65","langCode":"key_a"},"text":{"en-us":"Variable manager","es-mx":"Cambiar tema de color"},"moreInfo":{"en-us":"Changes the theme from dark mode to light mode vice versa","es-mx":"Cambia el tema del modo oscuro al modo claro, viceversa."},"prtBelow":false,"func":"varManagerVue.showGUI()"}]},{"icon":"fas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</si>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</sst>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61"/>
  <sheetViews>
    <sheetView tabSelected="1" topLeftCell="A107" workbookViewId="0">
      <selection activeCell="A134" sqref="A134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terminal","cPolicyText":"We use cookies to improve the performance.","cPolicyLink":"Cookie policy","accept":"Accept"},"es-mx":{"hide":"Esconder","hide_left_desc":"Hides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terminal","cPolicyText":"Utilizamos cookies para mejorar el rendimiento.","cPolicyLink":"Política de cookies","accept":"Aceptar"}};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775</v>
      </c>
      <c r="B3" t="s">
        <v>777</v>
      </c>
      <c r="C3" t="s">
        <v>777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776</v>
      </c>
      <c r="B4" t="s">
        <v>778</v>
      </c>
      <c r="C4" t="s">
        <v>778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30" si="2">IF(ISBLANK($A67),"",""""&amp;$A67&amp;""":"""&amp;B67&amp;""""&amp;IF(ISBLANK(A68),"}",","))</f>
        <v>"key_num_2":"Num 2",</v>
      </c>
      <c r="L67" t="str">
        <f t="shared" ref="L67:L130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739</v>
      </c>
      <c r="B105" t="s">
        <v>740</v>
      </c>
      <c r="C105" t="s">
        <v>741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743</v>
      </c>
      <c r="B106" t="s">
        <v>742</v>
      </c>
      <c r="C106" t="s">
        <v>750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756</v>
      </c>
      <c r="B107" t="s">
        <v>744</v>
      </c>
      <c r="C107" t="s">
        <v>751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755</v>
      </c>
      <c r="B108" t="s">
        <v>745</v>
      </c>
      <c r="C108" t="s">
        <v>752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746</v>
      </c>
      <c r="B109" t="s">
        <v>747</v>
      </c>
      <c r="C109" t="s">
        <v>753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748</v>
      </c>
      <c r="C110" t="s">
        <v>754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749</v>
      </c>
      <c r="C111" t="s">
        <v>749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779</v>
      </c>
      <c r="B112" t="s">
        <v>780</v>
      </c>
      <c r="C112" t="s">
        <v>781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793</v>
      </c>
      <c r="B113" t="s">
        <v>794</v>
      </c>
      <c r="C113" t="s">
        <v>795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796</v>
      </c>
      <c r="B114" t="s">
        <v>797</v>
      </c>
      <c r="C114" t="s">
        <v>798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799</v>
      </c>
      <c r="B115" t="s">
        <v>809</v>
      </c>
      <c r="C115" t="s">
        <v>806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800</v>
      </c>
      <c r="B116" t="s">
        <v>805</v>
      </c>
      <c r="C116" t="s">
        <v>807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801</v>
      </c>
      <c r="B117" t="s">
        <v>803</v>
      </c>
      <c r="C117" t="s">
        <v>808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802</v>
      </c>
      <c r="B118" t="s">
        <v>804</v>
      </c>
      <c r="C118" t="s">
        <v>804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810</v>
      </c>
      <c r="B119" t="s">
        <v>811</v>
      </c>
      <c r="C119" t="s">
        <v>812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813</v>
      </c>
      <c r="B120" t="s">
        <v>815</v>
      </c>
      <c r="C120" t="s">
        <v>821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814</v>
      </c>
      <c r="B121" t="s">
        <v>816</v>
      </c>
      <c r="C121" t="s">
        <v>822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820</v>
      </c>
      <c r="B122" t="s">
        <v>817</v>
      </c>
      <c r="C122" t="s">
        <v>823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818</v>
      </c>
      <c r="B123" t="s">
        <v>819</v>
      </c>
      <c r="C123" t="s">
        <v>824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830</v>
      </c>
      <c r="B124" t="s">
        <v>827</v>
      </c>
      <c r="C124" t="s">
        <v>835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849</v>
      </c>
      <c r="B125" t="s">
        <v>851</v>
      </c>
      <c r="C125" t="s">
        <v>853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850</v>
      </c>
      <c r="B126" t="s">
        <v>852</v>
      </c>
      <c r="C126" t="s">
        <v>852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831</v>
      </c>
      <c r="B127" t="s">
        <v>833</v>
      </c>
      <c r="C127" t="s">
        <v>833</v>
      </c>
      <c r="K127" t="str">
        <f t="shared" ref="K127:K145" si="4">IF(ISBLANK($A127),"",""""&amp;$A127&amp;""":"""&amp;B127&amp;""""&amp;IF(ISBLANK(A128),"}",","))</f>
        <v>"var":"Variable",</v>
      </c>
      <c r="L127" t="str">
        <f t="shared" ref="L127:L145" si="5">IF(ISBLANK($A127),"",""""&amp;$A127&amp;""":"""&amp;C127&amp;""""&amp;IF(ISBLANK(B128),"}",","))</f>
        <v>"var":"Variable",</v>
      </c>
    </row>
    <row r="128" spans="1:12" x14ac:dyDescent="0.3">
      <c r="A128" t="s">
        <v>832</v>
      </c>
      <c r="B128" t="s">
        <v>834</v>
      </c>
      <c r="C128" t="s">
        <v>836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837</v>
      </c>
      <c r="B129" t="s">
        <v>841</v>
      </c>
      <c r="C129" t="s">
        <v>845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839</v>
      </c>
      <c r="B130" t="s">
        <v>842</v>
      </c>
      <c r="C130" t="s">
        <v>846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838</v>
      </c>
      <c r="B131" t="s">
        <v>843</v>
      </c>
      <c r="C131" t="s">
        <v>847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840</v>
      </c>
      <c r="B132" t="s">
        <v>844</v>
      </c>
      <c r="C132" t="s">
        <v>848</v>
      </c>
      <c r="K132" t="str">
        <f t="shared" si="4"/>
        <v>"errOnlyOneInp":"Only one input can be connected per terminal",</v>
      </c>
      <c r="L132" t="str">
        <f t="shared" si="5"/>
        <v>"errOnlyOneInp":"Solo se puede conectar una entrada por terminal",</v>
      </c>
    </row>
    <row r="133" spans="1:12" x14ac:dyDescent="0.3">
      <c r="A133" t="s">
        <v>855</v>
      </c>
      <c r="B133" t="s">
        <v>859</v>
      </c>
      <c r="C133" t="s">
        <v>860</v>
      </c>
      <c r="K133" t="str">
        <f t="shared" si="4"/>
        <v>"cPolicyText":"We use cookies to improve the performance.",</v>
      </c>
      <c r="L133" t="str">
        <f t="shared" si="5"/>
        <v>"cPolicyText":"Utilizamos cookies para mejorar el rendimiento.",</v>
      </c>
    </row>
    <row r="134" spans="1:12" x14ac:dyDescent="0.3">
      <c r="A134" t="s">
        <v>857</v>
      </c>
      <c r="B134" t="s">
        <v>856</v>
      </c>
      <c r="C134" t="s">
        <v>861</v>
      </c>
      <c r="K134" t="str">
        <f t="shared" si="4"/>
        <v>"cPolicyLink":"Cookie policy",</v>
      </c>
      <c r="L134" t="str">
        <f t="shared" si="5"/>
        <v>"cPolicyLink":"Política de cookies",</v>
      </c>
    </row>
    <row r="135" spans="1:12" x14ac:dyDescent="0.3">
      <c r="A135" t="s">
        <v>854</v>
      </c>
      <c r="B135" t="s">
        <v>858</v>
      </c>
      <c r="C135" t="s">
        <v>862</v>
      </c>
      <c r="K135" t="str">
        <f t="shared" si="4"/>
        <v>"accept":"Accept"}</v>
      </c>
      <c r="L135" t="str">
        <f t="shared" si="5"/>
        <v>"accept":"Aceptar"}</v>
      </c>
    </row>
    <row r="136" spans="1:12" x14ac:dyDescent="0.3">
      <c r="K136" t="str">
        <f t="shared" si="4"/>
        <v/>
      </c>
      <c r="L136" t="str">
        <f t="shared" si="5"/>
        <v/>
      </c>
    </row>
    <row r="137" spans="1:12" x14ac:dyDescent="0.3">
      <c r="K137" t="str">
        <f t="shared" si="4"/>
        <v/>
      </c>
      <c r="L137" t="str">
        <f t="shared" si="5"/>
        <v/>
      </c>
    </row>
    <row r="138" spans="1:12" x14ac:dyDescent="0.3">
      <c r="K138" t="str">
        <f t="shared" si="4"/>
        <v/>
      </c>
      <c r="L138" t="str">
        <f t="shared" si="5"/>
        <v/>
      </c>
    </row>
    <row r="139" spans="1:12" x14ac:dyDescent="0.3">
      <c r="K139" t="str">
        <f t="shared" si="4"/>
        <v/>
      </c>
      <c r="L139" t="str">
        <f t="shared" si="5"/>
        <v/>
      </c>
    </row>
    <row r="140" spans="1:12" x14ac:dyDescent="0.3">
      <c r="K140" t="str">
        <f t="shared" si="4"/>
        <v/>
      </c>
      <c r="L140" t="str">
        <f t="shared" si="5"/>
        <v/>
      </c>
    </row>
    <row r="141" spans="1:12" x14ac:dyDescent="0.3">
      <c r="K141" t="str">
        <f t="shared" si="4"/>
        <v/>
      </c>
      <c r="L141" t="str">
        <f t="shared" si="5"/>
        <v/>
      </c>
    </row>
    <row r="142" spans="1:12" x14ac:dyDescent="0.3">
      <c r="K142" t="str">
        <f t="shared" si="4"/>
        <v/>
      </c>
      <c r="L142" t="str">
        <f t="shared" si="5"/>
        <v/>
      </c>
    </row>
    <row r="143" spans="1:12" x14ac:dyDescent="0.3">
      <c r="K143" t="str">
        <f t="shared" si="4"/>
        <v/>
      </c>
      <c r="L143" t="str">
        <f t="shared" si="5"/>
        <v/>
      </c>
    </row>
    <row r="144" spans="1:12" x14ac:dyDescent="0.3">
      <c r="K144" t="str">
        <f t="shared" si="4"/>
        <v/>
      </c>
      <c r="L144" t="str">
        <f t="shared" si="5"/>
        <v/>
      </c>
    </row>
    <row r="145" spans="11:12" x14ac:dyDescent="0.3">
      <c r="K145" t="str">
        <f t="shared" si="4"/>
        <v/>
      </c>
      <c r="L145" t="str">
        <f t="shared" si="5"/>
        <v/>
      </c>
    </row>
    <row r="146" spans="11:12" x14ac:dyDescent="0.3">
      <c r="K146" t="str">
        <f t="shared" ref="K146:K161" si="6">IF(ISBLANK($A146),"",""""&amp;$A146&amp;""":"""&amp;B146&amp;""""&amp;IF(ISBLANK(A147),"}",","))</f>
        <v/>
      </c>
      <c r="L146" t="str">
        <f t="shared" ref="L146:L161" si="7">IF(ISBLANK($A146),"",""""&amp;$A146&amp;""":"""&amp;C146&amp;""""&amp;IF(ISBLANK(B147),"}",","))</f>
        <v/>
      </c>
    </row>
    <row r="147" spans="11:12" x14ac:dyDescent="0.3">
      <c r="K147" t="str">
        <f t="shared" si="6"/>
        <v/>
      </c>
      <c r="L147" t="str">
        <f t="shared" si="7"/>
        <v/>
      </c>
    </row>
    <row r="148" spans="11:12" x14ac:dyDescent="0.3">
      <c r="K148" t="str">
        <f t="shared" si="6"/>
        <v/>
      </c>
      <c r="L148" t="str">
        <f t="shared" si="7"/>
        <v/>
      </c>
    </row>
    <row r="149" spans="11:12" x14ac:dyDescent="0.3">
      <c r="K149" t="str">
        <f t="shared" si="6"/>
        <v/>
      </c>
      <c r="L149" t="str">
        <f t="shared" si="7"/>
        <v/>
      </c>
    </row>
    <row r="150" spans="11:12" x14ac:dyDescent="0.3">
      <c r="K150" t="str">
        <f t="shared" si="6"/>
        <v/>
      </c>
      <c r="L150" t="str">
        <f t="shared" si="7"/>
        <v/>
      </c>
    </row>
    <row r="151" spans="11:12" x14ac:dyDescent="0.3">
      <c r="K151" t="str">
        <f t="shared" si="6"/>
        <v/>
      </c>
      <c r="L151" t="str">
        <f t="shared" si="7"/>
        <v/>
      </c>
    </row>
    <row r="152" spans="11:12" x14ac:dyDescent="0.3">
      <c r="K152" t="str">
        <f t="shared" si="6"/>
        <v/>
      </c>
      <c r="L152" t="str">
        <f t="shared" si="7"/>
        <v/>
      </c>
    </row>
    <row r="153" spans="11:12" x14ac:dyDescent="0.3">
      <c r="K153" t="str">
        <f t="shared" si="6"/>
        <v/>
      </c>
      <c r="L153" t="str">
        <f t="shared" si="7"/>
        <v/>
      </c>
    </row>
    <row r="154" spans="11:12" x14ac:dyDescent="0.3">
      <c r="K154" t="str">
        <f t="shared" si="6"/>
        <v/>
      </c>
      <c r="L154" t="str">
        <f t="shared" si="7"/>
        <v/>
      </c>
    </row>
    <row r="155" spans="11:12" x14ac:dyDescent="0.3">
      <c r="K155" t="str">
        <f t="shared" si="6"/>
        <v/>
      </c>
      <c r="L155" t="str">
        <f t="shared" si="7"/>
        <v/>
      </c>
    </row>
    <row r="156" spans="11:12" x14ac:dyDescent="0.3">
      <c r="K156" t="str">
        <f t="shared" si="6"/>
        <v/>
      </c>
      <c r="L156" t="str">
        <f t="shared" si="7"/>
        <v/>
      </c>
    </row>
    <row r="157" spans="11:12" x14ac:dyDescent="0.3">
      <c r="K157" t="str">
        <f t="shared" si="6"/>
        <v/>
      </c>
      <c r="L157" t="str">
        <f t="shared" si="7"/>
        <v/>
      </c>
    </row>
    <row r="158" spans="11:12" x14ac:dyDescent="0.3">
      <c r="K158" t="str">
        <f t="shared" si="6"/>
        <v/>
      </c>
      <c r="L158" t="str">
        <f t="shared" si="7"/>
        <v/>
      </c>
    </row>
    <row r="159" spans="11:12" x14ac:dyDescent="0.3">
      <c r="K159" t="str">
        <f t="shared" si="6"/>
        <v/>
      </c>
      <c r="L159" t="str">
        <f t="shared" si="7"/>
        <v/>
      </c>
    </row>
    <row r="160" spans="11:12" x14ac:dyDescent="0.3">
      <c r="K160" t="str">
        <f t="shared" si="6"/>
        <v/>
      </c>
      <c r="L160" t="str">
        <f t="shared" si="7"/>
        <v/>
      </c>
    </row>
    <row r="161" spans="11:12" x14ac:dyDescent="0.3">
      <c r="K161" t="str">
        <f t="shared" si="6"/>
        <v/>
      </c>
      <c r="L161" t="str">
        <f t="shared" si="7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O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0" t="s">
        <v>341</v>
      </c>
      <c r="F1" s="20"/>
      <c r="G1" s="20"/>
      <c r="H1" s="20"/>
      <c r="I1" s="20"/>
      <c r="J1" s="20"/>
      <c r="K1" s="20"/>
      <c r="M1" s="20" t="s">
        <v>329</v>
      </c>
      <c r="N1" s="20"/>
      <c r="O1" s="20" t="s">
        <v>330</v>
      </c>
      <c r="P1" s="20"/>
      <c r="T1" s="18" t="s">
        <v>829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738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773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774</v>
      </c>
      <c r="M18" t="s">
        <v>740</v>
      </c>
      <c r="N18" t="s">
        <v>771</v>
      </c>
      <c r="O18" t="s">
        <v>741</v>
      </c>
      <c r="P18" t="s">
        <v>772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732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737</v>
      </c>
      <c r="M29" t="s">
        <v>733</v>
      </c>
      <c r="N29" t="s">
        <v>734</v>
      </c>
      <c r="O29" t="s">
        <v>735</v>
      </c>
      <c r="P29" t="s">
        <v>736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825</v>
      </c>
      <c r="B40" t="b">
        <v>0</v>
      </c>
      <c r="C40" t="b">
        <v>0</v>
      </c>
      <c r="D40" t="s">
        <v>826</v>
      </c>
      <c r="E40" t="b">
        <v>1</v>
      </c>
      <c r="F40" s="6" t="b">
        <v>1</v>
      </c>
      <c r="G40" s="19" t="b">
        <v>1</v>
      </c>
      <c r="H40" s="6" t="s">
        <v>264</v>
      </c>
      <c r="I40" s="19">
        <f>IF(ISBLANK(H40), "", VLOOKUP(LOWER(H40), javascriptKeycodes!A:B, 2, FALSE))</f>
        <v>65</v>
      </c>
      <c r="J40" s="19" t="str">
        <f>IF(ISBLANK(H40), "", VLOOKUP(LOWER(H40), javascriptKeycodes!A:C, 3, FALSE))</f>
        <v>key_a</v>
      </c>
      <c r="K40" s="19" t="str">
        <f t="shared" ref="K40:K42" si="2">IF(E40,"CTRL_","")&amp;IF(F40,"ALT_","")&amp;IF(G40,"SHIFT_","")&amp;H40</f>
        <v>CTRL_ALT_SHIFT_A</v>
      </c>
      <c r="L40" t="s">
        <v>828</v>
      </c>
      <c r="M40" t="s">
        <v>827</v>
      </c>
      <c r="N40" t="s">
        <v>729</v>
      </c>
      <c r="O40" t="s">
        <v>730</v>
      </c>
      <c r="P40" t="s">
        <v>731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19">
        <f>IF(ISBLANK(H41), "", VLOOKUP(LOWER(H41), javascriptKeycodes!A:B, 2, FALSE))</f>
        <v>65</v>
      </c>
      <c r="J41" s="19" t="str">
        <f>IF(ISBLANK(H41), "", VLOOKUP(LOWER(H41), javascriptKeycodes!A:C, 3, FALSE))</f>
        <v>key_a</v>
      </c>
      <c r="K41" s="19" t="str">
        <f t="shared" si="2"/>
        <v>ALT_A</v>
      </c>
      <c r="L41" t="s">
        <v>272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19" t="str">
        <f>IF(ISBLANK(H42), "", VLOOKUP(LOWER(H42), javascriptKeycodes!A:B, 2, FALSE))</f>
        <v/>
      </c>
      <c r="J42" s="19" t="str">
        <f>IF(ISBLANK(H42), "", VLOOKUP(LOWER(H42), javascriptKeycodes!A:C, 3, FALSE))</f>
        <v/>
      </c>
      <c r="K42" s="19" t="str">
        <f t="shared" si="2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1" t="s">
        <v>329</v>
      </c>
      <c r="D1" s="21"/>
      <c r="E1" s="21" t="s">
        <v>330</v>
      </c>
      <c r="F1" s="21"/>
      <c r="M1" s="17" t="s">
        <v>791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757</v>
      </c>
      <c r="F3" s="11" t="s">
        <v>758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759</v>
      </c>
      <c r="F4" s="11" t="s">
        <v>760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761</v>
      </c>
      <c r="F5" s="11" t="s">
        <v>762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763</v>
      </c>
      <c r="F6" s="11" t="s">
        <v>764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765</v>
      </c>
      <c r="F7" s="11" t="s">
        <v>766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767</v>
      </c>
      <c r="F8" s="11" t="s">
        <v>768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769</v>
      </c>
      <c r="F9" s="11" t="s">
        <v>770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3"/>
  <sheetViews>
    <sheetView topLeftCell="B1" workbookViewId="0">
      <selection activeCell="G3" sqref="G3"/>
    </sheetView>
  </sheetViews>
  <sheetFormatPr defaultRowHeight="14.4" x14ac:dyDescent="0.3"/>
  <sheetData>
    <row r="1" spans="1:18" x14ac:dyDescent="0.3">
      <c r="I1" s="21" t="s">
        <v>329</v>
      </c>
      <c r="J1" s="21"/>
      <c r="K1" s="21" t="s">
        <v>330</v>
      </c>
      <c r="L1" s="21"/>
      <c r="R1" s="18" t="s">
        <v>792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783</v>
      </c>
      <c r="B3" t="s">
        <v>788</v>
      </c>
      <c r="C3" t="s">
        <v>299</v>
      </c>
      <c r="D3" t="s">
        <v>782</v>
      </c>
      <c r="E3">
        <v>50</v>
      </c>
      <c r="F3">
        <v>50</v>
      </c>
      <c r="G3" t="s">
        <v>785</v>
      </c>
      <c r="H3" t="s">
        <v>790</v>
      </c>
      <c r="I3" t="s">
        <v>296</v>
      </c>
      <c r="J3" t="s">
        <v>789</v>
      </c>
      <c r="K3" t="s">
        <v>786</v>
      </c>
      <c r="L3" t="s">
        <v>787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C1"/>
  <sheetViews>
    <sheetView workbookViewId="0">
      <selection activeCell="A2" sqref="A2"/>
    </sheetView>
  </sheetViews>
  <sheetFormatPr defaultRowHeight="14.4" x14ac:dyDescent="0.3"/>
  <sheetData>
    <row r="1" spans="1:3" x14ac:dyDescent="0.3">
      <c r="A1" t="s">
        <v>831</v>
      </c>
      <c r="B1" t="s">
        <v>832</v>
      </c>
      <c r="C1" t="s">
        <v>784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2020-04-04T21:58:49Z</dcterms:modified>
</cp:coreProperties>
</file>