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2E52DF15-8FCC-40E0-BC9C-B383C844F18D}" xr6:coauthVersionLast="44" xr6:coauthVersionMax="44" xr10:uidLastSave="{00000000-0000-0000-0000-000000000000}"/>
  <bookViews>
    <workbookView xWindow="-108" yWindow="-108" windowWidth="23256" windowHeight="12576" firstSheet="8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75" i="10" l="1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K174" i="10"/>
  <c r="L174" i="10"/>
  <c r="I4" i="11"/>
  <c r="J4" i="11"/>
  <c r="K4" i="11"/>
  <c r="I5" i="11"/>
  <c r="J5" i="11"/>
  <c r="K5" i="11"/>
  <c r="I6" i="11"/>
  <c r="J6" i="11"/>
  <c r="K6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6" i="11"/>
  <c r="J26" i="11"/>
  <c r="K26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52" i="11"/>
  <c r="J52" i="11"/>
  <c r="K52" i="11"/>
  <c r="I27" i="11"/>
  <c r="J27" i="11"/>
  <c r="K27" i="11"/>
  <c r="I28" i="11"/>
  <c r="J28" i="11"/>
  <c r="K28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<sst xmlns="http://schemas.openxmlformats.org/spreadsheetml/2006/main" count="2003" uniqueCount="1200">
  <si>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</si>
  <si>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</si>
  <si>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</si>
  <si>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</si>
  <si>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</si>
  <si>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</si>
  <si>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</si>
  <si>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</si>
  <si>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</si>
  <si>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</si>
  <si>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</si>
  <si>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</si>
  <si>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</si>
  <si>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</si>
  <si>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</si>
  <si>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</si>
  <si>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</si>
  <si>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</si>
  <si>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</si>
  <si>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</si>
  <si>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</si>
  <si>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</si>
  <si>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</si>
  <si>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</si>
  <si>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</si>
  <si>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</si>
  <si>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</si>
  <si>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</si>
  <si>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</si>
  <si>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</si>
  <si>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</si>
  <si>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</si>
  <si>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</si>
  <si>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</si>
  <si>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</si>
  <si>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</si>
  <si>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</si>
  <si>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</si>
  <si>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</si>
  <si>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</si>
  <si>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</si>
  <si>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</si>
  <si>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</si>
  <si>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</si>
  <si>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</si>
  <si>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</si>
  <si>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</si>
  <si>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</si>
  <si>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</si>
  <si>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</si>
  <si>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</si>
  <si>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</si>
  <si>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</si>
  <si>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</si>
  <si>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</si>
  <si>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</si>
  <si>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</si>
  <si>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</si>
  <si>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</si>
  <si>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</si>
  <si>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</si>
  <si>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</si>
  <si>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</si>
  <si>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</si>
  <si>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</si>
  <si>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</si>
  <si>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</si>
  <si>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</si>
  <si>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</si>
  <si>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</si>
  <si>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</si>
  <si>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</si>
  <si>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</si>
  <si>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</si>
  <si>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</si>
  <si>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</si>
  <si>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</si>
  <si>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</si>
  <si>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</si>
  <si>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</si>
  <si>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</si>
  <si>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</si>
  <si>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</si>
  <si>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</si>
  <si>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</si>
  <si>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</si>
  <si>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</si>
  <si>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</si>
  <si>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</si>
  <si>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</si>
  <si>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</si>
  <si>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</si>
  <si>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</si>
  <si>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</si>
  <si>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</si>
  <si>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</si>
  <si>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</si>
  <si>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</si>
  <si>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</si>
  <si>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</si>
  <si>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</si>
  <si>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</si>
  <si>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</si>
  <si>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</si>
  <si>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</si>
  <si>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</si>
  <si>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</si>
  <si>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</si>
  <si>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</si>
  <si>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</si>
  <si>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</si>
  <si>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</si>
  <si>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</si>
  <si>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</si>
  <si>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</si>
  <si>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</si>
  <si>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</si>
  <si>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</si>
  <si>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</si>
  <si>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</si>
  <si>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</si>
  <si>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</si>
  <si>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</si>
  <si>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</si>
  <si>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</si>
  <si>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</si>
  <si>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</si>
  <si>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</si>
  <si>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</si>
  <si>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</si>
  <si>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</si>
  <si>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</si>
  <si>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</si>
  <si>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</si>
  <si>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</si>
  <si>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</si>
  <si>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</si>
  <si>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</si>
  <si>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</si>
  <si>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</si>
  <si>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</si>
  <si>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</si>
  <si>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</si>
  <si>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</si>
  <si>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</si>
  <si>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</si>
  <si>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</si>
  <si>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</si>
  <si>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</si>
  <si>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</si>
  <si>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</si>
  <si>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</si>
  <si>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</si>
  <si>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</si>
  <si>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</si>
  <si>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</si>
  <si>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</si>
  <si>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</si>
  <si>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</si>
  <si>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</si>
  <si>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</si>
  <si>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</si>
  <si>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</si>
  <si>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</si>
  <si>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</si>
  <si>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</si>
  <si>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</si>
  <si>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</si>
  <si>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</si>
  <si>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</si>
  <si>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</si>
  <si>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</si>
  <si>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</si>
  <si>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</si>
  <si>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</si>
  <si>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</si>
  <si>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</si>
  <si>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</si>
  <si>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</si>
  <si>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</si>
  <si>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</si>
  <si>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</si>
  <si>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</si>
  <si>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</si>
  <si>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</si>
  <si>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</si>
  <si>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</si>
  <si>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</si>
  <si>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</si>
  <si>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</si>
  <si>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</si>
  <si>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</si>
  <si>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</si>
  <si>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</si>
  <si>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</si>
  <si>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</si>
  <si>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</si>
  <si>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</si>
  <si>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</si>
  <si>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</si>
  <si>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</si>
  <si>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</si>
  <si>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</si>
  <si>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</si>
  <si>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</si>
  <si>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</si>
  <si>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</si>
  <si>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</si>
  <si>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</si>
  <si>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</si>
  <si>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</si>
  <si>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</si>
  <si>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</si>
  <si>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</si>
  <si>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</si>
  <si>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</si>
  <si>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</si>
  <si>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</si>
  <si>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</si>
  <si>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</si>
  <si>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</si>
  <si>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</si>
  <si>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</si>
  <si>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</si>
  <si>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</si>
  <si>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</si>
  <si>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</si>
  <si>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</si>
  <si>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</si>
  <si>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</si>
  <si>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</si>
  <si>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</si>
  <si>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</si>
  <si>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</si>
  <si>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</si>
  <si>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</si>
  <si>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</si>
  <si>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</si>
  <si>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</si>
  <si>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</si>
  <si>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</si>
  <si>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</si>
  <si>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</si>
  <si>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</si>
  <si>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</si>
  <si>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</si>
  <si>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</si>
  <si>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</si>
  <si>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</si>
  <si>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</si>
  <si>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</si>
  <si>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</si>
  <si>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</si>
  <si>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</si>
  <si>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</si>
  <si>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</si>
  <si>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</si>
  <si>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</si>
  <si>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</si>
  <si>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</si>
  <si>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</si>
  <si>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</si>
  <si>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</si>
  <si>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</si>
  <si>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</si>
  <si>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</si>
  <si>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</si>
  <si>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</si>
  <si>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</si>
  <si>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</si>
  <si>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</si>
  <si>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</si>
  <si>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</si>
  <si>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</si>
  <si>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</si>
  <si>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</si>
  <si>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</si>
  <si>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</si>
  <si>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</si>
  <si>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</si>
  <si>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</si>
  <si>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</si>
  <si>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</si>
  <si>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</si>
  <si>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</si>
  <si>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</si>
  <si>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</si>
  <si>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</si>
  <si>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</si>
  <si>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</si>
  <si>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</si>
  <si>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</si>
  <si>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</si>
  <si>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</si>
  <si>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</si>
  <si>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</si>
  <si>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</si>
  <si>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</si>
  <si>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</si>
  <si>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</si>
  <si>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</si>
  <si>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</si>
  <si>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</si>
  <si>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</si>
  <si>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</si>
  <si>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</si>
  <si>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</si>
  <si>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</si>
  <si>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</si>
  <si>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</si>
  <si>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</si>
  <si>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</si>
  <si>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</si>
  <si>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</si>
  <si>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</si>
  <si>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</si>
  <si>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</si>
  <si>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</si>
  <si>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</si>
  <si>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</si>
  <si>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</si>
  <si>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</si>
  <si>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</si>
  <si>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</si>
  <si>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</si>
  <si>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</si>
  <si>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</si>
  <si>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</si>
  <si>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</si>
  <si>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</si>
  <si>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</si>
  <si>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</si>
  <si>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</si>
  <si>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</si>
  <si>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</si>
  <si>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</si>
  <si>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</si>
  <si>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</si>
  <si>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</si>
  <si>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</si>
  <si>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</si>
  <si>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</si>
  <si>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</si>
  <si>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</si>
  <si>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</si>
  <si>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</si>
  <si>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</si>
  <si>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</si>
  <si>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</si>
  <si>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</si>
  <si>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</si>
  <si>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</si>
  <si>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</si>
  <si>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</si>
  <si>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</si>
  <si>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</si>
  <si>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</si>
  <si>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</si>
  <si>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</si>
  <si>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</si>
  <si>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</si>
  <si>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</si>
  <si>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</si>
  <si>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</si>
  <si>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</si>
  <si>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</si>
  <si>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</si>
  <si>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</si>
  <si>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</si>
  <si>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</si>
  <si>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</si>
  <si>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</si>
  <si>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</si>
  <si>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</si>
  <si>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</si>
  <si>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</si>
  <si>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</si>
  <si>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</si>
  <si>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</si>
  <si>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</si>
  <si>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</si>
  <si>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</si>
  <si>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</si>
  <si>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</si>
  <si>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</si>
  <si>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</si>
  <si>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</si>
  <si>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</si>
  <si>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</si>
  <si>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</si>
  <si>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</si>
  <si>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</si>
  <si>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</si>
  <si>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</si>
  <si>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</si>
  <si>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</si>
  <si>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</si>
  <si>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</si>
  <si>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</si>
  <si>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</si>
  <si>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</si>
  <si>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</si>
  <si>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</si>
  <si>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</si>
  <si>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</si>
  <si>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</si>
  <si>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</si>
  <si>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</si>
  <si>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</si>
  <si>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</si>
  <si>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</si>
  <si>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</si>
  <si>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</si>
  <si>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</si>
  <si>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</si>
  <si>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</si>
  <si>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</si>
  <si>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</si>
  <si>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</si>
  <si>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</si>
  <si>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</si>
  <si>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</si>
  <si>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</si>
  <si>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</si>
  <si>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</si>
  <si>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</si>
  <si>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</si>
  <si>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</si>
  <si>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</si>
  <si>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</si>
  <si>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</si>
  <si>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</si>
  <si>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</si>
  <si>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</si>
  <si>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</si>
  <si>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</si>
  <si>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</si>
  <si>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</si>
  <si>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</si>
  <si>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</si>
  <si>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</si>
  <si>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</si>
  <si>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</si>
  <si>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</si>
  <si>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</si>
  <si>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</si>
  <si>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</si>
  <si>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</si>
  <si>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</si>
  <si>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</si>
  <si>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</si>
  <si>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</si>
  <si>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</si>
  <si>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</si>
  <si>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</si>
  <si>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</si>
  <si>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</si>
  <si>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</si>
  <si>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</si>
  <si>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</si>
  <si>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</si>
  <si>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</si>
  <si>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</si>
  <si>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</si>
  <si>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</si>
  <si>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</si>
  <si>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</si>
  <si>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</si>
  <si>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</si>
  <si>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</si>
  <si>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</si>
  <si>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</si>
  <si>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</si>
  <si>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</si>
  <si>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</si>
  <si>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</si>
  <si>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</si>
  <si>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</si>
  <si>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</si>
  <si>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</si>
  <si>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</si>
  <si>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</si>
  <si>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</si>
  <si>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</si>
  <si>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</si>
  <si>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</si>
  <si>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</si>
  <si>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</si>
  <si>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</si>
  <si>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</si>
  <si>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</si>
  <si>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</si>
  <si>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</si>
  <si>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</si>
  <si>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</si>
  <si>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</si>
  <si>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</si>
  <si>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</si>
  <si>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</si>
  <si>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</si>
  <si>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</si>
  <si>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</si>
  <si>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</si>
  <si>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</si>
  <si>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</si>
  <si>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</si>
  <si>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</si>
  <si>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</si>
  <si>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</si>
  <si>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</si>
  <si>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</si>
  <si>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</si>
  <si>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</si>
  <si>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</si>
  <si>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</si>
  <si>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</si>
  <si>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</si>
  <si>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</si>
  <si>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</si>
  <si>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</si>
  <si>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</si>
  <si>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</si>
  <si>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</si>
  <si>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</si>
  <si>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</si>
  <si>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</si>
  <si>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</si>
  <si>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</si>
  <si>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</si>
  <si>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</si>
  <si>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</si>
  <si>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</si>
  <si>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</si>
  <si>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</si>
  <si>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</si>
  <si>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</si>
  <si>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</si>
  <si>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</si>
  <si>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</si>
  <si>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</si>
  <si>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</si>
  <si>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</si>
  <si>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</si>
  <si>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</si>
  <si>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</si>
  <si>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</si>
  <si>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</si>
  <si>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</si>
  <si>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</si>
  <si>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</si>
  <si>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</si>
  <si>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</si>
  <si>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</si>
  <si>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</si>
  <si>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</si>
  <si>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</si>
  <si>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</si>
  <si>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</si>
  <si>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</si>
  <si>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</si>
  <si>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</si>
  <si>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</si>
  <si>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</si>
  <si>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</si>
  <si>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</si>
  <si>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</si>
  <si>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</si>
  <si>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</si>
  <si>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</si>
  <si>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</si>
  <si>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</si>
  <si>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</si>
  <si>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</si>
  <si>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</si>
  <si>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</si>
  <si>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</si>
  <si>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</si>
  <si>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</si>
  <si>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</si>
  <si>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</si>
  <si>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</si>
  <si>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</si>
  <si>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</si>
  <si>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</si>
  <si>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</si>
  <si>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</si>
  <si>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</si>
  <si>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</si>
  <si>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</si>
  <si>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</si>
  <si>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</si>
  <si>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</si>
  <si>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</si>
  <si>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</si>
  <si>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</si>
  <si>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</si>
  <si>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</si>
  <si>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</si>
  <si>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</si>
  <si>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</si>
  <si>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</si>
  <si>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</si>
  <si>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</si>
  <si>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</si>
  <si>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</si>
  <si>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</si>
  <si>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</si>
  <si>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</si>
  <si>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</si>
  <si>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</si>
  <si>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</si>
  <si>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</si>
  <si>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</si>
  <si>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</si>
  <si>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</si>
  <si>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</si>
  <si>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</si>
  <si>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</si>
  <si>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</si>
  <si>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</si>
  <si>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</si>
  <si>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</si>
  <si>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</si>
  <si>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</si>
  <si>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</si>
  <si>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</si>
  <si>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</si>
  <si>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</si>
  <si>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</si>
  <si>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</si>
  <si>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</si>
  <si>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</si>
  <si>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</si>
  <si>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</si>
  <si>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</si>
  <si>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</si>
  <si>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</si>
  <si>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</si>
  <si>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</si>
  <si>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</si>
  <si>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</si>
  <si>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</si>
  <si>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</si>
  <si>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</si>
  <si>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</si>
  <si>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</si>
  <si>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</si>
  <si>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</si>
  <si>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</si>
  <si>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</si>
  <si>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</si>
  <si>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</si>
  <si>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</si>
  <si>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</si>
  <si>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</si>
  <si>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</si>
  <si>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</si>
  <si>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</si>
  <si>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</si>
  <si>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</si>
  <si>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</si>
  <si>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</si>
  <si>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</si>
  <si>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</si>
  <si>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</si>
  <si>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</si>
  <si>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</si>
  <si>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</si>
  <si>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</si>
  <si>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</si>
  <si>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</si>
  <si>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</si>
  <si>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</si>
  <si>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</si>
  <si>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</si>
  <si>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</si>
  <si>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</si>
  <si>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</si>
  <si>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</si>
  <si>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</si>
  <si>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</si>
  <si>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</si>
  <si>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</si>
  <si>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</si>
  <si>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</si>
  <si>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</si>
  <si>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</si>
  <si>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</si>
  <si>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</si>
  <si>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</si>
  <si>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</si>
  <si>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</si>
  <si>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</si>
  <si>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</si>
  <si>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</si>
  <si>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</si>
  <si>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</si>
  <si>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</si>
  <si>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</si>
  <si>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</si>
  <si>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</si>
  <si>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</si>
  <si>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</si>
  <si>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</si>
  <si>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</si>
  <si>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</si>
  <si>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</si>
  <si>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</si>
  <si>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</si>
  <si>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</si>
  <si>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</si>
  <si>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</si>
  <si>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</si>
  <si>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</si>
  <si>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</si>
  <si>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</si>
  <si>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</si>
  <si>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</si>
  <si>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</si>
  <si>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</si>
  <si>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</si>
  <si>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</si>
  <si>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</si>
  <si>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</si>
  <si>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</si>
  <si>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</si>
  <si>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</si>
  <si>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</si>
  <si>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</si>
  <si>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</si>
  <si>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</si>
  <si>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</si>
  <si>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</si>
  <si>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</si>
  <si>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</si>
  <si>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</si>
  <si>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</si>
  <si>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</si>
  <si>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</si>
  <si>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</si>
  <si>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</si>
  <si>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</si>
  <si>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</si>
  <si>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</si>
  <si>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</si>
  <si>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</si>
  <si>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</si>
  <si>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</si>
  <si>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</si>
  <si>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</si>
  <si>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</si>
  <si>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</si>
  <si>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</si>
  <si>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</si>
  <si>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</si>
  <si>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</si>
  <si>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</si>
  <si>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</si>
  <si>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</si>
  <si>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</si>
  <si>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</si>
  <si>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</si>
  <si>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</si>
  <si>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</si>
  <si>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</si>
  <si>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</si>
  <si>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</si>
  <si>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</si>
  <si>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</si>
  <si>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</si>
  <si>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</si>
  <si>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</si>
  <si>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</si>
  <si>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</si>
  <si>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</si>
  <si>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</si>
  <si>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</si>
  <si>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</si>
  <si>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</si>
  <si>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</si>
  <si>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</si>
  <si>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</si>
  <si>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</si>
  <si>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</si>
  <si>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</si>
  <si>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</si>
  <si>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</si>
  <si>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</si>
  <si>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</si>
  <si>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</si>
  <si>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</si>
  <si>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</si>
  <si>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</si>
  <si>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</si>
  <si>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</si>
  <si>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</si>
  <si>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</si>
  <si>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</si>
  <si>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</si>
  <si>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</si>
  <si>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</si>
  <si>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</si>
  <si>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</si>
  <si>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</si>
  <si>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</si>
  <si>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</si>
  <si>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</si>
  <si>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</si>
  <si>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</si>
  <si>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</si>
  <si>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</si>
  <si>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</si>
  <si>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</si>
  <si>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</si>
  <si>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</si>
  <si>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</si>
  <si>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</si>
  <si>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</si>
  <si>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</si>
  <si>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</si>
  <si>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</si>
  <si>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</si>
  <si>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</si>
  <si>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</si>
  <si>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</si>
  <si>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</si>
  <si>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</si>
  <si>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</si>
  <si>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</si>
  <si>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</si>
  <si>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</si>
  <si>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</si>
  <si>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</si>
  <si>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</si>
  <si>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</si>
  <si>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</si>
  <si>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</si>
  <si>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</si>
  <si>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</si>
  <si>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</si>
  <si>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</si>
  <si>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</si>
  <si>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</si>
  <si>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</si>
  <si>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</si>
  <si>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</si>
  <si>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</si>
  <si>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</si>
  <si>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</si>
  <si>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</si>
  <si>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</si>
  <si>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</si>
  <si>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</si>
  <si>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</si>
  <si>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</si>
  <si>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</si>
  <si>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</si>
  <si>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</si>
  <si>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</si>
  <si>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</si>
  <si>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</si>
  <si>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</si>
  <si>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</si>
  <si>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</si>
  <si>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</si>
  <si>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</si>
  <si>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</si>
  <si>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</si>
  <si>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</si>
  <si>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</si>
  <si>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</si>
  <si>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</si>
  <si>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</si>
  <si>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</si>
  <si>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</si>
  <si>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</si>
  <si>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</si>
  <si>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</si>
  <si>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</si>
  <si>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</si>
  <si>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</si>
  <si>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</si>
  <si>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</si>
  <si>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</si>
  <si>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</si>
  <si>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</si>
  <si>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</si>
  <si>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</si>
  <si>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</si>
  <si>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</si>
  <si>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</si>
  <si>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</si>
  <si>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</si>
  <si>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</si>
  <si>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</si>
  <si>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</si>
  <si>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</si>
  <si>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</si>
  <si>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</si>
  <si>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</si>
  <si>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</si>
  <si>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</si>
  <si>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</si>
  <si>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</si>
  <si>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</si>
  <si>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</si>
  <si>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</si>
  <si>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</si>
  <si>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</si>
  <si>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</si>
  <si>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</si>
  <si>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</si>
  <si>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</si>
  <si>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</si>
  <si>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</si>
  <si>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</si>
  <si>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</si>
  <si>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</si>
  <si>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</si>
  <si>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</si>
  <si>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</si>
  <si>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</si>
  <si>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</si>
  <si>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</si>
  <si>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</si>
  <si>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</si>
  <si>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</si>
  <si>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</si>
  <si>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</si>
  <si>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</si>
  <si>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</si>
  <si>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</si>
  <si>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</si>
  <si>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</si>
  <si>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</si>
  <si>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</si>
  <si>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</si>
  <si>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</si>
  <si>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</si>
  <si>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</si>
  <si>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</si>
  <si>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fas fa-file-import</t>
  </si>
  <si>
    <t>uyamakFileManager.openLocal(true)</t>
  </si>
  <si>
    <t>Imports model from a your local device to the existing model</t>
  </si>
  <si>
    <t>Import model</t>
  </si>
  <si>
    <t xml:space="preserve">Importe el modelo </t>
  </si>
  <si>
    <t>Importa el modelo de un dispositivo local al modelo existente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</si>
  <si>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</si>
  <si>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</si>
  <si>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</si>
  <si>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</si>
  <si>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</si>
  <si>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</si>
  <si>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</si>
  <si>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</si>
  <si>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</si>
  <si>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</si>
  <si>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</si>
  <si>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</si>
  <si>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</si>
  <si>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</si>
  <si>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</si>
  <si>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</si>
  <si>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</si>
  <si>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</si>
  <si>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</si>
  <si>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</si>
  <si>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</si>
  <si>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</si>
  <si>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</si>
  <si>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</si>
  <si>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</si>
  <si>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</si>
  <si>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</si>
  <si>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</si>
  <si>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</si>
  <si>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</si>
  <si>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</si>
  <si>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</si>
  <si>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</si>
  <si>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</si>
  <si>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</si>
  <si>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</si>
  <si>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</si>
  <si>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</si>
  <si>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</si>
  <si>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</si>
  <si>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</si>
  <si>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</si>
  <si>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</si>
  <si>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</si>
  <si>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</si>
  <si>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</si>
  <si>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</si>
  <si>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</si>
  <si>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</si>
  <si>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</si>
  <si>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</si>
  <si>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</si>
  <si>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</si>
  <si>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</si>
  <si>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</si>
  <si>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</si>
  <si>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</si>
  <si>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</si>
  <si>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</si>
  <si>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</si>
  <si>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</si>
  <si>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</si>
  <si>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</si>
  <si>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</si>
  <si>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</si>
  <si>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</si>
  <si>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</si>
  <si>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</si>
  <si>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</si>
  <si>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</si>
  <si>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</si>
  <si>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</si>
  <si>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</si>
  <si>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</si>
  <si>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</si>
  <si>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</si>
  <si>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</si>
  <si>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</si>
  <si>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</si>
  <si>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</si>
  <si>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</si>
  <si>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</si>
  <si>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</si>
  <si>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</si>
  <si>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</si>
  <si>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</si>
  <si>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</si>
  <si>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</si>
  <si>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</si>
  <si>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</si>
  <si>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</si>
  <si>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</si>
  <si>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</si>
  <si>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</si>
  <si>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</si>
  <si>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</si>
  <si>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</si>
  <si>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</si>
  <si>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</si>
  <si>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</si>
  <si>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</si>
  <si>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</si>
  <si>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</si>
  <si>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</si>
  <si>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</si>
  <si>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</si>
  <si>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</si>
  <si>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</si>
  <si>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</si>
  <si>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</si>
  <si>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</si>
  <si>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</si>
  <si>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</si>
  <si>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</si>
  <si>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</si>
  <si>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</si>
  <si>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</si>
  <si>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</si>
  <si>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</si>
  <si>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</si>
  <si>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</si>
  <si>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</si>
  <si>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</si>
  <si>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</si>
  <si>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</si>
  <si>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</si>
  <si>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</si>
  <si>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</si>
  <si>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</si>
  <si>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</si>
  <si>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</si>
  <si>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</si>
  <si>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</si>
  <si>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</si>
  <si>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</si>
  <si>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</si>
  <si>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</si>
  <si>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</si>
  <si>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</si>
  <si>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</si>
  <si>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</si>
  <si>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</si>
  <si>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</si>
  <si>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</si>
  <si>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</si>
  <si>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&lt;path d='M 20 50 q 15 -70 30 00 q 15 70 30 0'/&gt;&lt;text x='90' y='20' dominant-baseline='middle' stroke-width='2' text-anchor='middle' font-size='2em'&gt;f&lt;/text&gt;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</si>
  <si>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</si>
  <si>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</si>
  <si>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</si>
  <si>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</si>
  <si>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</si>
  <si>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</si>
  <si>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</si>
  <si>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</si>
  <si>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</si>
  <si>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</si>
  <si>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</si>
  <si>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</si>
  <si>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</si>
  <si>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</si>
  <si>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</si>
  <si>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</si>
  <si>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</si>
  <si>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</si>
  <si>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</si>
  <si>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</si>
  <si>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</si>
  <si>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</si>
  <si>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</si>
  <si>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</si>
  <si>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</si>
  <si>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</si>
  <si>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</si>
  <si>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</si>
  <si>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</si>
  <si>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</si>
  <si>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</si>
  <si>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</si>
  <si>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</si>
  <si>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</si>
  <si>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</si>
  <si>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</si>
  <si>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</si>
  <si>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</si>
  <si>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</si>
  <si>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</si>
  <si>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</si>
  <si>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</si>
  <si>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</si>
  <si>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</si>
  <si>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</si>
  <si>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</si>
  <si>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</si>
  <si>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</si>
  <si>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</si>
  <si>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</si>
  <si>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</si>
  <si>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</si>
  <si>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</si>
  <si>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</si>
  <si>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</si>
  <si>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</si>
  <si>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</si>
  <si>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</si>
  <si>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</si>
  <si>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</si>
  <si>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</si>
  <si>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</si>
  <si>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</si>
  <si>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</si>
  <si>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</si>
  <si>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</si>
  <si>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</si>
  <si>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</si>
  <si>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</si>
  <si>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</si>
  <si>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</si>
  <si>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</si>
  <si>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</si>
  <si>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</si>
  <si>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</si>
  <si>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</si>
  <si>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</si>
  <si>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</si>
  <si>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</si>
  <si>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</si>
  <si>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</si>
  <si>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</si>
  <si>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</si>
  <si>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</si>
  <si>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</si>
  <si>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</si>
  <si>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&lt;text x='50' y='35' dominant-baseline='middle' text-anchor='middle' font-size='2em'&gt;1&lt;/text&gt;&lt;line x1='30' y1='52' x2= '70' y2='52'/&gt;&lt;text x='50' y='73' dominant-baseline='middle' text-anchor='middle' font-size='3em'&gt;s&lt;/text&gt;</t>
  </si>
  <si>
    <t>&lt;text x='23' y='57' dominant-baseline='middle' text-anchor='middle' font-size='3em'&gt;a&lt;/text&gt;&lt;text x='63' y='50' dominant-baseline='middle' text-anchor='middle' font-size='5em'&gt;x&lt;/text&gt;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</si>
  <si>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</si>
  <si>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</si>
  <si>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</si>
  <si>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</si>
  <si>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</si>
  <si>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</si>
  <si>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</si>
  <si>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</si>
  <si>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</si>
  <si>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</si>
  <si>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</si>
  <si>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</si>
  <si>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</si>
  <si>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</si>
  <si>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</si>
  <si>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</si>
  <si>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</si>
  <si>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local"},"prtBelow":false,"func":"uyamakFileManager.openLocal()"},{"icon":"fas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fa-file-import","kbShort":{"ctrl":true,"alt":false,"shift":false,"key":"i","keycode":"73","langCode":"key_i"},"text":{"en-us":"Import model","es-mx":"Importe el modelo "},"moreInfo":{"en-us":"Imports model from a your local device to the existing model","es-mx":"Importa el modelo de un dispositivo local al modelo existente"},"prtBelow":true,"func":"uyamakFileManager.openLocal(true)"},{"icon":"fas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</si>
  <si>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gráfico"}},"umk_1588580715574":{"icon":"&lt;path d='M 20 50 q 15 -70 30 00 q 15 70 30 0'/&gt;&lt;text x='90' y='20' dominant-baseline='middle' stroke-width='2' text-anchor='middle' font-size='2em'&gt;f&lt;/text&gt;","bg":"#1595C8","fg":"#ffffff","width":50,"height":50,"keywords":"sine wave trigonometry trigonometría onda sinusoidal","category":["sources"],"name":{"en-us":"Sine","es-mx":"Seno"},"desc":{"en-us":"Generates a sine wave","es-mx":"Genera una onda sinusoidal"}},"umk_1588715754701":{"icon":"&lt;text x='23' y='57' dominant-baseline='middle' text-anchor='middle' font-size='3em'&gt;a&lt;/text&gt;&lt;text x='63' y='50' dominant-baseline='middle' text-anchor='middle' font-size='5em'&gt;x&lt;/text&gt;","bg":"#1595C8","fg":"#ffffff","width":50,"height":50,"keywords":"gain ganancia","category":["basics"],"name":{"en-us":"Gain","es-mx":"Ganancia"},"desc":{"en-us":"Multiplies the input by a given constant.","es-mx":"Multiplica la entrada por una constante dada."}},"umk_1588716024472":{"icon":"&lt;text x='50' y='35' dominant-baseline='middle' text-anchor='middle' font-size='2em'&gt;1&lt;/text&gt;&lt;line x1='30' y1='52' x2= '70' y2='52'/&gt;&lt;text x='50' y='73' dominant-baseline='middle' text-anchor='middle' font-size='3em'&gt;s&lt;/text&gt;","bg":"#1595C8","fg":"#ffffff","width":50,"height":50,"keywords":"","category":["continuous"],"name":{"en-us":"Integral","es-mx":"Integral"},"desc":{"en-us":"Integrates the input with respect to the simulation time.","es-mx":"Integra la entrada con respecto al tiempo de simulación."}},"umk_1588716918922":{"icon":"&lt;rect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y2='50'/&gt;","bg":"","fg":"#ffffff","width":30,"height":50,"keywords":"","category":["basics"],"name":{"en-us":"Join rows","es-mx":"Unir filas"},"desc":{"en-us":"Concatenate the rows of two matrices to become larger matrix","es-mx":"Concatenar las filas de dos matrices para convertirse en una matriz más grande"}},"umk_1588723460913":{"icon":"&lt;rect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y2='60'/&gt;","bg":"","fg":"#ffffff","width":50,"height":50,"keywords":"","category":["basics"],"name":{"en-us":"Join columns","es-mx":"Unir columnas"},"desc":{"en-us":"Concatenate the columns of two matrices to become larger matrix","es-mx":"Concatenar las columnas de dos matrices para convertirse en una matriz más grande"}}},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</si>
</sst>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6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91"/>
  <sheetViews>
    <sheetView topLeftCell="A155" zoomScaleNormal="100" workbookViewId="0">
      <selection activeCell="A183" sqref="A183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848</v>
      </c>
      <c r="B133" t="s">
        <v>849</v>
      </c>
      <c r="C133" t="s">
        <v>850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851</v>
      </c>
      <c r="B140" t="s">
        <v>98</v>
      </c>
      <c r="C140" t="s">
        <v>852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855</v>
      </c>
      <c r="B141" t="s">
        <v>853</v>
      </c>
      <c r="C141" t="s">
        <v>857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854</v>
      </c>
      <c r="B142" t="s">
        <v>856</v>
      </c>
      <c r="C142" t="s">
        <v>858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859</v>
      </c>
      <c r="B143" t="s">
        <v>860</v>
      </c>
      <c r="C143" t="s">
        <v>861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862</v>
      </c>
      <c r="B144" t="s">
        <v>94</v>
      </c>
      <c r="C144" t="s">
        <v>871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863</v>
      </c>
      <c r="B145" t="s">
        <v>864</v>
      </c>
      <c r="C145" t="s">
        <v>872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865</v>
      </c>
      <c r="B146" t="s">
        <v>867</v>
      </c>
      <c r="C146" t="s">
        <v>873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866</v>
      </c>
      <c r="B147" t="s">
        <v>870</v>
      </c>
      <c r="C147" t="s">
        <v>874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868</v>
      </c>
      <c r="B148" t="s">
        <v>869</v>
      </c>
      <c r="C148" t="s">
        <v>875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877</v>
      </c>
      <c r="B149" t="s">
        <v>876</v>
      </c>
      <c r="C149" t="s">
        <v>878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879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880</v>
      </c>
      <c r="B151" t="s">
        <v>881</v>
      </c>
      <c r="C151" t="s">
        <v>884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882</v>
      </c>
      <c r="B152" t="s">
        <v>883</v>
      </c>
      <c r="C152" t="s">
        <v>885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914</v>
      </c>
      <c r="B153" t="s">
        <v>918</v>
      </c>
      <c r="C153" t="s">
        <v>919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915</v>
      </c>
      <c r="B154" t="s">
        <v>916</v>
      </c>
      <c r="C154" t="s">
        <v>917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964</v>
      </c>
      <c r="B155" t="s">
        <v>976</v>
      </c>
      <c r="C155" t="s">
        <v>978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965</v>
      </c>
      <c r="B156" t="s">
        <v>967</v>
      </c>
      <c r="C156" t="s">
        <v>984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966</v>
      </c>
      <c r="B157" t="s">
        <v>977</v>
      </c>
      <c r="C157" t="s">
        <v>979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968</v>
      </c>
      <c r="B158" t="s">
        <v>972</v>
      </c>
      <c r="C158" t="s">
        <v>980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969</v>
      </c>
      <c r="B159" t="s">
        <v>973</v>
      </c>
      <c r="C159" t="s">
        <v>981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970</v>
      </c>
      <c r="B160" t="s">
        <v>974</v>
      </c>
      <c r="C160" t="s">
        <v>982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971</v>
      </c>
      <c r="B161" t="s">
        <v>975</v>
      </c>
      <c r="C161" t="s">
        <v>983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994</v>
      </c>
      <c r="B162" t="s">
        <v>995</v>
      </c>
      <c r="C162" t="s">
        <v>996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998</v>
      </c>
      <c r="B163" t="s">
        <v>999</v>
      </c>
      <c r="C163" t="s">
        <v>1000</v>
      </c>
      <c r="K163" t="str">
        <f t="shared" ref="K163:K174" si="8">IF(ISBLANK($A163),"",""""&amp;$A163&amp;""":"""&amp;B163&amp;""""&amp;IF(ISBLANK(A164),"}",","))</f>
        <v>"errorGen":"Error: Unable to perform this action",</v>
      </c>
      <c r="L163" t="str">
        <f t="shared" ref="L163:L174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1009</v>
      </c>
      <c r="B164" t="s">
        <v>1014</v>
      </c>
      <c r="C164" t="s">
        <v>1015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1010</v>
      </c>
      <c r="B165" t="s">
        <v>1011</v>
      </c>
      <c r="C165" t="s">
        <v>1012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1016</v>
      </c>
      <c r="B166" t="s">
        <v>1019</v>
      </c>
      <c r="C166" t="s">
        <v>1022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1017</v>
      </c>
      <c r="B167" t="s">
        <v>1020</v>
      </c>
      <c r="C167" t="s">
        <v>1023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1018</v>
      </c>
      <c r="B168" t="s">
        <v>1021</v>
      </c>
      <c r="C168" t="s">
        <v>1024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1035</v>
      </c>
      <c r="B169" t="s">
        <v>1030</v>
      </c>
      <c r="C169" t="s">
        <v>1026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1036</v>
      </c>
      <c r="B170" t="s">
        <v>1025</v>
      </c>
      <c r="C170" t="s">
        <v>1027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1037</v>
      </c>
      <c r="B171" t="s">
        <v>1028</v>
      </c>
      <c r="C171" t="s">
        <v>1029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1038</v>
      </c>
      <c r="B172" t="s">
        <v>1031</v>
      </c>
      <c r="C172" t="s">
        <v>1032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1039</v>
      </c>
      <c r="B173" t="s">
        <v>1033</v>
      </c>
      <c r="C173" t="s">
        <v>1034</v>
      </c>
      <c r="K173" t="str">
        <f t="shared" si="8"/>
        <v>"k173":"Some parameters are incorrect. Please edit blocks with warning symbol.",</v>
      </c>
      <c r="L173" t="str">
        <f t="shared" si="9"/>
        <v>"k173":"Algunos parámetros son incorrectos. Edite los bloques con el símbolo de advertencia.",</v>
      </c>
    </row>
    <row r="174" spans="1:12" x14ac:dyDescent="0.3">
      <c r="A174" t="s">
        <v>1040</v>
      </c>
      <c r="B174" t="s">
        <v>1041</v>
      </c>
      <c r="C174" t="s">
        <v>1042</v>
      </c>
      <c r="K174" t="str">
        <f t="shared" si="8"/>
        <v>"simErr":"Simulation error",</v>
      </c>
      <c r="L174" t="str">
        <f t="shared" si="9"/>
        <v>"simErr":"Error de simulación",</v>
      </c>
    </row>
    <row r="175" spans="1:12" x14ac:dyDescent="0.3">
      <c r="A175" t="s">
        <v>1043</v>
      </c>
      <c r="B175" t="s">
        <v>1044</v>
      </c>
      <c r="C175" t="s">
        <v>1045</v>
      </c>
      <c r="K175" t="str">
        <f t="shared" ref="K175:K191" si="10">IF(ISBLANK($A175),"",""""&amp;$A175&amp;""":"""&amp;B175&amp;""""&amp;IF(ISBLANK(A176),"}",","))</f>
        <v>"chartLang":"en",</v>
      </c>
      <c r="L175" t="str">
        <f t="shared" ref="L175:L191" si="11">IF(ISBLANK($A175),"",""""&amp;$A175&amp;""":"""&amp;C175&amp;""""&amp;IF(ISBLANK(B176),"}",","))</f>
        <v>"chartLang":"es",</v>
      </c>
    </row>
    <row r="176" spans="1:12" x14ac:dyDescent="0.3">
      <c r="A176" t="s">
        <v>1048</v>
      </c>
      <c r="B176" t="s">
        <v>1046</v>
      </c>
      <c r="C176" t="s">
        <v>1047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1049</v>
      </c>
      <c r="B177" t="s">
        <v>1050</v>
      </c>
      <c r="C177" t="s">
        <v>1051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1052</v>
      </c>
      <c r="B178" t="s">
        <v>1065</v>
      </c>
      <c r="C178" t="s">
        <v>1066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1053</v>
      </c>
      <c r="B179" t="s">
        <v>1054</v>
      </c>
      <c r="C179" t="s">
        <v>1055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1056</v>
      </c>
      <c r="B180" t="s">
        <v>1057</v>
      </c>
      <c r="C180" t="s">
        <v>1058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1059</v>
      </c>
      <c r="B181" t="s">
        <v>1061</v>
      </c>
      <c r="C181" t="s">
        <v>1063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1060</v>
      </c>
      <c r="B182" t="s">
        <v>1062</v>
      </c>
      <c r="C182" t="s">
        <v>1064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1067</v>
      </c>
      <c r="B183" t="s">
        <v>1068</v>
      </c>
      <c r="C183" t="s">
        <v>1069</v>
      </c>
      <c r="K183" t="str">
        <f t="shared" si="10"/>
        <v>"snapToGrid":"Snap to grid"}</v>
      </c>
      <c r="L183" t="str">
        <f t="shared" si="11"/>
        <v>"snapToGrid":"Encajar a la cuadricula"}</v>
      </c>
    </row>
    <row r="184" spans="1:12" x14ac:dyDescent="0.3">
      <c r="K184" t="str">
        <f t="shared" si="10"/>
        <v/>
      </c>
      <c r="L184" t="str">
        <f t="shared" si="11"/>
        <v/>
      </c>
    </row>
    <row r="185" spans="1:12" x14ac:dyDescent="0.3">
      <c r="K185" t="str">
        <f t="shared" si="10"/>
        <v/>
      </c>
      <c r="L185" t="str">
        <f t="shared" si="11"/>
        <v/>
      </c>
    </row>
    <row r="186" spans="1:12" x14ac:dyDescent="0.3">
      <c r="K186" t="str">
        <f t="shared" si="10"/>
        <v/>
      </c>
      <c r="L186" t="str">
        <f t="shared" si="11"/>
        <v/>
      </c>
    </row>
    <row r="187" spans="1:12" x14ac:dyDescent="0.3">
      <c r="K187" t="str">
        <f t="shared" si="10"/>
        <v/>
      </c>
      <c r="L187" t="str">
        <f t="shared" si="11"/>
        <v/>
      </c>
    </row>
    <row r="188" spans="1:12" x14ac:dyDescent="0.3">
      <c r="K188" t="str">
        <f t="shared" si="10"/>
        <v/>
      </c>
      <c r="L188" t="str">
        <f t="shared" si="11"/>
        <v/>
      </c>
    </row>
    <row r="189" spans="1:12" x14ac:dyDescent="0.3">
      <c r="K189" t="str">
        <f t="shared" si="10"/>
        <v/>
      </c>
      <c r="L189" t="str">
        <f t="shared" si="11"/>
        <v/>
      </c>
    </row>
    <row r="190" spans="1:12" x14ac:dyDescent="0.3">
      <c r="K190" t="str">
        <f t="shared" si="10"/>
        <v/>
      </c>
      <c r="L190" t="str">
        <f t="shared" si="11"/>
        <v/>
      </c>
    </row>
    <row r="191" spans="1:12" x14ac:dyDescent="0.3">
      <c r="K191" t="str">
        <f t="shared" si="10"/>
        <v/>
      </c>
      <c r="L191" t="str">
        <f t="shared" si="11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4"/>
  <sheetViews>
    <sheetView topLeftCell="O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4" t="s">
        <v>341</v>
      </c>
      <c r="F1" s="24"/>
      <c r="G1" s="24"/>
      <c r="H1" s="24"/>
      <c r="I1" s="24"/>
      <c r="J1" s="24"/>
      <c r="K1" s="24"/>
      <c r="M1" s="24" t="s">
        <v>329</v>
      </c>
      <c r="N1" s="24"/>
      <c r="O1" s="24" t="s">
        <v>330</v>
      </c>
      <c r="P1" s="24"/>
      <c r="T1" s="18" t="s">
        <v>1198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989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6" si="0">IF(E4,"CTRL_","")&amp;IF(F4,"ALT_","")&amp;IF(G4,"SHIFT_","")&amp;H4</f>
        <v/>
      </c>
      <c r="L4" t="s">
        <v>997</v>
      </c>
      <c r="M4" t="s">
        <v>990</v>
      </c>
      <c r="N4" t="s">
        <v>991</v>
      </c>
      <c r="O4" t="s">
        <v>992</v>
      </c>
      <c r="P4" t="s">
        <v>993</v>
      </c>
    </row>
    <row r="5" spans="1:20" x14ac:dyDescent="0.3">
      <c r="A5">
        <v>2</v>
      </c>
      <c r="B5" t="b">
        <v>0</v>
      </c>
      <c r="C5" t="b">
        <v>1</v>
      </c>
      <c r="D5" t="s">
        <v>151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0</v>
      </c>
      <c r="D6" t="s">
        <v>153</v>
      </c>
      <c r="E6" t="b">
        <v>1</v>
      </c>
      <c r="F6" s="6"/>
      <c r="G6" s="6"/>
      <c r="H6" s="6" t="s">
        <v>242</v>
      </c>
      <c r="I6" s="22">
        <f>IF(ISBLANK(H6), "", VLOOKUP(LOWER(H6), javascriptKeycodes!A:B, 2, FALSE))</f>
        <v>79</v>
      </c>
      <c r="J6" s="22" t="str">
        <f>IF(ISBLANK(H6), "", VLOOKUP(LOWER(H6), javascriptKeycodes!A:C, 3, FALSE))</f>
        <v>key_o</v>
      </c>
      <c r="K6" s="22" t="str">
        <f t="shared" si="0"/>
        <v>CTRL_O</v>
      </c>
      <c r="L6" t="s">
        <v>921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0</v>
      </c>
      <c r="D7" t="s">
        <v>152</v>
      </c>
      <c r="E7" t="b">
        <v>1</v>
      </c>
      <c r="F7" s="6"/>
      <c r="G7" s="6"/>
      <c r="H7" s="6" t="s">
        <v>243</v>
      </c>
      <c r="I7" s="22">
        <f>IF(ISBLANK(H7), "", VLOOKUP(LOWER(H7), javascriptKeycodes!A:B, 2, FALSE))</f>
        <v>83</v>
      </c>
      <c r="J7" s="22" t="str">
        <f>IF(ISBLANK(H7), "", VLOOKUP(LOWER(H7), javascriptKeycodes!A:C, 3, FALSE))</f>
        <v>key_s</v>
      </c>
      <c r="K7" s="22" t="str">
        <f t="shared" si="0"/>
        <v>CTRL_S</v>
      </c>
      <c r="L7" t="s">
        <v>920</v>
      </c>
      <c r="M7" t="s">
        <v>137</v>
      </c>
      <c r="N7" t="s">
        <v>197</v>
      </c>
      <c r="O7" t="s">
        <v>440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941</v>
      </c>
      <c r="E8" t="b">
        <v>1</v>
      </c>
      <c r="F8" s="21"/>
      <c r="G8" s="21"/>
      <c r="H8" s="21" t="s">
        <v>620</v>
      </c>
      <c r="I8" s="22">
        <f>IF(ISBLANK(H8), "", VLOOKUP(LOWER(H8), javascriptKeycodes!A:B, 2, FALSE))</f>
        <v>73</v>
      </c>
      <c r="J8" s="22" t="str">
        <f>IF(ISBLANK(H8), "", VLOOKUP(LOWER(H8), javascriptKeycodes!A:C, 3, FALSE))</f>
        <v>key_i</v>
      </c>
      <c r="K8" s="22" t="str">
        <f t="shared" si="0"/>
        <v>CTRL_I</v>
      </c>
      <c r="L8" t="s">
        <v>942</v>
      </c>
      <c r="M8" t="s">
        <v>944</v>
      </c>
      <c r="N8" t="s">
        <v>943</v>
      </c>
      <c r="O8" t="s">
        <v>945</v>
      </c>
      <c r="P8" t="s">
        <v>946</v>
      </c>
    </row>
    <row r="9" spans="1:20" x14ac:dyDescent="0.3">
      <c r="A9">
        <v>7</v>
      </c>
      <c r="B9" t="b">
        <v>0</v>
      </c>
      <c r="C9" t="b">
        <v>0</v>
      </c>
      <c r="D9" t="s">
        <v>154</v>
      </c>
      <c r="E9" t="b">
        <v>1</v>
      </c>
      <c r="F9" s="6"/>
      <c r="G9" s="6"/>
      <c r="H9" s="6" t="s">
        <v>251</v>
      </c>
      <c r="I9" s="22">
        <f>IF(ISBLANK(H9), "", VLOOKUP(LOWER(H9), javascriptKeycodes!A:B, 2, FALSE))</f>
        <v>74</v>
      </c>
      <c r="J9" s="22" t="str">
        <f>IF(ISBLANK(H9), "", VLOOKUP(LOWER(H9), javascriptKeycodes!A:C, 3, FALSE))</f>
        <v>key_j</v>
      </c>
      <c r="K9" s="22" t="str">
        <f t="shared" si="0"/>
        <v>CTRL_J</v>
      </c>
      <c r="L9" t="s">
        <v>272</v>
      </c>
      <c r="M9" t="s">
        <v>140</v>
      </c>
      <c r="N9" t="s">
        <v>193</v>
      </c>
      <c r="O9" t="s">
        <v>442</v>
      </c>
      <c r="P9" t="s">
        <v>482</v>
      </c>
    </row>
    <row r="10" spans="1:20" x14ac:dyDescent="0.3">
      <c r="A10">
        <v>8</v>
      </c>
      <c r="B10" t="b">
        <v>0</v>
      </c>
      <c r="C10" t="b">
        <v>1</v>
      </c>
      <c r="D10" t="s">
        <v>155</v>
      </c>
      <c r="E10" t="b">
        <v>1</v>
      </c>
      <c r="F10" s="6"/>
      <c r="G10" t="b">
        <v>1</v>
      </c>
      <c r="H10" s="6" t="s">
        <v>251</v>
      </c>
      <c r="I10" s="22">
        <f>IF(ISBLANK(H10), "", VLOOKUP(LOWER(H10), javascriptKeycodes!A:B, 2, FALSE))</f>
        <v>74</v>
      </c>
      <c r="J10" s="22" t="str">
        <f>IF(ISBLANK(H10), "", VLOOKUP(LOWER(H10), javascriptKeycodes!A:C, 3, FALSE))</f>
        <v>key_j</v>
      </c>
      <c r="K10" s="22" t="str">
        <f t="shared" si="0"/>
        <v>CTRL_SHIFT_J</v>
      </c>
      <c r="L10" t="s">
        <v>272</v>
      </c>
      <c r="M10" t="s">
        <v>139</v>
      </c>
      <c r="N10" t="s">
        <v>194</v>
      </c>
      <c r="O10" t="s">
        <v>443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156</v>
      </c>
      <c r="E11" t="b">
        <v>1</v>
      </c>
      <c r="F11" s="6"/>
      <c r="G11" s="6"/>
      <c r="H11" s="6" t="s">
        <v>248</v>
      </c>
      <c r="I11" s="22">
        <f>IF(ISBLANK(H11), "", VLOOKUP(LOWER(H11), javascriptKeycodes!A:B, 2, FALSE))</f>
        <v>80</v>
      </c>
      <c r="J11" s="22" t="str">
        <f>IF(ISBLANK(H11), "", VLOOKUP(LOWER(H11), javascriptKeycodes!A:C, 3, FALSE))</f>
        <v>key_p</v>
      </c>
      <c r="K11" s="22" t="str">
        <f t="shared" si="0"/>
        <v>CTRL_P</v>
      </c>
      <c r="L11" t="s">
        <v>272</v>
      </c>
      <c r="M11" t="s">
        <v>120</v>
      </c>
      <c r="N11" t="s">
        <v>195</v>
      </c>
      <c r="O11" t="s">
        <v>444</v>
      </c>
      <c r="P11" t="s">
        <v>484</v>
      </c>
    </row>
    <row r="12" spans="1:20" x14ac:dyDescent="0.3">
      <c r="A12">
        <v>10</v>
      </c>
      <c r="B12" t="b">
        <v>1</v>
      </c>
      <c r="C12" t="b">
        <v>0</v>
      </c>
      <c r="D12" t="s">
        <v>15</v>
      </c>
      <c r="F12" s="7" t="b">
        <v>1</v>
      </c>
      <c r="G12" s="6"/>
      <c r="H12" s="6" t="s">
        <v>243</v>
      </c>
      <c r="I12" s="22">
        <f>IF(ISBLANK(H12), "", VLOOKUP(LOWER(H12), javascriptKeycodes!A:B, 2, FALSE))</f>
        <v>83</v>
      </c>
      <c r="J12" s="22" t="str">
        <f>IF(ISBLANK(H12), "", VLOOKUP(LOWER(H12), javascriptKeycodes!A:C, 3, FALSE))</f>
        <v>key_s</v>
      </c>
      <c r="K12" s="22" t="str">
        <f t="shared" si="0"/>
        <v>ALT_S</v>
      </c>
      <c r="L12" t="s">
        <v>435</v>
      </c>
      <c r="M12" t="s">
        <v>136</v>
      </c>
      <c r="N12" t="s">
        <v>196</v>
      </c>
      <c r="O12" t="s">
        <v>445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157</v>
      </c>
      <c r="E13" t="b">
        <v>1</v>
      </c>
      <c r="F13" s="6"/>
      <c r="G13" s="6"/>
      <c r="H13" s="6" t="s">
        <v>249</v>
      </c>
      <c r="I13" s="22">
        <f>IF(ISBLANK(H13), "", VLOOKUP(LOWER(H13), javascriptKeycodes!A:B, 2, FALSE))</f>
        <v>85</v>
      </c>
      <c r="J13" s="22" t="str">
        <f>IF(ISBLANK(H13), "", VLOOKUP(LOWER(H13), javascriptKeycodes!A:C, 3, FALSE))</f>
        <v>key_u</v>
      </c>
      <c r="K13" s="22" t="str">
        <f t="shared" si="0"/>
        <v>CTRL_U</v>
      </c>
      <c r="L13" t="s">
        <v>887</v>
      </c>
      <c r="M13" t="s">
        <v>234</v>
      </c>
      <c r="N13" t="s">
        <v>235</v>
      </c>
      <c r="O13" t="s">
        <v>446</v>
      </c>
      <c r="P13" t="s">
        <v>486</v>
      </c>
    </row>
    <row r="14" spans="1:20" x14ac:dyDescent="0.3">
      <c r="A14">
        <v>12</v>
      </c>
      <c r="B14" t="b">
        <v>0</v>
      </c>
      <c r="C14" t="b">
        <v>0</v>
      </c>
      <c r="D14" t="s">
        <v>158</v>
      </c>
      <c r="E14" t="b">
        <v>1</v>
      </c>
      <c r="F14" s="6"/>
      <c r="G14" s="6"/>
      <c r="H14" s="6" t="s">
        <v>254</v>
      </c>
      <c r="I14" s="22">
        <f>IF(ISBLANK(H14), "", VLOOKUP(LOWER(H14), javascriptKeycodes!A:B, 2, FALSE))</f>
        <v>69</v>
      </c>
      <c r="J14" s="22" t="str">
        <f>IF(ISBLANK(H14), "", VLOOKUP(LOWER(H14), javascriptKeycodes!A:C, 3, FALSE))</f>
        <v>key_e</v>
      </c>
      <c r="K14" s="22" t="str">
        <f t="shared" si="0"/>
        <v>CTRL_E</v>
      </c>
      <c r="L14" t="s">
        <v>886</v>
      </c>
      <c r="M14" t="s">
        <v>201</v>
      </c>
      <c r="N14" t="s">
        <v>203</v>
      </c>
      <c r="O14" t="s">
        <v>447</v>
      </c>
      <c r="P14" t="s">
        <v>487</v>
      </c>
    </row>
    <row r="15" spans="1:20" x14ac:dyDescent="0.3">
      <c r="A15">
        <v>13</v>
      </c>
      <c r="B15" t="b">
        <v>0</v>
      </c>
      <c r="C15" t="b">
        <v>0</v>
      </c>
      <c r="D15" t="s">
        <v>19</v>
      </c>
      <c r="E15" t="b">
        <v>1</v>
      </c>
      <c r="F15" s="7"/>
      <c r="G15" s="7" t="b">
        <v>1</v>
      </c>
      <c r="H15" s="6" t="s">
        <v>243</v>
      </c>
      <c r="I15" s="22">
        <f>IF(ISBLANK(H15), "", VLOOKUP(LOWER(H15), javascriptKeycodes!A:B, 2, FALSE))</f>
        <v>83</v>
      </c>
      <c r="J15" s="22" t="str">
        <f>IF(ISBLANK(H15), "", VLOOKUP(LOWER(H15), javascriptKeycodes!A:C, 3, FALSE))</f>
        <v>key_s</v>
      </c>
      <c r="K15" s="22" t="str">
        <f t="shared" si="0"/>
        <v>CTRL_SHIFT_S</v>
      </c>
      <c r="L15" t="s">
        <v>272</v>
      </c>
      <c r="M15" t="s">
        <v>202</v>
      </c>
      <c r="N15" t="s">
        <v>1197</v>
      </c>
      <c r="O15" t="s">
        <v>448</v>
      </c>
      <c r="P15" t="s">
        <v>488</v>
      </c>
    </row>
    <row r="16" spans="1:20" x14ac:dyDescent="0.3">
      <c r="A16">
        <v>14</v>
      </c>
      <c r="B16" t="b">
        <v>0</v>
      </c>
      <c r="C16" t="b">
        <v>1</v>
      </c>
      <c r="D16" t="s">
        <v>285</v>
      </c>
      <c r="E16" t="b">
        <v>1</v>
      </c>
      <c r="F16" s="6"/>
      <c r="G16" s="7" t="b">
        <v>1</v>
      </c>
      <c r="H16" s="6" t="s">
        <v>257</v>
      </c>
      <c r="I16" s="22">
        <f>IF(ISBLANK(H16), "", VLOOKUP(LOWER(H16), javascriptKeycodes!A:B, 2, FALSE))</f>
        <v>86</v>
      </c>
      <c r="J16" s="22" t="str">
        <f>IF(ISBLANK(H16), "", VLOOKUP(LOWER(H16), javascriptKeycodes!A:C, 3, FALSE))</f>
        <v>key_v</v>
      </c>
      <c r="K16" s="22" t="str">
        <f t="shared" si="0"/>
        <v>CTRL_SHIFT_V</v>
      </c>
      <c r="L16" t="s">
        <v>779</v>
      </c>
      <c r="M16" t="s">
        <v>1196</v>
      </c>
      <c r="N16" t="s">
        <v>888</v>
      </c>
      <c r="O16" t="s">
        <v>889</v>
      </c>
      <c r="P16" t="s">
        <v>890</v>
      </c>
    </row>
    <row r="17" spans="1:16" x14ac:dyDescent="0.3">
      <c r="A17">
        <v>15</v>
      </c>
      <c r="B17" t="b">
        <v>0</v>
      </c>
      <c r="C17" t="b">
        <v>0</v>
      </c>
      <c r="D17" t="s">
        <v>159</v>
      </c>
      <c r="E17" t="b">
        <v>1</v>
      </c>
      <c r="F17" s="6"/>
      <c r="G17" s="6"/>
      <c r="H17" s="6" t="s">
        <v>255</v>
      </c>
      <c r="I17" s="22">
        <f>IF(ISBLANK(H17), "", VLOOKUP(LOWER(H17), javascriptKeycodes!A:B, 2, FALSE))</f>
        <v>75</v>
      </c>
      <c r="J17" s="22" t="str">
        <f>IF(ISBLANK(H17), "", VLOOKUP(LOWER(H17), javascriptKeycodes!A:C, 3, FALSE))</f>
        <v>key_k</v>
      </c>
      <c r="K17" s="22" t="str">
        <f t="shared" si="0"/>
        <v>CTRL_K</v>
      </c>
      <c r="L17" t="s">
        <v>891</v>
      </c>
      <c r="M17" t="s">
        <v>236</v>
      </c>
      <c r="N17" t="s">
        <v>205</v>
      </c>
      <c r="O17" t="s">
        <v>449</v>
      </c>
      <c r="P17" t="s">
        <v>489</v>
      </c>
    </row>
    <row r="18" spans="1:16" x14ac:dyDescent="0.3">
      <c r="A18">
        <v>16</v>
      </c>
      <c r="B18" t="b">
        <v>0</v>
      </c>
      <c r="C18" t="b">
        <v>0</v>
      </c>
      <c r="D18" t="s">
        <v>160</v>
      </c>
      <c r="E18" t="b">
        <v>1</v>
      </c>
      <c r="F18" s="6"/>
      <c r="G18" s="7" t="b">
        <v>1</v>
      </c>
      <c r="H18" s="6" t="s">
        <v>255</v>
      </c>
      <c r="I18" s="22">
        <f>IF(ISBLANK(H18), "", VLOOKUP(LOWER(H18), javascriptKeycodes!A:B, 2, FALSE))</f>
        <v>75</v>
      </c>
      <c r="J18" s="22" t="str">
        <f>IF(ISBLANK(H18), "", VLOOKUP(LOWER(H18), javascriptKeycodes!A:C, 3, FALSE))</f>
        <v>key_k</v>
      </c>
      <c r="K18" s="22" t="str">
        <f t="shared" si="0"/>
        <v>CTRL_SHIFT_K</v>
      </c>
      <c r="L18" t="s">
        <v>892</v>
      </c>
      <c r="M18" t="s">
        <v>237</v>
      </c>
      <c r="N18" t="s">
        <v>206</v>
      </c>
      <c r="O18" t="s">
        <v>450</v>
      </c>
      <c r="P18" t="s">
        <v>490</v>
      </c>
    </row>
    <row r="19" spans="1:16" x14ac:dyDescent="0.3">
      <c r="A19">
        <v>17</v>
      </c>
      <c r="B19" t="b">
        <v>1</v>
      </c>
      <c r="C19" t="b">
        <v>0</v>
      </c>
      <c r="D19" t="s">
        <v>188</v>
      </c>
      <c r="F19" s="7" t="b">
        <v>1</v>
      </c>
      <c r="G19" s="6"/>
      <c r="H19" s="6" t="s">
        <v>254</v>
      </c>
      <c r="I19" s="22">
        <f>IF(ISBLANK(H19), "", VLOOKUP(LOWER(H19), javascriptKeycodes!A:B, 2, FALSE))</f>
        <v>69</v>
      </c>
      <c r="J19" s="22" t="str">
        <f>IF(ISBLANK(H19), "", VLOOKUP(LOWER(H19), javascriptKeycodes!A:C, 3, FALSE))</f>
        <v>key_e</v>
      </c>
      <c r="K19" s="22" t="str">
        <f t="shared" si="0"/>
        <v>ALT_E</v>
      </c>
      <c r="L19" t="s">
        <v>435</v>
      </c>
      <c r="M19" t="s">
        <v>123</v>
      </c>
      <c r="N19" t="s">
        <v>214</v>
      </c>
      <c r="O19" t="s">
        <v>451</v>
      </c>
      <c r="P19" t="s">
        <v>491</v>
      </c>
    </row>
    <row r="20" spans="1:16" x14ac:dyDescent="0.3">
      <c r="A20">
        <v>18</v>
      </c>
      <c r="B20" t="b">
        <v>0</v>
      </c>
      <c r="C20" t="b">
        <v>1</v>
      </c>
      <c r="D20" t="s">
        <v>726</v>
      </c>
      <c r="E20" t="b">
        <v>1</v>
      </c>
      <c r="F20" t="b">
        <v>1</v>
      </c>
      <c r="G20" t="b">
        <v>1</v>
      </c>
      <c r="H20" s="16" t="s">
        <v>243</v>
      </c>
      <c r="I20" s="22">
        <f>IF(ISBLANK(H20), "", VLOOKUP(LOWER(H20), javascriptKeycodes!A:B, 2, FALSE))</f>
        <v>83</v>
      </c>
      <c r="J20" s="22" t="str">
        <f>IF(ISBLANK(H20), "", VLOOKUP(LOWER(H20), javascriptKeycodes!A:C, 3, FALSE))</f>
        <v>key_s</v>
      </c>
      <c r="K20" s="22" t="str">
        <f t="shared" si="0"/>
        <v>CTRL_ALT_SHIFT_S</v>
      </c>
      <c r="L20" t="s">
        <v>727</v>
      </c>
      <c r="M20" t="s">
        <v>693</v>
      </c>
      <c r="N20" t="s">
        <v>724</v>
      </c>
      <c r="O20" t="s">
        <v>694</v>
      </c>
      <c r="P20" t="s">
        <v>725</v>
      </c>
    </row>
    <row r="21" spans="1:16" x14ac:dyDescent="0.3">
      <c r="A21">
        <v>19</v>
      </c>
      <c r="B21" t="b">
        <v>0</v>
      </c>
      <c r="C21" t="b">
        <v>0</v>
      </c>
      <c r="D21" t="s">
        <v>271</v>
      </c>
      <c r="E21" t="b">
        <v>1</v>
      </c>
      <c r="F21" s="6"/>
      <c r="G21" s="6"/>
      <c r="H21" s="6" t="s">
        <v>264</v>
      </c>
      <c r="I21" s="22">
        <f>IF(ISBLANK(H21), "", VLOOKUP(LOWER(H21), javascriptKeycodes!A:B, 2, FALSE))</f>
        <v>65</v>
      </c>
      <c r="J21" s="22" t="str">
        <f>IF(ISBLANK(H21), "", VLOOKUP(LOWER(H21), javascriptKeycodes!A:C, 3, FALSE))</f>
        <v>key_a</v>
      </c>
      <c r="K21" s="22" t="str">
        <f t="shared" si="0"/>
        <v>CTRL_A</v>
      </c>
      <c r="L21" t="s">
        <v>893</v>
      </c>
      <c r="M21" t="s">
        <v>268</v>
      </c>
      <c r="N21" t="s">
        <v>436</v>
      </c>
      <c r="O21" t="s">
        <v>452</v>
      </c>
      <c r="P21" t="s">
        <v>492</v>
      </c>
    </row>
    <row r="22" spans="1:16" x14ac:dyDescent="0.3">
      <c r="A22">
        <v>20</v>
      </c>
      <c r="B22" t="b">
        <v>0</v>
      </c>
      <c r="C22" t="b">
        <v>1</v>
      </c>
      <c r="D22" t="s">
        <v>270</v>
      </c>
      <c r="E22" t="b">
        <v>1</v>
      </c>
      <c r="F22" s="6"/>
      <c r="G22" s="7" t="b">
        <v>1</v>
      </c>
      <c r="H22" s="6" t="s">
        <v>264</v>
      </c>
      <c r="I22" s="22">
        <f>IF(ISBLANK(H22), "", VLOOKUP(LOWER(H22), javascriptKeycodes!A:B, 2, FALSE))</f>
        <v>65</v>
      </c>
      <c r="J22" s="22" t="str">
        <f>IF(ISBLANK(H22), "", VLOOKUP(LOWER(H22), javascriptKeycodes!A:C, 3, FALSE))</f>
        <v>key_a</v>
      </c>
      <c r="K22" s="22" t="str">
        <f t="shared" si="0"/>
        <v>CTRL_SHIFT_A</v>
      </c>
      <c r="L22" t="s">
        <v>894</v>
      </c>
      <c r="M22" t="s">
        <v>269</v>
      </c>
      <c r="N22" t="s">
        <v>437</v>
      </c>
      <c r="O22" t="s">
        <v>453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161</v>
      </c>
      <c r="E23" t="b">
        <v>1</v>
      </c>
      <c r="F23" s="6"/>
      <c r="G23" s="21"/>
      <c r="H23" s="6" t="s">
        <v>256</v>
      </c>
      <c r="I23" s="22">
        <f>IF(ISBLANK(H23), "", VLOOKUP(LOWER(H23), javascriptKeycodes!A:B, 2, FALSE))</f>
        <v>88</v>
      </c>
      <c r="J23" s="22" t="str">
        <f>IF(ISBLANK(H23), "", VLOOKUP(LOWER(H23), javascriptKeycodes!A:C, 3, FALSE))</f>
        <v>key_x</v>
      </c>
      <c r="K23" s="22" t="str">
        <f t="shared" si="0"/>
        <v>CTRL_X</v>
      </c>
      <c r="L23" t="s">
        <v>940</v>
      </c>
      <c r="M23" t="s">
        <v>124</v>
      </c>
      <c r="N23" t="s">
        <v>208</v>
      </c>
      <c r="O23" t="s">
        <v>454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162</v>
      </c>
      <c r="E24" t="b">
        <v>1</v>
      </c>
      <c r="F24" s="6"/>
      <c r="G24" s="21"/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CTRL_C</v>
      </c>
      <c r="L24" t="s">
        <v>937</v>
      </c>
      <c r="M24" t="s">
        <v>125</v>
      </c>
      <c r="N24" t="s">
        <v>207</v>
      </c>
      <c r="O24" t="s">
        <v>455</v>
      </c>
      <c r="P24" t="s">
        <v>495</v>
      </c>
    </row>
    <row r="25" spans="1:16" x14ac:dyDescent="0.3">
      <c r="A25">
        <v>23</v>
      </c>
      <c r="B25" t="b">
        <v>0</v>
      </c>
      <c r="C25" t="b">
        <v>0</v>
      </c>
      <c r="D25" t="s">
        <v>163</v>
      </c>
      <c r="E25" t="b">
        <v>1</v>
      </c>
      <c r="F25" s="21"/>
      <c r="G25" s="21"/>
      <c r="H25" s="6" t="s">
        <v>257</v>
      </c>
      <c r="I25" s="22">
        <f>IF(ISBLANK(H25), "", VLOOKUP(LOWER(H25), javascriptKeycodes!A:B, 2, FALSE))</f>
        <v>86</v>
      </c>
      <c r="J25" s="22" t="str">
        <f>IF(ISBLANK(H25), "", VLOOKUP(LOWER(H25), javascriptKeycodes!A:C, 3, FALSE))</f>
        <v>key_v</v>
      </c>
      <c r="K25" s="22" t="str">
        <f t="shared" si="0"/>
        <v>CTRL_V</v>
      </c>
      <c r="L25" t="s">
        <v>938</v>
      </c>
      <c r="M25" t="s">
        <v>126</v>
      </c>
      <c r="N25" t="s">
        <v>209</v>
      </c>
      <c r="O25" t="s">
        <v>456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165</v>
      </c>
      <c r="E26" t="b">
        <v>1</v>
      </c>
      <c r="F26" s="6"/>
      <c r="G26" s="7" t="b">
        <v>1</v>
      </c>
      <c r="H26" s="6" t="s">
        <v>244</v>
      </c>
      <c r="I26" s="22">
        <f>IF(ISBLANK(H26), "", VLOOKUP(LOWER(H26), javascriptKeycodes!A:B, 2, FALSE))</f>
        <v>67</v>
      </c>
      <c r="J26" s="22" t="str">
        <f>IF(ISBLANK(H26), "", VLOOKUP(LOWER(H26), javascriptKeycodes!A:C, 3, FALSE))</f>
        <v>key_c</v>
      </c>
      <c r="K26" s="22" t="str">
        <f t="shared" si="0"/>
        <v>CTRL_SHIFT_C</v>
      </c>
      <c r="L26" t="s">
        <v>939</v>
      </c>
      <c r="M26" t="s">
        <v>164</v>
      </c>
      <c r="N26" t="s">
        <v>210</v>
      </c>
      <c r="O26" t="s">
        <v>457</v>
      </c>
      <c r="P26" t="s">
        <v>497</v>
      </c>
    </row>
    <row r="27" spans="1:16" x14ac:dyDescent="0.3">
      <c r="A27">
        <v>25</v>
      </c>
      <c r="B27" t="b">
        <v>0</v>
      </c>
      <c r="C27" t="b">
        <v>1</v>
      </c>
      <c r="D27" t="s">
        <v>166</v>
      </c>
      <c r="F27" s="6"/>
      <c r="G27" s="6"/>
      <c r="H27" s="6" t="s">
        <v>7</v>
      </c>
      <c r="I27" s="22">
        <f>IF(ISBLANK(H27), "", VLOOKUP(LOWER(H27), javascriptKeycodes!A:B, 2, FALSE))</f>
        <v>46</v>
      </c>
      <c r="J27" s="22" t="str">
        <f>IF(ISBLANK(H27), "", VLOOKUP(LOWER(H27), javascriptKeycodes!A:C, 3, FALSE))</f>
        <v>key_delete</v>
      </c>
      <c r="K27" s="22" t="str">
        <f t="shared" ref="K27:K28" si="1">IF(E27,"CTRL_","")&amp;IF(F27,"ALT_","")&amp;IF(G27,"SHIFT_","")&amp;H27</f>
        <v>delete</v>
      </c>
      <c r="L27" t="s">
        <v>895</v>
      </c>
      <c r="M27" t="s">
        <v>33</v>
      </c>
      <c r="N27" t="s">
        <v>211</v>
      </c>
      <c r="O27" t="s">
        <v>458</v>
      </c>
      <c r="P27" t="s">
        <v>498</v>
      </c>
    </row>
    <row r="28" spans="1:16" x14ac:dyDescent="0.3">
      <c r="A28">
        <v>26</v>
      </c>
      <c r="B28" t="b">
        <v>0</v>
      </c>
      <c r="C28" t="b">
        <v>0</v>
      </c>
      <c r="D28" t="s">
        <v>167</v>
      </c>
      <c r="E28" t="b">
        <v>1</v>
      </c>
      <c r="F28" s="6"/>
      <c r="G28" s="6"/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si="1"/>
        <v>CTRL_Z</v>
      </c>
      <c r="L28" t="s">
        <v>903</v>
      </c>
      <c r="M28" t="s">
        <v>143</v>
      </c>
      <c r="N28" t="s">
        <v>212</v>
      </c>
      <c r="O28" t="s">
        <v>459</v>
      </c>
      <c r="P28" t="s">
        <v>499</v>
      </c>
    </row>
    <row r="29" spans="1:16" x14ac:dyDescent="0.3">
      <c r="A29">
        <v>27</v>
      </c>
      <c r="B29" t="b">
        <v>0</v>
      </c>
      <c r="C29" t="b">
        <v>0</v>
      </c>
      <c r="D29" t="s">
        <v>168</v>
      </c>
      <c r="E29" t="b">
        <v>1</v>
      </c>
      <c r="F29" s="6"/>
      <c r="G29" s="7" t="b">
        <v>1</v>
      </c>
      <c r="H29" s="6" t="s">
        <v>258</v>
      </c>
      <c r="I29" s="22">
        <f>IF(ISBLANK(H29), "", VLOOKUP(LOWER(H29), javascriptKeycodes!A:B, 2, FALSE))</f>
        <v>90</v>
      </c>
      <c r="J29" s="22" t="str">
        <f>IF(ISBLANK(H29), "", VLOOKUP(LOWER(H29), javascriptKeycodes!A:C, 3, FALSE))</f>
        <v>key_z</v>
      </c>
      <c r="K29" s="22" t="str">
        <f t="shared" ref="K29:K52" si="2">IF(E29,"CTRL_","")&amp;IF(F29,"ALT_","")&amp;IF(G29,"SHIFT_","")&amp;H29</f>
        <v>CTRL_SHIFT_Z</v>
      </c>
      <c r="L29" t="s">
        <v>902</v>
      </c>
      <c r="M29" t="s">
        <v>144</v>
      </c>
      <c r="N29" t="s">
        <v>213</v>
      </c>
      <c r="O29" t="s">
        <v>460</v>
      </c>
      <c r="P29" t="s">
        <v>500</v>
      </c>
    </row>
    <row r="30" spans="1:16" x14ac:dyDescent="0.3">
      <c r="A30">
        <v>28</v>
      </c>
      <c r="B30" t="b">
        <v>1</v>
      </c>
      <c r="C30" t="b">
        <v>0</v>
      </c>
      <c r="D30" t="s">
        <v>922</v>
      </c>
      <c r="F30" s="20" t="b">
        <v>1</v>
      </c>
      <c r="G30" s="20"/>
      <c r="H30" s="20" t="s">
        <v>621</v>
      </c>
      <c r="I30" s="22">
        <f>IF(ISBLANK(H30), "", VLOOKUP(LOWER(H30), javascriptKeycodes!A:B, 2, FALSE))</f>
        <v>78</v>
      </c>
      <c r="J30" s="22" t="str">
        <f>IF(ISBLANK(H30), "", VLOOKUP(LOWER(H30), javascriptKeycodes!A:C, 3, FALSE))</f>
        <v>key_n</v>
      </c>
      <c r="K30" s="22" t="str">
        <f t="shared" si="2"/>
        <v>ALT_N</v>
      </c>
      <c r="M30" t="s">
        <v>923</v>
      </c>
      <c r="N30" t="s">
        <v>925</v>
      </c>
      <c r="O30" t="s">
        <v>924</v>
      </c>
      <c r="P30" t="s">
        <v>926</v>
      </c>
    </row>
    <row r="31" spans="1:16" x14ac:dyDescent="0.3">
      <c r="A31">
        <v>29</v>
      </c>
      <c r="B31" t="b">
        <v>0</v>
      </c>
      <c r="C31" t="b">
        <v>0</v>
      </c>
      <c r="D31" t="s">
        <v>169</v>
      </c>
      <c r="E31" t="b">
        <v>1</v>
      </c>
      <c r="F31" s="6"/>
      <c r="G31" s="6"/>
      <c r="H31" s="6" t="s">
        <v>404</v>
      </c>
      <c r="I31" s="22">
        <f>IF(ISBLANK(H31), "", VLOOKUP(LOWER(H31), javascriptKeycodes!A:B, 2, FALSE))</f>
        <v>107</v>
      </c>
      <c r="J31" s="22" t="str">
        <f>IF(ISBLANK(H31), "", VLOOKUP(LOWER(H31), javascriptKeycodes!A:C, 3, FALSE))</f>
        <v>key_add</v>
      </c>
      <c r="K31" s="22" t="str">
        <f t="shared" si="2"/>
        <v>CTRL_add</v>
      </c>
      <c r="L31" t="s">
        <v>899</v>
      </c>
      <c r="M31" t="s">
        <v>129</v>
      </c>
      <c r="N31" t="s">
        <v>216</v>
      </c>
      <c r="O31" t="s">
        <v>462</v>
      </c>
      <c r="P31" t="s">
        <v>502</v>
      </c>
    </row>
    <row r="32" spans="1:16" x14ac:dyDescent="0.3">
      <c r="A32">
        <v>30</v>
      </c>
      <c r="B32" t="b">
        <v>0</v>
      </c>
      <c r="C32" t="b">
        <v>0</v>
      </c>
      <c r="D32" t="s">
        <v>170</v>
      </c>
      <c r="E32" t="b">
        <v>1</v>
      </c>
      <c r="F32" s="6"/>
      <c r="G32" s="6"/>
      <c r="H32" s="6" t="s">
        <v>405</v>
      </c>
      <c r="I32" s="22">
        <f>IF(ISBLANK(H32), "", VLOOKUP(LOWER(H32), javascriptKeycodes!A:B, 2, FALSE))</f>
        <v>109</v>
      </c>
      <c r="J32" s="22" t="str">
        <f>IF(ISBLANK(H32), "", VLOOKUP(LOWER(H32), javascriptKeycodes!A:C, 3, FALSE))</f>
        <v>key_sub</v>
      </c>
      <c r="K32" s="22" t="str">
        <f t="shared" si="2"/>
        <v>CTRL_subtract</v>
      </c>
      <c r="L32" t="s">
        <v>898</v>
      </c>
      <c r="M32" t="s">
        <v>128</v>
      </c>
      <c r="N32" t="s">
        <v>217</v>
      </c>
      <c r="O32" t="s">
        <v>463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172</v>
      </c>
      <c r="E33" t="b">
        <v>1</v>
      </c>
      <c r="F33" s="6"/>
      <c r="G33" s="6"/>
      <c r="H33" s="6" t="s">
        <v>676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2"/>
        <v>CTRL_K_0</v>
      </c>
      <c r="L33" t="s">
        <v>900</v>
      </c>
      <c r="M33" t="s">
        <v>131</v>
      </c>
      <c r="N33" t="s">
        <v>218</v>
      </c>
      <c r="O33" t="s">
        <v>464</v>
      </c>
      <c r="P33" t="s">
        <v>504</v>
      </c>
    </row>
    <row r="34" spans="1:16" x14ac:dyDescent="0.3">
      <c r="A34">
        <v>32</v>
      </c>
      <c r="B34" t="b">
        <v>0</v>
      </c>
      <c r="C34" t="b">
        <v>1</v>
      </c>
      <c r="D34" t="s">
        <v>171</v>
      </c>
      <c r="E34" t="b">
        <v>1</v>
      </c>
      <c r="F34" s="6"/>
      <c r="G34" s="7" t="b">
        <v>1</v>
      </c>
      <c r="H34" s="7" t="s">
        <v>676</v>
      </c>
      <c r="I34" s="22">
        <f>IF(ISBLANK(H34), "", VLOOKUP(LOWER(H34), javascriptKeycodes!A:B, 2, FALSE))</f>
        <v>48</v>
      </c>
      <c r="J34" s="22" t="str">
        <f>IF(ISBLANK(H34), "", VLOOKUP(LOWER(H34), javascriptKeycodes!A:C, 3, FALSE))</f>
        <v>key_0</v>
      </c>
      <c r="K34" s="22" t="str">
        <f t="shared" si="2"/>
        <v>CTRL_SHIFT_K_0</v>
      </c>
      <c r="L34" t="s">
        <v>901</v>
      </c>
      <c r="M34" t="s">
        <v>130</v>
      </c>
      <c r="N34" t="s">
        <v>219</v>
      </c>
      <c r="O34" t="s">
        <v>465</v>
      </c>
      <c r="P34" t="s">
        <v>505</v>
      </c>
    </row>
    <row r="35" spans="1:16" x14ac:dyDescent="0.3">
      <c r="A35">
        <v>33</v>
      </c>
      <c r="B35" t="b">
        <v>0</v>
      </c>
      <c r="C35" t="b">
        <v>0</v>
      </c>
      <c r="D35" t="s">
        <v>777</v>
      </c>
      <c r="E35" t="b">
        <v>1</v>
      </c>
      <c r="F35" s="6" t="b">
        <v>1</v>
      </c>
      <c r="G35" s="19" t="b">
        <v>1</v>
      </c>
      <c r="H35" s="6" t="s">
        <v>264</v>
      </c>
      <c r="I35" s="22">
        <f>IF(ISBLANK(H35), "", VLOOKUP(LOWER(H35), javascriptKeycodes!A:B, 2, FALSE))</f>
        <v>65</v>
      </c>
      <c r="J35" s="22" t="str">
        <f>IF(ISBLANK(H35), "", VLOOKUP(LOWER(H35), javascriptKeycodes!A:C, 3, FALSE))</f>
        <v>key_a</v>
      </c>
      <c r="K35" s="22" t="str">
        <f t="shared" si="2"/>
        <v>CTRL_ALT_SHIFT_A</v>
      </c>
      <c r="L35" t="s">
        <v>272</v>
      </c>
      <c r="M35" t="s">
        <v>222</v>
      </c>
      <c r="N35" t="s">
        <v>223</v>
      </c>
      <c r="O35" t="s">
        <v>469</v>
      </c>
      <c r="P35" t="s">
        <v>509</v>
      </c>
    </row>
    <row r="36" spans="1:16" x14ac:dyDescent="0.3">
      <c r="A36">
        <v>34</v>
      </c>
      <c r="B36" t="b">
        <v>1</v>
      </c>
      <c r="C36" t="b">
        <v>0</v>
      </c>
      <c r="D36" t="s">
        <v>189</v>
      </c>
      <c r="F36" s="7" t="b">
        <v>1</v>
      </c>
      <c r="G36" s="6"/>
      <c r="H36" s="6" t="s">
        <v>257</v>
      </c>
      <c r="I36" s="22">
        <f>IF(ISBLANK(H36), "", VLOOKUP(LOWER(H36), javascriptKeycodes!A:B, 2, FALSE))</f>
        <v>86</v>
      </c>
      <c r="J36" s="22" t="str">
        <f>IF(ISBLANK(H36), "", VLOOKUP(LOWER(H36), javascriptKeycodes!A:C, 3, FALSE))</f>
        <v>key_v</v>
      </c>
      <c r="K36" s="22" t="str">
        <f t="shared" si="2"/>
        <v>ALT_V</v>
      </c>
      <c r="L36" t="s">
        <v>435</v>
      </c>
      <c r="M36" t="s">
        <v>127</v>
      </c>
      <c r="N36" t="s">
        <v>215</v>
      </c>
      <c r="O36" t="s">
        <v>461</v>
      </c>
      <c r="P36" t="s">
        <v>501</v>
      </c>
    </row>
    <row r="37" spans="1:16" x14ac:dyDescent="0.3">
      <c r="A37">
        <v>35</v>
      </c>
      <c r="B37" t="b">
        <v>0</v>
      </c>
      <c r="C37" t="b">
        <v>0</v>
      </c>
      <c r="D37" t="s">
        <v>189</v>
      </c>
      <c r="E37" t="b">
        <v>1</v>
      </c>
      <c r="F37" s="9"/>
      <c r="G37" s="9" t="b">
        <v>1</v>
      </c>
      <c r="H37" s="9" t="s">
        <v>261</v>
      </c>
      <c r="I37" s="22">
        <f>IF(ISBLANK(H37), "", VLOOKUP(LOWER(H37), javascriptKeycodes!A:B, 2, FALSE))</f>
        <v>70</v>
      </c>
      <c r="J37" s="22" t="str">
        <f>IF(ISBLANK(H37), "", VLOOKUP(LOWER(H37), javascriptKeycodes!A:C, 3, FALSE))</f>
        <v>key_f</v>
      </c>
      <c r="K37" s="22" t="str">
        <f t="shared" si="2"/>
        <v>CTRL_SHIFT_F</v>
      </c>
      <c r="L37" t="s">
        <v>690</v>
      </c>
      <c r="M37" t="s">
        <v>686</v>
      </c>
      <c r="N37" t="s">
        <v>687</v>
      </c>
      <c r="O37" t="s">
        <v>688</v>
      </c>
      <c r="P37" t="s">
        <v>689</v>
      </c>
    </row>
    <row r="38" spans="1:16" x14ac:dyDescent="0.3">
      <c r="A38">
        <v>36</v>
      </c>
      <c r="B38" t="b">
        <v>0</v>
      </c>
      <c r="C38" t="b">
        <v>0</v>
      </c>
      <c r="D38" t="s">
        <v>173</v>
      </c>
      <c r="E38" t="b">
        <v>1</v>
      </c>
      <c r="F38" s="6"/>
      <c r="G38" s="6"/>
      <c r="H38" s="6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2"/>
        <v>CTRL_M</v>
      </c>
      <c r="L38" t="s">
        <v>896</v>
      </c>
      <c r="M38" t="s">
        <v>145</v>
      </c>
      <c r="N38" t="s">
        <v>220</v>
      </c>
      <c r="O38" t="s">
        <v>466</v>
      </c>
      <c r="P38" t="s">
        <v>506</v>
      </c>
    </row>
    <row r="39" spans="1:16" x14ac:dyDescent="0.3">
      <c r="A39">
        <v>37</v>
      </c>
      <c r="B39" t="b">
        <v>0</v>
      </c>
      <c r="C39" t="b">
        <v>1</v>
      </c>
      <c r="D39" t="s">
        <v>174</v>
      </c>
      <c r="E39" t="b">
        <v>1</v>
      </c>
      <c r="F39" s="6"/>
      <c r="G39" s="7" t="b">
        <v>1</v>
      </c>
      <c r="H39" s="7" t="s">
        <v>247</v>
      </c>
      <c r="I39" s="22">
        <f>IF(ISBLANK(H39), "", VLOOKUP(LOWER(H39), javascriptKeycodes!A:B, 2, FALSE))</f>
        <v>77</v>
      </c>
      <c r="J39" s="22" t="str">
        <f>IF(ISBLANK(H39), "", VLOOKUP(LOWER(H39), javascriptKeycodes!A:C, 3, FALSE))</f>
        <v>key_m</v>
      </c>
      <c r="K39" s="22" t="str">
        <f t="shared" si="2"/>
        <v>CTRL_SHIFT_M</v>
      </c>
      <c r="L39" t="s">
        <v>897</v>
      </c>
      <c r="M39" t="s">
        <v>146</v>
      </c>
      <c r="N39" t="s">
        <v>221</v>
      </c>
      <c r="O39" t="s">
        <v>467</v>
      </c>
      <c r="P39" t="s">
        <v>507</v>
      </c>
    </row>
    <row r="40" spans="1:16" x14ac:dyDescent="0.3">
      <c r="A40">
        <v>38</v>
      </c>
      <c r="B40" t="b">
        <v>0</v>
      </c>
      <c r="C40" t="b">
        <v>0</v>
      </c>
      <c r="D40" t="s">
        <v>1002</v>
      </c>
      <c r="E40" t="b">
        <v>1</v>
      </c>
      <c r="F40" s="6"/>
      <c r="G40" s="6"/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2"/>
        <v>CTRL_R</v>
      </c>
      <c r="L40" t="s">
        <v>913</v>
      </c>
      <c r="M40" t="s">
        <v>904</v>
      </c>
      <c r="N40" t="s">
        <v>905</v>
      </c>
      <c r="O40" t="s">
        <v>908</v>
      </c>
      <c r="P40" t="s">
        <v>910</v>
      </c>
    </row>
    <row r="41" spans="1:16" x14ac:dyDescent="0.3">
      <c r="A41">
        <v>39</v>
      </c>
      <c r="B41" t="b">
        <v>0</v>
      </c>
      <c r="C41" t="b">
        <v>1</v>
      </c>
      <c r="D41" t="s">
        <v>1003</v>
      </c>
      <c r="E41" t="b">
        <v>1</v>
      </c>
      <c r="F41" s="6"/>
      <c r="G41" s="6" t="b">
        <v>1</v>
      </c>
      <c r="H41" s="6" t="s">
        <v>250</v>
      </c>
      <c r="I41" s="22">
        <f>IF(ISBLANK(H41), "", VLOOKUP(LOWER(H41), javascriptKeycodes!A:B, 2, FALSE))</f>
        <v>82</v>
      </c>
      <c r="J41" s="22" t="str">
        <f>IF(ISBLANK(H41), "", VLOOKUP(LOWER(H41), javascriptKeycodes!A:C, 3, FALSE))</f>
        <v>key_r</v>
      </c>
      <c r="K41" s="22" t="str">
        <f t="shared" si="2"/>
        <v>CTRL_SHIFT_R</v>
      </c>
      <c r="L41" t="s">
        <v>912</v>
      </c>
      <c r="M41" t="s">
        <v>907</v>
      </c>
      <c r="N41" t="s">
        <v>906</v>
      </c>
      <c r="O41" t="s">
        <v>909</v>
      </c>
      <c r="P41" t="s">
        <v>911</v>
      </c>
    </row>
    <row r="42" spans="1:16" x14ac:dyDescent="0.3">
      <c r="A42">
        <v>40</v>
      </c>
      <c r="B42" t="b">
        <v>0</v>
      </c>
      <c r="C42" t="b">
        <v>0</v>
      </c>
      <c r="D42" t="s">
        <v>165</v>
      </c>
      <c r="E42" t="b">
        <v>1</v>
      </c>
      <c r="F42" s="20"/>
      <c r="G42" s="20"/>
      <c r="H42" s="20" t="s">
        <v>261</v>
      </c>
      <c r="I42" s="22">
        <f>IF(ISBLANK(H42), "", VLOOKUP(LOWER(H42), javascriptKeycodes!A:B, 2, FALSE))</f>
        <v>70</v>
      </c>
      <c r="J42" s="22" t="str">
        <f>IF(ISBLANK(H42), "", VLOOKUP(LOWER(H42), javascriptKeycodes!A:C, 3, FALSE))</f>
        <v>key_f</v>
      </c>
      <c r="K42" s="22" t="str">
        <f t="shared" si="2"/>
        <v>CTRL_F</v>
      </c>
      <c r="L42" t="s">
        <v>935</v>
      </c>
      <c r="M42" t="s">
        <v>927</v>
      </c>
      <c r="N42" t="s">
        <v>931</v>
      </c>
      <c r="O42" t="s">
        <v>929</v>
      </c>
      <c r="P42" t="s">
        <v>933</v>
      </c>
    </row>
    <row r="43" spans="1:16" x14ac:dyDescent="0.3">
      <c r="A43">
        <v>41</v>
      </c>
      <c r="B43" t="b">
        <v>0</v>
      </c>
      <c r="C43" t="b">
        <v>0</v>
      </c>
      <c r="D43" t="s">
        <v>1013</v>
      </c>
      <c r="E43" t="b">
        <v>1</v>
      </c>
      <c r="F43" s="20"/>
      <c r="G43" s="20"/>
      <c r="H43" s="20" t="s">
        <v>265</v>
      </c>
      <c r="I43" s="22">
        <f>IF(ISBLANK(H43), "", VLOOKUP(LOWER(H43), javascriptKeycodes!A:B, 2, FALSE))</f>
        <v>66</v>
      </c>
      <c r="J43" s="22" t="str">
        <f>IF(ISBLANK(H43), "", VLOOKUP(LOWER(H43), javascriptKeycodes!A:C, 3, FALSE))</f>
        <v>key_b</v>
      </c>
      <c r="K43" s="22" t="str">
        <f t="shared" si="2"/>
        <v>CTRL_B</v>
      </c>
      <c r="L43" t="s">
        <v>936</v>
      </c>
      <c r="M43" t="s">
        <v>928</v>
      </c>
      <c r="N43" t="s">
        <v>932</v>
      </c>
      <c r="O43" t="s">
        <v>930</v>
      </c>
      <c r="P43" t="s">
        <v>934</v>
      </c>
    </row>
    <row r="44" spans="1:16" x14ac:dyDescent="0.3">
      <c r="A44">
        <v>42</v>
      </c>
      <c r="B44" t="b">
        <v>0</v>
      </c>
      <c r="C44" t="b">
        <v>0</v>
      </c>
      <c r="D44" t="s">
        <v>280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2"/>
        <v/>
      </c>
      <c r="L44" t="s">
        <v>1001</v>
      </c>
      <c r="M44" t="s">
        <v>279</v>
      </c>
      <c r="N44" t="s">
        <v>281</v>
      </c>
      <c r="O44" t="s">
        <v>468</v>
      </c>
      <c r="P44" t="s">
        <v>508</v>
      </c>
    </row>
    <row r="45" spans="1:16" x14ac:dyDescent="0.3">
      <c r="A45">
        <v>43</v>
      </c>
      <c r="B45" t="b">
        <v>1</v>
      </c>
      <c r="C45" t="b">
        <v>0</v>
      </c>
      <c r="D45" t="s">
        <v>180</v>
      </c>
      <c r="F45" s="7" t="b">
        <v>1</v>
      </c>
      <c r="G45" s="6"/>
      <c r="H45" s="6" t="s">
        <v>264</v>
      </c>
      <c r="I45" s="22">
        <f>IF(ISBLANK(H45), "", VLOOKUP(LOWER(H45), javascriptKeycodes!A:B, 2, FALSE))</f>
        <v>65</v>
      </c>
      <c r="J45" s="22" t="str">
        <f>IF(ISBLANK(H45), "", VLOOKUP(LOWER(H45), javascriptKeycodes!A:C, 3, FALSE))</f>
        <v>key_a</v>
      </c>
      <c r="K45" s="22" t="str">
        <f t="shared" si="2"/>
        <v>ALT_A</v>
      </c>
      <c r="L45" t="s">
        <v>272</v>
      </c>
      <c r="M45" t="s">
        <v>122</v>
      </c>
      <c r="N45" t="s">
        <v>227</v>
      </c>
      <c r="O45" t="s">
        <v>470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190</v>
      </c>
      <c r="F46" s="6"/>
      <c r="G46" s="6"/>
      <c r="H46" s="6"/>
      <c r="I46" s="22" t="str">
        <f>IF(ISBLANK(H46), "", VLOOKUP(LOWER(H46), javascriptKeycodes!A:B, 2, FALSE))</f>
        <v/>
      </c>
      <c r="J46" s="22" t="str">
        <f>IF(ISBLANK(H46), "", VLOOKUP(LOWER(H46), javascriptKeycodes!A:C, 3, FALSE))</f>
        <v/>
      </c>
      <c r="K46" s="22" t="str">
        <f t="shared" si="2"/>
        <v/>
      </c>
      <c r="L46" t="s">
        <v>272</v>
      </c>
      <c r="M46" t="s">
        <v>150</v>
      </c>
      <c r="N46" t="s">
        <v>228</v>
      </c>
      <c r="O46" t="s">
        <v>471</v>
      </c>
      <c r="P46" t="s">
        <v>511</v>
      </c>
    </row>
    <row r="47" spans="1:16" x14ac:dyDescent="0.3">
      <c r="A47">
        <v>45</v>
      </c>
      <c r="B47" t="b">
        <v>0</v>
      </c>
      <c r="C47" t="b">
        <v>0</v>
      </c>
      <c r="D47" t="s">
        <v>181</v>
      </c>
      <c r="E47" t="b">
        <v>1</v>
      </c>
      <c r="F47" s="6"/>
      <c r="G47" s="6" t="b">
        <v>1</v>
      </c>
      <c r="H47" s="6" t="s">
        <v>265</v>
      </c>
      <c r="I47" s="22">
        <f>IF(ISBLANK(H47), "", VLOOKUP(LOWER(H47), javascriptKeycodes!A:B, 2, FALSE))</f>
        <v>66</v>
      </c>
      <c r="J47" s="22" t="str">
        <f>IF(ISBLANK(H47), "", VLOOKUP(LOWER(H47), javascriptKeycodes!A:C, 3, FALSE))</f>
        <v>key_b</v>
      </c>
      <c r="K47" s="22" t="str">
        <f t="shared" si="2"/>
        <v>CTRL_SHIFT_B</v>
      </c>
      <c r="L47" t="s">
        <v>272</v>
      </c>
      <c r="M47" t="s">
        <v>121</v>
      </c>
      <c r="N47" t="s">
        <v>229</v>
      </c>
      <c r="O47" t="s">
        <v>472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182</v>
      </c>
      <c r="E48" t="b">
        <v>1</v>
      </c>
      <c r="F48" s="6"/>
      <c r="G48" s="6"/>
      <c r="H48" s="6" t="s">
        <v>266</v>
      </c>
      <c r="I48" s="22">
        <f>IF(ISBLANK(H48), "", VLOOKUP(LOWER(H48), javascriptKeycodes!A:B, 2, FALSE))</f>
        <v>87</v>
      </c>
      <c r="J48" s="22" t="str">
        <f>IF(ISBLANK(H48), "", VLOOKUP(LOWER(H48), javascriptKeycodes!A:C, 3, FALSE))</f>
        <v>key_w</v>
      </c>
      <c r="K48" s="22" t="str">
        <f t="shared" si="2"/>
        <v>CTRL_W</v>
      </c>
      <c r="L48" t="s">
        <v>272</v>
      </c>
      <c r="M48" t="s">
        <v>119</v>
      </c>
      <c r="N48" t="s">
        <v>230</v>
      </c>
      <c r="O48" t="s">
        <v>473</v>
      </c>
      <c r="P48" t="s">
        <v>513</v>
      </c>
    </row>
    <row r="49" spans="1:16" x14ac:dyDescent="0.3">
      <c r="A49">
        <v>47</v>
      </c>
      <c r="B49" t="b">
        <v>1</v>
      </c>
      <c r="C49" t="b">
        <v>0</v>
      </c>
      <c r="D49" t="s">
        <v>191</v>
      </c>
      <c r="F49" s="7" t="b">
        <v>1</v>
      </c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2"/>
        <v>ALT_H</v>
      </c>
      <c r="L49" t="s">
        <v>435</v>
      </c>
      <c r="M49" t="s">
        <v>147</v>
      </c>
      <c r="N49" t="s">
        <v>231</v>
      </c>
      <c r="O49" t="s">
        <v>474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183</v>
      </c>
      <c r="E50" t="b">
        <v>1</v>
      </c>
      <c r="F50" s="6"/>
      <c r="G50" s="6"/>
      <c r="H50" s="6" t="s">
        <v>245</v>
      </c>
      <c r="I50" s="22">
        <f>IF(ISBLANK(H50), "", VLOOKUP(LOWER(H50), javascriptKeycodes!A:B, 2, FALSE))</f>
        <v>68</v>
      </c>
      <c r="J50" s="22" t="str">
        <f>IF(ISBLANK(H50), "", VLOOKUP(LOWER(H50), javascriptKeycodes!A:C, 3, FALSE))</f>
        <v>key_d</v>
      </c>
      <c r="K50" s="22" t="str">
        <f t="shared" si="2"/>
        <v>CTRL_D</v>
      </c>
      <c r="L50" t="s">
        <v>272</v>
      </c>
      <c r="M50" t="s">
        <v>148</v>
      </c>
      <c r="N50" t="s">
        <v>232</v>
      </c>
      <c r="O50" t="s">
        <v>475</v>
      </c>
      <c r="P50" t="s">
        <v>515</v>
      </c>
    </row>
    <row r="51" spans="1:16" x14ac:dyDescent="0.3">
      <c r="A51">
        <v>49</v>
      </c>
      <c r="B51" t="b">
        <v>0</v>
      </c>
      <c r="C51" t="b">
        <v>1</v>
      </c>
      <c r="D51" t="s">
        <v>186</v>
      </c>
      <c r="E51" t="b">
        <v>1</v>
      </c>
      <c r="F51" s="6"/>
      <c r="G51" s="6"/>
      <c r="H51" s="6" t="s">
        <v>267</v>
      </c>
      <c r="I51" s="22">
        <f>IF(ISBLANK(H51), "", VLOOKUP(LOWER(H51), javascriptKeycodes!A:B, 2, FALSE))</f>
        <v>72</v>
      </c>
      <c r="J51" s="22" t="str">
        <f>IF(ISBLANK(H51), "", VLOOKUP(LOWER(H51), javascriptKeycodes!A:C, 3, FALSE))</f>
        <v>key_h</v>
      </c>
      <c r="K51" s="22" t="str">
        <f t="shared" si="2"/>
        <v>CTRL_H</v>
      </c>
      <c r="L51" t="s">
        <v>272</v>
      </c>
      <c r="M51" t="s">
        <v>184</v>
      </c>
      <c r="N51" t="s">
        <v>233</v>
      </c>
      <c r="O51" t="s">
        <v>476</v>
      </c>
      <c r="P51" t="s">
        <v>516</v>
      </c>
    </row>
    <row r="52" spans="1:16" x14ac:dyDescent="0.3">
      <c r="A52">
        <v>50</v>
      </c>
      <c r="B52" t="b">
        <v>0</v>
      </c>
      <c r="C52" t="b">
        <v>0</v>
      </c>
      <c r="D52" t="s">
        <v>185</v>
      </c>
      <c r="F52" s="6"/>
      <c r="G52" s="6"/>
      <c r="H52" s="6"/>
      <c r="I52" s="22" t="str">
        <f>IF(ISBLANK(H52), "", VLOOKUP(LOWER(H52), javascriptKeycodes!A:B, 2, FALSE))</f>
        <v/>
      </c>
      <c r="J52" s="22" t="str">
        <f>IF(ISBLANK(H52), "", VLOOKUP(LOWER(H52), javascriptKeycodes!A:C, 3, FALSE))</f>
        <v/>
      </c>
      <c r="K52" s="22" t="str">
        <f t="shared" si="2"/>
        <v/>
      </c>
      <c r="L52" t="s">
        <v>272</v>
      </c>
      <c r="M52" t="s">
        <v>149</v>
      </c>
      <c r="N52" t="s">
        <v>233</v>
      </c>
      <c r="O52" t="s">
        <v>477</v>
      </c>
      <c r="P52" t="s">
        <v>516</v>
      </c>
    </row>
    <row r="53" spans="1:16" x14ac:dyDescent="0.3">
      <c r="F53" s="6"/>
      <c r="G53" s="6"/>
      <c r="H53" s="6"/>
      <c r="I53" s="6"/>
      <c r="J53" s="7"/>
      <c r="K53" s="10"/>
    </row>
    <row r="54" spans="1:16" x14ac:dyDescent="0.3">
      <c r="F54" s="6"/>
      <c r="G54" s="6"/>
      <c r="H54" s="6"/>
      <c r="I54" s="6"/>
      <c r="J54" s="7"/>
      <c r="K54" s="10"/>
    </row>
  </sheetData>
  <mergeCells count="3">
    <mergeCell ref="M1:N1"/>
    <mergeCell ref="O1:P1"/>
    <mergeCell ref="E1:K1"/>
  </mergeCells>
  <conditionalFormatting sqref="G55:G1048576">
    <cfRule type="duplicateValues" dxfId="4" priority="4"/>
  </conditionalFormatting>
  <conditionalFormatting sqref="K1:K1048576">
    <cfRule type="duplicateValues" dxfId="3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900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901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898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899</v>
      </c>
      <c r="H5" s="13" t="str">
        <f t="shared" si="0"/>
        <v>CTRL_equal sign</v>
      </c>
      <c r="I5" s="13" t="str">
        <f>IF(ISBLANK(menu!K7),"",menu!K7)</f>
        <v>CTRL_S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985</v>
      </c>
      <c r="H6" s="13" t="str">
        <f t="shared" si="0"/>
        <v>up arrow</v>
      </c>
      <c r="I6" s="13" t="str">
        <f>IF(ISBLANK(menu!K6),"",menu!K6)</f>
        <v>CTRL_O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986</v>
      </c>
      <c r="H7" s="13" t="str">
        <f t="shared" si="0"/>
        <v>down arrow</v>
      </c>
      <c r="I7" s="13" t="str">
        <f>IF(ISBLANK(menu!K9),"",menu!K9)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987</v>
      </c>
      <c r="H8" s="13" t="str">
        <f t="shared" si="0"/>
        <v>right arrow</v>
      </c>
      <c r="I8" s="13" t="str">
        <f>IF(ISBLANK(menu!K10),"",menu!K10)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988</v>
      </c>
      <c r="H9" s="13" t="str">
        <f t="shared" si="0"/>
        <v>left arrow</v>
      </c>
      <c r="I9" s="13" t="str">
        <f>IF(ISBLANK(menu!K11),"",menu!K11)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IF(ISBLANK(menu!K12),"",menu!K12)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IF(ISBLANK(menu!K13),"",menu!K13)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IF(ISBLANK(menu!K14),"",menu!K14)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IF(ISBLANK(menu!K15),"",menu!K15)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IF(ISBLANK(menu!K16),"",menu!K16)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IF(ISBLANK(menu!K17),"",menu!K17)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IF(ISBLANK(menu!K18),"",menu!K18)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IF(ISBLANK(menu!K19),"",menu!K19)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IF(ISBLANK(menu!K21),"",menu!K21)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IF(ISBLANK(menu!K22),"",menu!K22)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IF(ISBLANK(menu!K23),"",menu!K23)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IF(ISBLANK(menu!K24),"",menu!K24)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IF(ISBLANK(menu!K25),"",menu!K25)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IF(ISBLANK(menu!K26),"",menu!K26)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IF(ISBLANK(menu!K27),"",menu!K27)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IF(ISBLANK(menu!K28),"",menu!K28)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IF(ISBLANK(menu!K29),"",menu!K29)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IF(ISBLANK(menu!K36),"",menu!K36)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IF(ISBLANK(menu!K37),"",menu!K37)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IF(ISBLANK(menu!K31),"",menu!K31)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IF(ISBLANK(menu!K32),"",menu!K32)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IF(ISBLANK(menu!K33),"",menu!K33)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IF(ISBLANK(menu!K34),"",menu!K34)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IF(ISBLANK(menu!K38),"",menu!K38)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IF(ISBLANK(menu!K39),"",menu!K39)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IF(ISBLANK(menu!K40),"",menu!K40)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IF(ISBLANK(menu!K41),"",menu!K41)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IF(ISBLANK(menu!K44),"",menu!K44)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IF(ISBLANK(menu!K35),"",menu!K35)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IF(ISBLANK(menu!K45),"",menu!K45)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IF(ISBLANK(menu!K46),"",menu!K46)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IF(ISBLANK(menu!K47),"",menu!K47)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IF(ISBLANK(menu!K48),"",menu!K48)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IF(ISBLANK(menu!K49),"",menu!K49)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IF(ISBLANK(menu!K50),"",menu!K50)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IF(ISBLANK(menu!K51),"",menu!K51)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IF(ISBLANK(menu!K52),"",menu!K52)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IF(ISBLANK(menu!K53),"",menu!K53)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IF(ISBLANK(menu!K54),"",menu!K54)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IF(ISBLANK(menu!K55),"",menu!K55)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IF(ISBLANK(menu!K56),"",menu!K56)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IF(ISBLANK(menu!K57),"",menu!K57)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IF(ISBLANK(menu!K58),"",menu!K58)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IF(ISBLANK(menu!K59),"",menu!K59)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IF(ISBLANK(menu!K60),"",menu!K60)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IF(ISBLANK(menu!K61),"",menu!K61)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IF(ISBLANK(menu!K62),"",menu!K62)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IF(ISBLANK(menu!K63),"",menu!K63)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IF(ISBLANK(menu!K64),"",menu!K64)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IF(ISBLANK(menu!K65),"",menu!K65)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IF(ISBLANK(menu!K66),"",menu!K66)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IF(ISBLANK(menu!K67),"",menu!K67)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IF(ISBLANK(menu!K68),"",menu!K68)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IF(ISBLANK(menu!K69),"",menu!K69)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IF(ISBLANK(menu!K70),"",menu!K70)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IF(ISBLANK(menu!K71),"",menu!K71)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IF(ISBLANK(menu!K72),"",menu!K72)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IF(ISBLANK(menu!K73),"",menu!K73)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IF(ISBLANK(menu!K74),"",menu!K74)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IF(ISBLANK(menu!K75),"",menu!K75)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IF(ISBLANK(menu!K76),"",menu!K76)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IF(ISBLANK(menu!K77),"",menu!K77)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IF(ISBLANK(menu!K78),"",menu!K78)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IF(ISBLANK(menu!K79),"",menu!K79)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IF(ISBLANK(menu!K80),"",menu!K80)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IF(ISBLANK(menu!K81),"",menu!K81)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IF(ISBLANK(menu!K82),"",menu!K82)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IF(ISBLANK(menu!K83),"",menu!K83)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IF(ISBLANK(menu!K84),"",menu!K84)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IF(ISBLANK(menu!K85),"",menu!K85)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IF(ISBLANK(menu!K86),"",menu!K86)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IF(ISBLANK(menu!K87),"",menu!K87)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IF(ISBLANK(menu!K88),"",menu!K88)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IF(ISBLANK(menu!K89),"",menu!K89)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IF(ISBLANK(menu!K90),"",menu!K90)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IF(ISBLANK(menu!K91),"",menu!K91)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IF(ISBLANK(menu!K92),"",menu!K92)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IF(ISBLANK(menu!K93),"",menu!K93)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IF(ISBLANK(menu!K94),"",menu!K94)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IF(ISBLANK(menu!K95),"",menu!K95)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IF(ISBLANK(menu!K96),"",menu!K96)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IF(ISBLANK(menu!K97),"",menu!K97)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IF(ISBLANK(menu!K98),"",menu!K98)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IF(ISBLANK(menu!K99),"",menu!K99)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IF(ISBLANK(menu!K100),"",menu!K100)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IF(ISBLANK(menu!K101),"",menu!K101)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IF(ISBLANK(menu!K102),"",menu!K102)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IF(ISBLANK(menu!K103),"",menu!K103)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IF(ISBLANK(menu!K104),"",menu!K104)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IF(ISBLANK(menu!K105),"",menu!K105)</f>
        <v/>
      </c>
      <c r="M100" s="11" t="str">
        <f t="shared" si="3"/>
        <v/>
      </c>
    </row>
  </sheetData>
  <conditionalFormatting sqref="H1:I1048576">
    <cfRule type="duplicateValues" dxfId="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A7" sqref="A7"/>
    </sheetView>
  </sheetViews>
  <sheetFormatPr defaultRowHeight="14.4" x14ac:dyDescent="0.3"/>
  <cols>
    <col min="1" max="16384" width="8.88671875" style="11"/>
  </cols>
  <sheetData>
    <row r="1" spans="1:13" x14ac:dyDescent="0.3">
      <c r="C1" s="25" t="s">
        <v>329</v>
      </c>
      <c r="D1" s="25"/>
      <c r="E1" s="25" t="s">
        <v>330</v>
      </c>
      <c r="F1" s="25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1"/>
  <sheetViews>
    <sheetView tabSelected="1" workbookViewId="0">
      <selection activeCell="R1" sqref="R1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5" t="s">
        <v>329</v>
      </c>
      <c r="J1" s="25"/>
      <c r="K1" s="25" t="s">
        <v>330</v>
      </c>
      <c r="L1" s="25"/>
      <c r="R1" s="18" t="s">
        <v>1199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s="23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  <row r="5" spans="1:18" x14ac:dyDescent="0.3">
      <c r="A5" s="23" t="s">
        <v>1004</v>
      </c>
      <c r="B5" t="s">
        <v>1008</v>
      </c>
      <c r="C5" t="s">
        <v>299</v>
      </c>
      <c r="D5" t="s">
        <v>735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1006</v>
      </c>
      <c r="K5" t="s">
        <v>1005</v>
      </c>
      <c r="L5" t="s">
        <v>1007</v>
      </c>
    </row>
    <row r="6" spans="1:18" x14ac:dyDescent="0.3">
      <c r="A6" s="23" t="s">
        <v>958</v>
      </c>
      <c r="B6" t="s">
        <v>957</v>
      </c>
      <c r="C6" t="s">
        <v>299</v>
      </c>
      <c r="D6" t="s">
        <v>735</v>
      </c>
      <c r="E6">
        <v>50</v>
      </c>
      <c r="F6">
        <v>50</v>
      </c>
      <c r="G6" t="s">
        <v>959</v>
      </c>
      <c r="H6" t="s">
        <v>54</v>
      </c>
      <c r="I6" t="s">
        <v>960</v>
      </c>
      <c r="J6" t="s">
        <v>961</v>
      </c>
      <c r="K6" t="s">
        <v>962</v>
      </c>
      <c r="L6" t="s">
        <v>963</v>
      </c>
    </row>
    <row r="7" spans="1:18" x14ac:dyDescent="0.3">
      <c r="A7" s="23" t="s">
        <v>1070</v>
      </c>
      <c r="B7" t="s">
        <v>1092</v>
      </c>
      <c r="C7" t="s">
        <v>299</v>
      </c>
      <c r="D7" t="s">
        <v>735</v>
      </c>
      <c r="E7">
        <v>50</v>
      </c>
      <c r="F7">
        <v>50</v>
      </c>
      <c r="G7" t="s">
        <v>1075</v>
      </c>
      <c r="H7" t="s">
        <v>40</v>
      </c>
      <c r="I7" t="s">
        <v>1071</v>
      </c>
      <c r="J7" t="s">
        <v>1072</v>
      </c>
      <c r="K7" t="s">
        <v>1073</v>
      </c>
      <c r="L7" t="s">
        <v>1074</v>
      </c>
    </row>
    <row r="8" spans="1:18" x14ac:dyDescent="0.3">
      <c r="A8" s="23" t="s">
        <v>1168</v>
      </c>
      <c r="B8" t="s">
        <v>1180</v>
      </c>
      <c r="C8" t="s">
        <v>299</v>
      </c>
      <c r="D8" t="s">
        <v>735</v>
      </c>
      <c r="E8">
        <v>50</v>
      </c>
      <c r="F8">
        <v>50</v>
      </c>
      <c r="G8" t="s">
        <v>1169</v>
      </c>
      <c r="H8" t="s">
        <v>41</v>
      </c>
      <c r="I8" t="s">
        <v>1170</v>
      </c>
      <c r="J8" t="s">
        <v>1172</v>
      </c>
      <c r="K8" t="s">
        <v>1171</v>
      </c>
      <c r="L8" t="s">
        <v>1173</v>
      </c>
    </row>
    <row r="9" spans="1:18" x14ac:dyDescent="0.3">
      <c r="A9" s="23" t="s">
        <v>1174</v>
      </c>
      <c r="B9" t="s">
        <v>1179</v>
      </c>
      <c r="C9" t="s">
        <v>299</v>
      </c>
      <c r="D9" t="s">
        <v>735</v>
      </c>
      <c r="E9">
        <v>50</v>
      </c>
      <c r="F9">
        <v>50</v>
      </c>
      <c r="H9" t="s">
        <v>43</v>
      </c>
      <c r="I9" t="s">
        <v>1175</v>
      </c>
      <c r="J9" t="s">
        <v>1176</v>
      </c>
      <c r="K9" t="s">
        <v>1175</v>
      </c>
      <c r="L9" t="s">
        <v>1177</v>
      </c>
    </row>
    <row r="10" spans="1:18" x14ac:dyDescent="0.3">
      <c r="A10" s="23" t="s">
        <v>1178</v>
      </c>
      <c r="B10" t="s">
        <v>1191</v>
      </c>
      <c r="D10" t="s">
        <v>735</v>
      </c>
      <c r="E10">
        <v>30</v>
      </c>
      <c r="F10">
        <v>50</v>
      </c>
      <c r="H10" t="s">
        <v>41</v>
      </c>
      <c r="I10" t="s">
        <v>1182</v>
      </c>
      <c r="J10" t="s">
        <v>1186</v>
      </c>
      <c r="K10" t="s">
        <v>1184</v>
      </c>
      <c r="L10" t="s">
        <v>1188</v>
      </c>
    </row>
    <row r="11" spans="1:18" x14ac:dyDescent="0.3">
      <c r="A11" s="23" t="s">
        <v>1181</v>
      </c>
      <c r="B11" t="s">
        <v>1190</v>
      </c>
      <c r="D11" t="s">
        <v>735</v>
      </c>
      <c r="E11">
        <v>50</v>
      </c>
      <c r="F11">
        <v>50</v>
      </c>
      <c r="H11" t="s">
        <v>41</v>
      </c>
      <c r="I11" t="s">
        <v>1183</v>
      </c>
      <c r="J11" t="s">
        <v>1187</v>
      </c>
      <c r="K11" t="s">
        <v>1185</v>
      </c>
      <c r="L11" t="s">
        <v>1189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947</v>
      </c>
      <c r="B1" t="s">
        <v>949</v>
      </c>
      <c r="C1" t="s">
        <v>948</v>
      </c>
      <c r="D1" t="s">
        <v>1077</v>
      </c>
      <c r="E1" t="s">
        <v>1079</v>
      </c>
      <c r="F1" t="s">
        <v>1078</v>
      </c>
      <c r="G1" t="s">
        <v>1076</v>
      </c>
      <c r="H1" t="s">
        <v>950</v>
      </c>
      <c r="I1" t="s">
        <v>951</v>
      </c>
      <c r="J1" t="s">
        <v>1081</v>
      </c>
      <c r="K1" t="s">
        <v>1082</v>
      </c>
      <c r="L1" t="s">
        <v>1080</v>
      </c>
      <c r="M1" t="s">
        <v>329</v>
      </c>
      <c r="N1" t="s">
        <v>330</v>
      </c>
      <c r="P1" s="15" t="s">
        <v>954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953</v>
      </c>
      <c r="B2" t="s">
        <v>1105</v>
      </c>
      <c r="C2" t="s">
        <v>1106</v>
      </c>
      <c r="D2" t="s">
        <v>1107</v>
      </c>
      <c r="E2" t="s">
        <v>1108</v>
      </c>
      <c r="F2" t="s">
        <v>1109</v>
      </c>
      <c r="G2" t="s">
        <v>1110</v>
      </c>
      <c r="H2" t="s">
        <v>735</v>
      </c>
      <c r="I2" t="s">
        <v>735</v>
      </c>
      <c r="J2" t="s">
        <v>1100</v>
      </c>
      <c r="K2" t="s">
        <v>1099</v>
      </c>
      <c r="L2" t="s">
        <v>953</v>
      </c>
      <c r="M2" t="s">
        <v>1194</v>
      </c>
      <c r="N2" t="s">
        <v>1192</v>
      </c>
      <c r="P2" s="15" t="s">
        <v>955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1145</v>
      </c>
      <c r="B3" t="s">
        <v>1093</v>
      </c>
      <c r="C3" t="s">
        <v>1094</v>
      </c>
      <c r="D3" t="s">
        <v>1095</v>
      </c>
      <c r="E3" t="s">
        <v>1096</v>
      </c>
      <c r="F3" t="s">
        <v>1097</v>
      </c>
      <c r="G3" t="s">
        <v>1098</v>
      </c>
      <c r="H3" t="s">
        <v>735</v>
      </c>
      <c r="I3" t="s">
        <v>735</v>
      </c>
      <c r="J3" t="s">
        <v>1100</v>
      </c>
      <c r="K3" t="s">
        <v>1099</v>
      </c>
      <c r="L3" t="s">
        <v>953</v>
      </c>
      <c r="M3" t="s">
        <v>1138</v>
      </c>
      <c r="N3" t="s">
        <v>1160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1146</v>
      </c>
      <c r="B4" t="s">
        <v>1117</v>
      </c>
      <c r="C4" t="s">
        <v>1118</v>
      </c>
      <c r="D4" t="s">
        <v>1119</v>
      </c>
      <c r="E4" t="s">
        <v>1120</v>
      </c>
      <c r="F4" t="s">
        <v>1121</v>
      </c>
      <c r="G4" t="s">
        <v>1122</v>
      </c>
      <c r="H4" t="s">
        <v>735</v>
      </c>
      <c r="I4" t="s">
        <v>735</v>
      </c>
      <c r="J4" t="s">
        <v>1100</v>
      </c>
      <c r="K4" t="s">
        <v>1099</v>
      </c>
      <c r="L4" t="s">
        <v>953</v>
      </c>
      <c r="M4" t="s">
        <v>1139</v>
      </c>
      <c r="N4" t="s">
        <v>1161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1147</v>
      </c>
      <c r="B5" t="s">
        <v>1129</v>
      </c>
      <c r="C5" t="s">
        <v>1130</v>
      </c>
      <c r="D5" t="s">
        <v>1131</v>
      </c>
      <c r="E5" t="s">
        <v>1132</v>
      </c>
      <c r="F5" t="s">
        <v>1133</v>
      </c>
      <c r="G5" t="s">
        <v>1134</v>
      </c>
      <c r="H5" t="s">
        <v>1083</v>
      </c>
      <c r="I5" t="s">
        <v>735</v>
      </c>
      <c r="J5" t="s">
        <v>1090</v>
      </c>
      <c r="K5" t="s">
        <v>1091</v>
      </c>
      <c r="L5" t="s">
        <v>953</v>
      </c>
      <c r="M5" t="s">
        <v>1140</v>
      </c>
      <c r="N5" t="s">
        <v>1162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1148</v>
      </c>
      <c r="B6" t="s">
        <v>1135</v>
      </c>
      <c r="C6" t="s">
        <v>1136</v>
      </c>
      <c r="D6" t="s">
        <v>1137</v>
      </c>
      <c r="E6" t="s">
        <v>1096</v>
      </c>
      <c r="F6" t="s">
        <v>1097</v>
      </c>
      <c r="G6" t="s">
        <v>1098</v>
      </c>
      <c r="H6" t="s">
        <v>735</v>
      </c>
      <c r="I6" t="s">
        <v>735</v>
      </c>
      <c r="J6" t="s">
        <v>1100</v>
      </c>
      <c r="K6" t="s">
        <v>1099</v>
      </c>
      <c r="L6" t="s">
        <v>953</v>
      </c>
      <c r="M6" t="s">
        <v>1144</v>
      </c>
      <c r="N6" t="s">
        <v>1163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956</v>
      </c>
      <c r="B7" t="s">
        <v>1084</v>
      </c>
      <c r="C7" t="s">
        <v>1085</v>
      </c>
      <c r="D7" t="s">
        <v>1086</v>
      </c>
      <c r="E7" t="s">
        <v>1087</v>
      </c>
      <c r="F7" t="s">
        <v>1088</v>
      </c>
      <c r="G7" t="s">
        <v>1089</v>
      </c>
      <c r="H7" t="s">
        <v>1083</v>
      </c>
      <c r="I7" t="s">
        <v>1083</v>
      </c>
      <c r="J7" t="s">
        <v>1090</v>
      </c>
      <c r="K7" t="s">
        <v>1091</v>
      </c>
      <c r="L7" t="s">
        <v>956</v>
      </c>
      <c r="M7" t="s">
        <v>1195</v>
      </c>
      <c r="N7" t="s">
        <v>1193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1149</v>
      </c>
      <c r="B8" t="s">
        <v>1101</v>
      </c>
      <c r="C8" t="s">
        <v>735</v>
      </c>
      <c r="D8" t="s">
        <v>1102</v>
      </c>
      <c r="E8" t="s">
        <v>1103</v>
      </c>
      <c r="F8" t="s">
        <v>735</v>
      </c>
      <c r="G8" t="s">
        <v>1104</v>
      </c>
      <c r="H8" t="s">
        <v>1083</v>
      </c>
      <c r="I8" t="s">
        <v>1083</v>
      </c>
      <c r="J8" t="s">
        <v>1090</v>
      </c>
      <c r="K8" t="s">
        <v>1091</v>
      </c>
      <c r="L8" t="s">
        <v>956</v>
      </c>
      <c r="M8" t="s">
        <v>1141</v>
      </c>
      <c r="N8" t="s">
        <v>1164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1150</v>
      </c>
      <c r="B9" t="s">
        <v>1111</v>
      </c>
      <c r="C9" t="s">
        <v>1112</v>
      </c>
      <c r="D9" t="s">
        <v>1113</v>
      </c>
      <c r="E9" t="s">
        <v>1114</v>
      </c>
      <c r="F9" t="s">
        <v>1115</v>
      </c>
      <c r="G9" t="s">
        <v>1116</v>
      </c>
      <c r="H9" t="s">
        <v>1083</v>
      </c>
      <c r="I9" t="s">
        <v>1083</v>
      </c>
      <c r="J9" t="s">
        <v>1090</v>
      </c>
      <c r="K9" t="s">
        <v>1091</v>
      </c>
      <c r="L9" t="s">
        <v>956</v>
      </c>
      <c r="M9" t="s">
        <v>1142</v>
      </c>
      <c r="N9" t="s">
        <v>1165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1151</v>
      </c>
      <c r="B10" t="s">
        <v>1123</v>
      </c>
      <c r="C10" t="s">
        <v>1124</v>
      </c>
      <c r="D10" t="s">
        <v>1125</v>
      </c>
      <c r="E10" t="s">
        <v>1126</v>
      </c>
      <c r="F10" t="s">
        <v>1127</v>
      </c>
      <c r="G10" t="s">
        <v>1128</v>
      </c>
      <c r="H10" t="s">
        <v>1083</v>
      </c>
      <c r="I10" t="s">
        <v>1083</v>
      </c>
      <c r="J10" t="s">
        <v>1090</v>
      </c>
      <c r="K10" t="s">
        <v>1091</v>
      </c>
      <c r="L10" t="s">
        <v>956</v>
      </c>
      <c r="M10" t="s">
        <v>1143</v>
      </c>
      <c r="N10" t="s">
        <v>1166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1152</v>
      </c>
      <c r="B11" t="s">
        <v>1153</v>
      </c>
      <c r="C11" t="s">
        <v>1154</v>
      </c>
      <c r="D11" t="s">
        <v>1155</v>
      </c>
      <c r="E11" t="s">
        <v>1156</v>
      </c>
      <c r="F11" t="s">
        <v>1157</v>
      </c>
      <c r="G11" t="s">
        <v>1158</v>
      </c>
      <c r="H11" t="s">
        <v>1083</v>
      </c>
      <c r="I11" t="s">
        <v>1083</v>
      </c>
      <c r="J11" t="s">
        <v>1090</v>
      </c>
      <c r="K11" t="s">
        <v>1091</v>
      </c>
      <c r="L11" t="s">
        <v>956</v>
      </c>
      <c r="M11" t="s">
        <v>1159</v>
      </c>
      <c r="N11" t="s">
        <v>1167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952</v>
      </c>
      <c r="C12" t="s">
        <v>952</v>
      </c>
      <c r="F12" t="s">
        <v>952</v>
      </c>
      <c r="H12" t="s">
        <v>952</v>
      </c>
      <c r="I12" t="s">
        <v>952</v>
      </c>
      <c r="K12" t="s">
        <v>952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952</v>
      </c>
      <c r="C13" t="s">
        <v>952</v>
      </c>
      <c r="F13" t="s">
        <v>952</v>
      </c>
      <c r="H13" t="s">
        <v>952</v>
      </c>
      <c r="I13" t="s">
        <v>952</v>
      </c>
      <c r="K13" t="s">
        <v>952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2020-05-06T19:02:57Z</dcterms:modified>
</cp:coreProperties>
</file>