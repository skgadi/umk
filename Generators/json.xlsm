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mk\Generators\"/>
    </mc:Choice>
  </mc:AlternateContent>
  <xr:revisionPtr revIDLastSave="0" documentId="13_ncr:1_{EE9FDB6F-53C7-4D0A-AB3D-AFC23E562E53}" xr6:coauthVersionLast="46" xr6:coauthVersionMax="46" xr10:uidLastSave="{00000000-0000-0000-0000-000000000000}"/>
  <bookViews>
    <workbookView xWindow="-108" yWindow="-108" windowWidth="23256" windowHeight="12576" firstSheet="8" activeTab="8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-prev" sheetId="18" r:id="rId15"/>
    <sheet name="int" sheetId="20" r:id="rId16"/>
    <sheet name="constsNvars" sheetId="16" r:id="rId17"/>
    <sheet name="themes" sheetId="17" r:id="rId18"/>
    <sheet name="settings" sheetId="19" r:id="rId19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0" l="1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2" i="20"/>
  <c r="K136" i="10"/>
  <c r="L136" i="10"/>
  <c r="K137" i="10"/>
  <c r="L137" i="10"/>
  <c r="G1" i="20" l="1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3" i="19"/>
  <c r="D4" i="19"/>
  <c r="D5" i="19"/>
  <c r="D6" i="19"/>
  <c r="D7" i="19"/>
  <c r="D8" i="19"/>
  <c r="D9" i="19"/>
  <c r="D10" i="19"/>
  <c r="D11" i="19"/>
  <c r="D12" i="19"/>
  <c r="D2" i="19"/>
  <c r="E1" i="19" l="1"/>
  <c r="I26" i="11"/>
  <c r="J26" i="11"/>
  <c r="K26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K251" i="10"/>
  <c r="L251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4" i="10" l="1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25" i="11"/>
  <c r="J25" i="11"/>
  <c r="K25" i="11"/>
  <c r="I27" i="11"/>
  <c r="J27" i="11"/>
  <c r="K27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K163" i="10"/>
  <c r="L163" i="10"/>
  <c r="E3" i="16" l="1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H1" i="16" s="1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10" i="13" l="1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M3" i="13" s="1"/>
  <c r="F3" i="13"/>
  <c r="E4" i="13"/>
  <c r="M4" i="13" s="1"/>
  <c r="F4" i="13"/>
  <c r="E5" i="13"/>
  <c r="M5" i="13" s="1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M2" i="13" s="1"/>
  <c r="L1" i="13" l="1"/>
  <c r="J3" i="11"/>
  <c r="I3" i="11"/>
  <c r="L1" i="10" l="1"/>
  <c r="K1" i="10"/>
  <c r="J1" i="10" s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F3" i="8" l="1"/>
  <c r="F4" i="8"/>
  <c r="F5" i="8"/>
  <c r="F6" i="8"/>
  <c r="F7" i="8"/>
  <c r="F8" i="8"/>
  <c r="F2" i="8"/>
  <c r="G1" i="8" s="1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H1" i="7" s="1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2" i="1"/>
  <c r="E3" i="1"/>
  <c r="E4" i="1" s="1"/>
  <c r="E5" i="1" s="1"/>
  <c r="E6" i="1" s="1"/>
  <c r="E7" i="1" s="1"/>
  <c r="E8" i="1" s="1"/>
  <c r="E9" i="1" s="1"/>
  <c r="E10" i="1" s="1"/>
  <c r="E11" i="1" s="1"/>
  <c r="G3" i="1" l="1"/>
  <c r="I3" i="1" s="1"/>
  <c r="G4" i="1" l="1"/>
  <c r="I4" i="1" l="1"/>
  <c r="G5" i="1"/>
  <c r="G6" i="1" l="1"/>
  <c r="I5" i="1"/>
  <c r="G7" i="1" l="1"/>
  <c r="I6" i="1"/>
  <c r="G8" i="1" l="1"/>
  <c r="I7" i="1"/>
  <c r="G9" i="1" l="1"/>
  <c r="I8" i="1"/>
  <c r="G10" i="1" l="1"/>
  <c r="I9" i="1"/>
  <c r="G11" i="1" l="1"/>
  <c r="I11" i="1" s="1"/>
  <c r="J1" i="1" s="1"/>
  <c r="I10" i="1"/>
</calcChain>
</file>

<file path=xl/sharedStrings.xml><?xml version="1.0" encoding="utf-8"?>
<sst xmlns="http://schemas.openxmlformats.org/spreadsheetml/2006/main" count="3256" uniqueCount="2236">
  <si>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</si>
  <si>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</si>
  <si>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</si>
  <si>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</si>
  <si>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</si>
  <si>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</si>
  <si>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</si>
  <si>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</si>
  <si>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</si>
  <si>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</si>
  <si>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</si>
  <si>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</si>
  <si>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</si>
  <si>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</si>
  <si>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</si>
  <si>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</si>
  <si>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</si>
  <si>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</si>
  <si>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</si>
  <si>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</si>
  <si>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</si>
  <si>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</si>
  <si>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</si>
  <si>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</si>
  <si>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</si>
  <si>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</si>
  <si>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</si>
  <si>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</si>
  <si>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</si>
  <si>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</si>
  <si>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</si>
  <si>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</si>
  <si>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</si>
  <si>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</si>
  <si>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</si>
  <si>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</si>
  <si>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</si>
  <si>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</si>
  <si>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</si>
  <si>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</si>
  <si>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</si>
  <si>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</si>
  <si>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</si>
  <si>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</si>
  <si>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</si>
  <si>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</si>
  <si>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</si>
  <si>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</si>
  <si>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</si>
  <si>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</si>
  <si>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</si>
  <si>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</si>
  <si>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</si>
  <si>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</si>
  <si>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</si>
  <si>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</si>
  <si>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</si>
  <si>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</si>
  <si>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</si>
  <si>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</si>
  <si>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</si>
  <si>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</si>
  <si>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</si>
  <si>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</si>
  <si>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</si>
  <si>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</si>
  <si>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</si>
  <si>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</si>
  <si>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</si>
  <si>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</si>
  <si>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</si>
  <si>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</si>
  <si>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</si>
  <si>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</si>
  <si>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</si>
  <si>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</si>
  <si>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</si>
  <si>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</si>
  <si>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</si>
  <si>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</si>
  <si>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</si>
  <si>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</si>
  <si>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</si>
  <si>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</si>
  <si>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</si>
  <si>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</si>
  <si>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</si>
  <si>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</si>
  <si>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</si>
  <si>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</si>
  <si>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</si>
  <si>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</si>
  <si>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</si>
  <si>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</si>
  <si>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</si>
  <si>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</si>
  <si>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</si>
  <si>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</si>
  <si>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</si>
  <si>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</si>
  <si>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</si>
  <si>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</si>
  <si>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</si>
  <si>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</si>
  <si>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</si>
  <si>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</si>
  <si>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</si>
  <si>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</si>
  <si>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</si>
  <si>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</si>
  <si>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</si>
  <si>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</si>
  <si>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</si>
  <si>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</si>
  <si>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</si>
  <si>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</si>
  <si>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</si>
  <si>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</si>
  <si>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</si>
  <si>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</si>
  <si>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</si>
  <si>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</si>
  <si>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</si>
  <si>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</si>
  <si>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</si>
  <si>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</si>
  <si>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</si>
  <si>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</si>
  <si>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</si>
  <si>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</si>
  <si>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</si>
  <si>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</si>
  <si>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</si>
  <si>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</si>
  <si>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</si>
  <si>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</si>
  <si>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</si>
  <si>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</si>
  <si>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</si>
  <si>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</si>
  <si>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</si>
  <si>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</si>
  <si>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</si>
  <si>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</si>
  <si>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</si>
  <si>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</si>
  <si>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</si>
  <si>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</si>
  <si>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</si>
  <si>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</si>
  <si>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</si>
  <si>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</si>
  <si>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</si>
  <si>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</si>
  <si>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</si>
  <si>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</si>
  <si>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</si>
  <si>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</si>
  <si>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</si>
  <si>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</si>
  <si>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</si>
  <si>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</si>
  <si>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</si>
  <si>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</si>
  <si>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</si>
  <si>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</si>
  <si>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</si>
  <si>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</si>
  <si>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</si>
  <si>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</si>
  <si>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</si>
  <si>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</si>
  <si>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</si>
  <si>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</si>
  <si>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</si>
  <si>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</si>
  <si>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</si>
  <si>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</si>
  <si>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</si>
  <si>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</si>
  <si>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</si>
  <si>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</si>
  <si>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</si>
  <si>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</si>
  <si>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</si>
  <si>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</si>
  <si>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</si>
  <si>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</si>
  <si>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</si>
  <si>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</si>
  <si>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</si>
  <si>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</si>
  <si>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</si>
  <si>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</si>
  <si>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</si>
  <si>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</si>
  <si>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</si>
  <si>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</si>
  <si>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</si>
  <si>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</si>
  <si>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</si>
  <si>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</si>
  <si>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</si>
  <si>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</si>
  <si>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</si>
  <si>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</si>
  <si>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</si>
  <si>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</si>
  <si>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</si>
  <si>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</si>
  <si>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</si>
  <si>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</si>
  <si>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</si>
  <si>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</si>
  <si>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</si>
  <si>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</si>
  <si>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</si>
  <si>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</si>
  <si>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</si>
  <si>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</si>
  <si>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</si>
  <si>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</si>
  <si>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</si>
  <si>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</si>
  <si>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</si>
  <si>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</si>
  <si>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</si>
  <si>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</si>
  <si>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</si>
  <si>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</si>
  <si>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</si>
  <si>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</si>
  <si>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</si>
  <si>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</si>
  <si>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</si>
  <si>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</si>
  <si>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</si>
  <si>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</si>
  <si>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</si>
  <si>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</si>
  <si>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</si>
  <si>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</si>
  <si>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</si>
  <si>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</si>
  <si>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</si>
  <si>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</si>
  <si>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</si>
  <si>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</si>
  <si>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</si>
  <si>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</si>
  <si>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</si>
  <si>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</si>
  <si>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</si>
  <si>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</si>
  <si>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</si>
  <si>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</si>
  <si>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</si>
  <si>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</si>
  <si>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</si>
  <si>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</si>
  <si>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</si>
  <si>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</si>
  <si>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</si>
  <si>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</si>
  <si>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</si>
  <si>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</si>
  <si>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</si>
  <si>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</si>
  <si>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</si>
  <si>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</si>
  <si>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</si>
  <si>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</si>
  <si>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</si>
  <si>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</si>
  <si>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</si>
  <si>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</si>
  <si>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</si>
  <si>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</si>
  <si>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</si>
  <si>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</si>
  <si>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</si>
  <si>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</si>
  <si>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</si>
  <si>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</si>
  <si>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</si>
  <si>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</si>
  <si>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</si>
  <si>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</si>
  <si>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</si>
  <si>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</si>
  <si>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</si>
  <si>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</si>
  <si>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</si>
  <si>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</si>
  <si>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</si>
  <si>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</si>
  <si>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</si>
  <si>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</si>
  <si>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</si>
  <si>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</si>
  <si>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</si>
  <si>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</si>
  <si>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</si>
  <si>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</si>
  <si>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</si>
  <si>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</si>
  <si>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</si>
  <si>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</si>
  <si>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</si>
  <si>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</si>
  <si>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</si>
  <si>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</si>
  <si>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</si>
  <si>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</si>
  <si>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</si>
  <si>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</si>
  <si>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</si>
  <si>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</si>
  <si>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</si>
  <si>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</si>
  <si>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</si>
  <si>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</si>
  <si>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</si>
  <si>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</si>
  <si>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</si>
  <si>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</si>
  <si>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</si>
  <si>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</si>
  <si>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</si>
  <si>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</si>
  <si>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</si>
  <si>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</si>
  <si>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</si>
  <si>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</si>
  <si>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</si>
  <si>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</si>
  <si>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</si>
  <si>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</si>
  <si>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</si>
  <si>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</si>
  <si>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</si>
  <si>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</si>
  <si>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</si>
  <si>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</si>
  <si>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</si>
  <si>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</si>
  <si>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</si>
  <si>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</si>
  <si>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</si>
  <si>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</si>
  <si>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</si>
  <si>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</si>
  <si>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</si>
  <si>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</si>
  <si>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</si>
  <si>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</si>
  <si>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</si>
  <si>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</si>
  <si>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</si>
  <si>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</si>
  <si>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</si>
  <si>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</si>
  <si>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</si>
  <si>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</si>
  <si>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</si>
  <si>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</si>
  <si>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</si>
  <si>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</si>
  <si>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</si>
  <si>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</si>
  <si>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</si>
  <si>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</si>
  <si>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</si>
  <si>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</si>
  <si>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</si>
  <si>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</si>
  <si>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</si>
  <si>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</si>
  <si>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</si>
  <si>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</si>
  <si>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</si>
  <si>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</si>
  <si>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</si>
  <si>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</si>
  <si>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</si>
  <si>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</si>
  <si>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</si>
  <si>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</si>
  <si>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</si>
  <si>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</si>
  <si>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</si>
  <si>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</si>
  <si>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</si>
  <si>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</si>
  <si>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</si>
  <si>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</si>
  <si>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</si>
  <si>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</si>
  <si>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</si>
  <si>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</si>
  <si>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</si>
  <si>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</si>
  <si>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</si>
  <si>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</si>
  <si>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</si>
  <si>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</si>
  <si>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</si>
  <si>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</si>
  <si>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</si>
  <si>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</si>
  <si>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</si>
  <si>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</si>
  <si>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</si>
  <si>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</si>
  <si>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</si>
  <si>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</si>
  <si>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</si>
  <si>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</si>
  <si>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</si>
  <si>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</si>
  <si>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</si>
  <si>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</si>
  <si>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</si>
  <si>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</si>
  <si>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</si>
  <si>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</si>
  <si>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</si>
  <si>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</si>
  <si>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</si>
  <si>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</si>
  <si>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</si>
  <si>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</si>
  <si>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</si>
  <si>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</si>
  <si>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</si>
  <si>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</si>
  <si>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</si>
  <si>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</si>
  <si>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</si>
  <si>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</si>
  <si>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</si>
  <si>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</si>
  <si>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</si>
  <si>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</si>
  <si>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</si>
  <si>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</si>
  <si>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</si>
  <si>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</si>
  <si>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</si>
  <si>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</si>
  <si>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</si>
  <si>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</si>
  <si>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</si>
  <si>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</si>
  <si>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</si>
  <si>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</si>
  <si>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</si>
  <si>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</si>
  <si>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</si>
  <si>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</si>
  <si>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</si>
  <si>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</si>
  <si>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</si>
  <si>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</si>
  <si>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</si>
  <si>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</si>
  <si>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</si>
  <si>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</si>
  <si>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</si>
  <si>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</si>
  <si>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</si>
  <si>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</si>
  <si>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</si>
  <si>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</si>
  <si>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</si>
  <si>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</si>
  <si>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</si>
  <si>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</si>
  <si>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</si>
  <si>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</si>
  <si>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</si>
  <si>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</si>
  <si>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</si>
  <si>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</si>
  <si>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</si>
  <si>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</si>
  <si>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</si>
  <si>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</si>
  <si>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</si>
  <si>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</si>
  <si>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</si>
  <si>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</si>
  <si>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</si>
  <si>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</si>
  <si>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</si>
  <si>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</si>
  <si>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</si>
  <si>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</si>
  <si>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</si>
  <si>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</si>
  <si>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</si>
  <si>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</si>
  <si>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</si>
  <si>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</si>
  <si>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</si>
  <si>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</si>
  <si>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</si>
  <si>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</si>
  <si>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</si>
  <si>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</si>
  <si>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</si>
  <si>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</si>
  <si>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</si>
  <si>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</si>
  <si>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</si>
  <si>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</si>
  <si>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</si>
  <si>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</si>
  <si>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</si>
  <si>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</si>
  <si>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</si>
  <si>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</si>
  <si>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</si>
  <si>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</si>
  <si>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</si>
  <si>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</si>
  <si>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</si>
  <si>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</si>
  <si>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</si>
  <si>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</si>
  <si>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</si>
  <si>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</si>
  <si>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</si>
  <si>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</si>
  <si>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</si>
  <si>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</si>
  <si>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</si>
  <si>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</si>
  <si>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</si>
  <si>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</si>
  <si>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</si>
  <si>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</si>
  <si>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</si>
  <si>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</si>
  <si>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</si>
  <si>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</si>
  <si>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</si>
  <si>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</si>
  <si>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</si>
  <si>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</si>
  <si>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</si>
  <si>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</si>
  <si>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</si>
  <si>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</si>
  <si>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</si>
  <si>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</si>
  <si>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</si>
  <si>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</si>
  <si>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</si>
  <si>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</si>
  <si>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</si>
  <si>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</si>
  <si>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</si>
  <si>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</si>
  <si>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</si>
  <si>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</si>
  <si>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</si>
  <si>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</si>
  <si>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</si>
  <si>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</si>
  <si>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</si>
  <si>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</si>
  <si>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</si>
  <si>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</si>
  <si>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</si>
  <si>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</si>
  <si>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</si>
  <si>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</si>
  <si>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</si>
  <si>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</si>
  <si>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</si>
  <si>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</si>
  <si>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</si>
  <si>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</si>
  <si>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</si>
  <si>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</si>
  <si>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</si>
  <si>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</si>
  <si>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</si>
  <si>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</si>
  <si>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</si>
  <si>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</si>
  <si>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</si>
  <si>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</si>
  <si>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</si>
  <si>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</si>
  <si>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</si>
  <si>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</si>
  <si>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</si>
  <si>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</si>
  <si>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</si>
  <si>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</si>
  <si>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</si>
  <si>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</si>
  <si>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</si>
  <si>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</si>
  <si>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</si>
  <si>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</si>
  <si>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</si>
  <si>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</si>
  <si>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</si>
  <si>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</si>
  <si>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</si>
  <si>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</si>
  <si>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</si>
  <si>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</si>
  <si>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</si>
  <si>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</si>
  <si>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</si>
  <si>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</si>
  <si>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</si>
  <si>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</si>
  <si>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</si>
  <si>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</si>
  <si>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</si>
  <si>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</si>
  <si>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</si>
  <si>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</si>
  <si>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</si>
  <si>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</si>
  <si>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</si>
  <si>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</si>
  <si>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</si>
  <si>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</si>
  <si>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</si>
  <si>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</si>
  <si>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</si>
  <si>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</si>
  <si>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</si>
  <si>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</si>
  <si>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</si>
  <si>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</si>
  <si>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</si>
  <si>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</si>
  <si>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</si>
  <si>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</si>
  <si>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</si>
  <si>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</si>
  <si>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</si>
  <si>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</si>
  <si>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</si>
  <si>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</si>
  <si>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</si>
  <si>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</si>
  <si>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</si>
  <si>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</si>
  <si>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</si>
  <si>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</si>
  <si>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</si>
  <si>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</si>
  <si>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</si>
  <si>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</si>
  <si>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</si>
  <si>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</si>
  <si>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</si>
  <si>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</si>
  <si>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</si>
  <si>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</si>
  <si>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</si>
  <si>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</si>
  <si>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</si>
  <si>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</si>
  <si>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</si>
  <si>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</si>
  <si>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</si>
  <si>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</si>
  <si>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</si>
  <si>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</si>
  <si>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</si>
  <si>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</si>
  <si>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</si>
  <si>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</si>
  <si>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</si>
  <si>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</si>
  <si>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</si>
  <si>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</si>
  <si>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</si>
  <si>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</si>
  <si>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</si>
  <si>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</si>
  <si>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</si>
  <si>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</si>
  <si>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</si>
  <si>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</si>
  <si>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</si>
  <si>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</si>
  <si>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</si>
  <si>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</si>
  <si>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</si>
  <si>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</si>
  <si>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</si>
  <si>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</si>
  <si>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</si>
  <si>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</si>
  <si>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</si>
  <si>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</si>
  <si>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</si>
  <si>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</si>
  <si>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</si>
  <si>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</si>
  <si>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</si>
  <si>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</si>
  <si>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</si>
  <si>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</si>
  <si>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</si>
  <si>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</si>
  <si>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</si>
  <si>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</si>
  <si>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</si>
  <si>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</si>
  <si>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</si>
  <si>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</si>
  <si>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</si>
  <si>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</si>
  <si>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</si>
  <si>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</si>
  <si>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</si>
  <si>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</si>
  <si>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</si>
  <si>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</si>
  <si>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</si>
  <si>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</si>
  <si>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</si>
  <si>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</si>
  <si>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</si>
  <si>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</si>
  <si>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</si>
  <si>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</si>
  <si>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</si>
  <si>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</si>
  <si>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</si>
  <si>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</si>
  <si>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</si>
  <si>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</si>
  <si>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</si>
  <si>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</si>
  <si>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</si>
  <si>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</si>
  <si>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</si>
  <si>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</si>
  <si>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</si>
  <si>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</si>
  <si>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</si>
  <si>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</si>
  <si>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</si>
  <si>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</si>
  <si>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</si>
  <si>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</si>
  <si>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</si>
  <si>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</si>
  <si>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</si>
  <si>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</si>
  <si>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</si>
  <si>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</si>
  <si>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</si>
  <si>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</si>
  <si>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</si>
  <si>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</si>
  <si>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</si>
  <si>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</si>
  <si>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</si>
  <si>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</si>
  <si>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</si>
  <si>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</si>
  <si>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</si>
  <si>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</si>
  <si>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</si>
  <si>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</si>
  <si>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</si>
  <si>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</si>
  <si>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</si>
  <si>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</si>
  <si>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</si>
  <si>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</si>
  <si>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</si>
  <si>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</si>
  <si>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</si>
  <si>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</si>
  <si>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</si>
  <si>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Accept</t>
  </si>
  <si>
    <t>We use cookies to improve the performance.</t>
  </si>
  <si>
    <t>Utilizamos cookies para mejorar el rendimiento.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</si>
  <si>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</si>
  <si>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</si>
  <si>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</si>
  <si>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</si>
  <si>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</si>
  <si>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</si>
  <si>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</si>
  <si>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</si>
  <si>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</si>
  <si>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</si>
  <si>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</si>
  <si>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</si>
  <si>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</si>
  <si>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</si>
  <si>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</si>
  <si>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</si>
  <si>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</si>
  <si>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</si>
  <si>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</si>
  <si>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</si>
  <si>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</si>
  <si>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</si>
  <si>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</si>
  <si>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</si>
  <si>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</si>
  <si>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</si>
  <si>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</si>
  <si>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</si>
  <si>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</si>
  <si>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</si>
  <si>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</si>
  <si>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</si>
  <si>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</si>
  <si>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</si>
  <si>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</si>
  <si>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</si>
  <si>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</si>
  <si>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</si>
  <si>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</si>
  <si>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</si>
  <si>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</si>
  <si>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</si>
  <si>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</si>
  <si>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</si>
  <si>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</si>
  <si>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</si>
  <si>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</si>
  <si>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</si>
  <si>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</si>
  <si>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</si>
  <si>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</si>
  <si>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</si>
  <si>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</si>
  <si>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</si>
  <si>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</si>
  <si>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</si>
  <si>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</si>
  <si>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</si>
  <si>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</si>
  <si>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</si>
  <si>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</si>
  <si>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</si>
  <si>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</si>
  <si>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</si>
  <si>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</si>
  <si>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</si>
  <si>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</si>
  <si>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</si>
  <si>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</si>
  <si>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</si>
  <si>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</si>
  <si>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</si>
  <si>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</si>
  <si>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</si>
  <si>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</si>
  <si>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</si>
  <si>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</si>
  <si>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</si>
  <si>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</si>
  <si>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</si>
  <si>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</si>
  <si>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</si>
  <si>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</si>
  <si>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</si>
  <si>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</si>
  <si>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</si>
  <si>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</si>
  <si>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</si>
  <si>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</si>
  <si>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</si>
  <si>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</si>
  <si>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</si>
  <si>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</si>
  <si>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</si>
  <si>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</si>
  <si>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</si>
  <si>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</si>
  <si>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</si>
  <si>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</si>
  <si>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</si>
  <si>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</si>
  <si>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</si>
  <si>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</si>
  <si>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</si>
  <si>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</si>
  <si>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</si>
  <si>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</si>
  <si>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</si>
  <si>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</si>
  <si>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</si>
  <si>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</si>
  <si>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</si>
  <si>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</si>
  <si>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</si>
  <si>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</si>
  <si>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</si>
  <si>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</si>
  <si>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</si>
  <si>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</si>
  <si>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</si>
  <si>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</si>
  <si>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</si>
  <si>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</si>
  <si>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</si>
  <si>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</si>
  <si>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</si>
  <si>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dark</t>
  </si>
  <si>
    <t>JS</t>
  </si>
  <si>
    <t>CSS</t>
  </si>
  <si>
    <t>light</t>
  </si>
  <si>
    <t>umk_1586738484106</t>
  </si>
  <si>
    <t>graph display output salida grafica</t>
  </si>
  <si>
    <t>Scope</t>
  </si>
  <si>
    <t>Scopio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</si>
  <si>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</si>
  <si>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</si>
  <si>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</si>
  <si>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</si>
  <si>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</si>
  <si>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</si>
  <si>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</si>
  <si>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</si>
  <si>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</si>
  <si>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</si>
  <si>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</si>
  <si>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</si>
  <si>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</si>
  <si>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</si>
  <si>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</si>
  <si>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</si>
  <si>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</si>
  <si>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</si>
  <si>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</si>
  <si>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</si>
  <si>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</si>
  <si>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</si>
  <si>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</si>
  <si>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</si>
  <si>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</si>
  <si>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</si>
  <si>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</si>
  <si>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</si>
  <si>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</si>
  <si>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</si>
  <si>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</si>
  <si>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</si>
  <si>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</si>
  <si>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</si>
  <si>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</si>
  <si>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</si>
  <si>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</si>
  <si>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</si>
  <si>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</si>
  <si>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</si>
  <si>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</si>
  <si>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</si>
  <si>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</si>
  <si>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</si>
  <si>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</si>
  <si>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</si>
  <si>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</si>
  <si>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</si>
  <si>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</si>
  <si>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</si>
  <si>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</si>
  <si>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</si>
  <si>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</si>
  <si>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</si>
  <si>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</si>
  <si>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</si>
  <si>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</si>
  <si>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</si>
  <si>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</si>
  <si>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</si>
  <si>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</si>
  <si>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</si>
  <si>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</si>
  <si>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</si>
  <si>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</si>
  <si>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</si>
  <si>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</si>
  <si>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</si>
  <si>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</si>
  <si>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</si>
  <si>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</si>
  <si>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</si>
  <si>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</si>
  <si>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</si>
  <si>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</si>
  <si>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</si>
  <si>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</si>
  <si>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</si>
  <si>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</si>
  <si>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</si>
  <si>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</si>
  <si>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</si>
  <si>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</si>
  <si>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</si>
  <si>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</si>
  <si>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</si>
  <si>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</si>
  <si>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</si>
  <si>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</si>
  <si>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</si>
  <si>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</si>
  <si>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</si>
  <si>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</si>
  <si>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</si>
  <si>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</si>
  <si>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</si>
  <si>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</si>
  <si>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</si>
  <si>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</si>
  <si>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</si>
  <si>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</si>
  <si>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</si>
  <si>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</si>
  <si>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</si>
  <si>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</si>
  <si>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</si>
  <si>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</si>
  <si>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</si>
  <si>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</si>
  <si>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</si>
  <si>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</si>
  <si>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</si>
  <si>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</si>
  <si>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</si>
  <si>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</si>
  <si>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</si>
  <si>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</si>
  <si>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</si>
  <si>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</si>
  <si>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</si>
  <si>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</si>
  <si>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</si>
  <si>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</si>
  <si>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</si>
  <si>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</si>
  <si>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</si>
  <si>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</si>
  <si>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</si>
  <si>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</si>
  <si>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</si>
  <si>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</si>
  <si>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</si>
  <si>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</si>
  <si>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</si>
  <si>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</si>
  <si>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</si>
  <si>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</si>
  <si>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</si>
  <si>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</si>
  <si>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</si>
  <si>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</si>
  <si>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</si>
  <si>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</si>
  <si>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</si>
  <si>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</si>
  <si>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</si>
  <si>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</si>
  <si>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</si>
  <si>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</si>
  <si>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</si>
  <si>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</si>
  <si>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</si>
  <si>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</si>
  <si>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</si>
  <si>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</si>
  <si>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</si>
  <si>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</si>
  <si>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</si>
  <si>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</si>
  <si>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</si>
  <si>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</si>
  <si>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</si>
  <si>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</si>
  <si>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</si>
  <si>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</si>
  <si>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</si>
  <si>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</si>
  <si>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</si>
  <si>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</si>
  <si>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</si>
  <si>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</si>
  <si>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</si>
  <si>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</si>
  <si>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</si>
  <si>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</si>
  <si>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</si>
  <si>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</si>
  <si>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</si>
  <si>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</si>
  <si>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</si>
  <si>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</si>
  <si>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</si>
  <si>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</si>
  <si>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</si>
  <si>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</si>
  <si>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</si>
  <si>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</si>
  <si>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</si>
  <si>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</si>
  <si>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</si>
  <si>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</si>
  <si>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</si>
  <si>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</si>
  <si>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</si>
  <si>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</si>
  <si>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</si>
  <si>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</si>
  <si>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</si>
  <si>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</si>
  <si>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</si>
  <si>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</si>
  <si>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</si>
  <si>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</si>
  <si>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</si>
  <si>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</si>
  <si>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</si>
  <si>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</si>
  <si>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</si>
  <si>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</si>
  <si>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</si>
  <si>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</si>
  <si>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</si>
  <si>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</si>
  <si>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</si>
  <si>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</si>
  <si>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</si>
  <si>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</si>
  <si>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</si>
  <si>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</si>
  <si>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</si>
  <si>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</si>
  <si>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</si>
  <si>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</si>
  <si>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</si>
  <si>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</si>
  <si>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</si>
  <si>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</si>
  <si>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</si>
  <si>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</si>
  <si>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</si>
  <si>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</si>
  <si>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</si>
  <si>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</si>
  <si>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</si>
  <si>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</si>
  <si>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</si>
  <si>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</si>
  <si>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</si>
  <si>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</si>
  <si>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</si>
  <si>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</si>
  <si>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</si>
  <si>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</si>
  <si>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</si>
  <si>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</si>
  <si>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</si>
  <si>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</si>
  <si>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</si>
  <si>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</si>
  <si>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</si>
  <si>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</si>
  <si>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</si>
  <si>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</si>
  <si>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</si>
  <si>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</si>
  <si>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</si>
  <si>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</si>
  <si>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</si>
  <si>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</si>
  <si>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</si>
  <si>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</si>
  <si>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</si>
  <si>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</si>
  <si>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</si>
  <si>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</si>
  <si>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</si>
  <si>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</si>
  <si>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</si>
  <si>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</si>
  <si>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</si>
  <si>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</si>
  <si>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</si>
  <si>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</si>
  <si>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</si>
  <si>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</si>
  <si>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</si>
  <si>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</si>
  <si>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</si>
  <si>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</si>
  <si>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</si>
  <si>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</si>
  <si>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</si>
  <si>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</si>
  <si>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</si>
  <si>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</si>
  <si>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</si>
  <si>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</si>
  <si>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</si>
  <si>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</si>
  <si>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</si>
  <si>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</si>
  <si>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</si>
  <si>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</si>
  <si>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</si>
  <si>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</si>
  <si>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</si>
  <si>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</si>
  <si>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</si>
  <si>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</si>
  <si>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</si>
  <si>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</si>
  <si>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</si>
  <si>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</si>
  <si>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</si>
  <si>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</si>
  <si>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</si>
  <si>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</si>
  <si>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</si>
  <si>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</si>
  <si>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</si>
  <si>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</si>
  <si>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</si>
  <si>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</si>
  <si>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</si>
  <si>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</si>
  <si>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</si>
  <si>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</si>
  <si>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</si>
  <si>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</si>
  <si>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</si>
  <si>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</si>
  <si>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</si>
  <si>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</si>
  <si>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</si>
  <si>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</si>
  <si>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</si>
  <si>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</si>
  <si>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</si>
  <si>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</si>
  <si>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</si>
  <si>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</si>
  <si>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</si>
  <si>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</si>
  <si>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</si>
  <si>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</si>
  <si>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</si>
  <si>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</si>
  <si>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</si>
  <si>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</si>
  <si>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</si>
  <si>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</si>
  <si>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</si>
  <si>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</si>
  <si>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</si>
  <si>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</si>
  <si>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</si>
  <si>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</si>
  <si>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</si>
  <si>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</si>
  <si>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</si>
  <si>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</si>
  <si>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</si>
  <si>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</si>
  <si>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</si>
  <si>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</si>
  <si>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</si>
  <si>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</si>
  <si>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</si>
  <si>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</si>
  <si>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</si>
  <si>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</si>
  <si>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</si>
  <si>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</si>
  <si>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</si>
  <si>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</si>
  <si>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</si>
  <si>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</si>
  <si>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y1='10' x2= '90' y2='10'/&gt;&lt;line x1='10' y1='90' x2= '90' y2='90'/&gt;&lt;g stroke-width='2'&gt;&lt;path d='M 20 50 L 70 50 L 70 15 M 75 25 L 70 15 L 65 25'/&gt;&lt;/g&gt;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</si>
  <si>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</si>
  <si>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</si>
  <si>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</si>
  <si>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</si>
  <si>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</si>
  <si>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</si>
  <si>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</si>
  <si>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</si>
  <si>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N-th root(s)</t>
  </si>
  <si>
    <t>Obtains N-th root of the input which  gets N outputs</t>
  </si>
  <si>
    <t>Sign</t>
  </si>
  <si>
    <t>Square root</t>
  </si>
  <si>
    <t>Round</t>
  </si>
  <si>
    <t>Mod base n</t>
  </si>
  <si>
    <t>Mod base u</t>
  </si>
  <si>
    <t>Log plus 1 base n</t>
  </si>
  <si>
    <t>Ln</t>
  </si>
  <si>
    <t>Log base 10</t>
  </si>
  <si>
    <t>Log base n</t>
  </si>
  <si>
    <t>LCM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</si>
  <si>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</si>
  <si>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</si>
  <si>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</si>
  <si>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</si>
  <si>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</si>
  <si>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</si>
  <si>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</si>
  <si>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</si>
  <si>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</si>
  <si>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</si>
  <si>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</si>
  <si>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</si>
  <si>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</si>
  <si>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</si>
  <si>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</si>
  <si>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</si>
  <si>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</si>
  <si>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</si>
  <si>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</si>
  <si>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</si>
  <si>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</si>
  <si>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</si>
  <si>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</si>
  <si>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</si>
  <si>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</si>
  <si>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</si>
  <si>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</si>
  <si>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</si>
  <si>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</si>
  <si>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</si>
  <si>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</si>
  <si>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</si>
  <si>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</si>
  <si>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</si>
  <si>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</si>
  <si>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</si>
  <si>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</si>
  <si>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</si>
  <si>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</si>
  <si>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</si>
  <si>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</si>
  <si>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</si>
  <si>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</si>
  <si>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</si>
  <si>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</si>
  <si>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</si>
  <si>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</si>
  <si>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</si>
  <si>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</si>
  <si>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</si>
  <si>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</si>
  <si>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</si>
  <si>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</si>
  <si>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</si>
  <si>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</si>
  <si>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</si>
  <si>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</si>
  <si>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</si>
  <si>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</si>
  <si>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</si>
  <si>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</si>
  <si>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</si>
  <si>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</si>
  <si>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</si>
  <si>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</si>
  <si>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</si>
  <si>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</si>
  <si>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</si>
  <si>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</si>
  <si>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</si>
  <si>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</si>
  <si>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</si>
  <si>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</si>
  <si>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</si>
  <si>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</si>
  <si>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</si>
  <si>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</si>
  <si>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</si>
  <si>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</si>
  <si>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</si>
  <si>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</si>
  <si>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</si>
  <si>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</si>
  <si>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</si>
  <si>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</si>
  <si>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</si>
  <si>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</si>
  <si>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</si>
  <si>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</si>
  <si>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</si>
  <si>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</si>
  <si>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</si>
  <si>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</si>
  <si>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</si>
  <si>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</si>
  <si>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</si>
  <si>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</si>
  <si>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</si>
  <si>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</si>
  <si>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</si>
  <si>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</si>
  <si>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</si>
  <si>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</si>
  <si>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</si>
  <si>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</si>
  <si>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</si>
  <si>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</si>
  <si>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</si>
  <si>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</si>
  <si>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</si>
  <si>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</si>
  <si>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</si>
  <si>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</si>
  <si>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</si>
  <si>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</si>
  <si>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</si>
  <si>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</si>
  <si>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</si>
  <si>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</si>
  <si>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</si>
  <si>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</si>
  <si>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</si>
  <si>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</si>
  <si>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</si>
  <si>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</si>
  <si>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</si>
  <si>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</si>
  <si>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</si>
  <si>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</si>
  <si>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</si>
  <si>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</si>
  <si>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</si>
  <si>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</si>
  <si>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</si>
  <si>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</si>
  <si>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</si>
  <si>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</si>
  <si>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</si>
  <si>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</si>
  <si>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</si>
  <si>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</si>
  <si>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</si>
  <si>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</si>
  <si>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</si>
  <si>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</si>
  <si>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</si>
  <si>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</si>
  <si>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</si>
  <si>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</si>
  <si>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</si>
  <si>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</si>
  <si>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</si>
  <si>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</si>
  <si>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</si>
  <si>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</si>
  <si>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</si>
  <si>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</si>
  <si>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</si>
  <si>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</si>
  <si>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</si>
  <si>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</si>
  <si>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</si>
  <si>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</si>
  <si>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</si>
  <si>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</si>
  <si>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</si>
  <si>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</si>
  <si>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</si>
  <si>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</si>
  <si>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</si>
  <si>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</si>
  <si>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</si>
  <si>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</si>
  <si>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</si>
  <si>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</si>
  <si>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</si>
  <si>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</si>
  <si>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</si>
  <si>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</si>
  <si>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</si>
  <si>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</si>
  <si>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</si>
  <si>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</si>
  <si>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</si>
  <si>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</si>
  <si>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</si>
  <si>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</si>
  <si>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</si>
  <si>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</si>
  <si>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</si>
  <si>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</si>
  <si>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</si>
  <si>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</si>
  <si>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</si>
  <si>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</si>
  <si>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</si>
  <si>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</si>
  <si>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</si>
  <si>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</si>
  <si>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</si>
  <si>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</si>
  <si>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</si>
  <si>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</si>
  <si>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</si>
  <si>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</si>
  <si>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</si>
  <si>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</si>
  <si>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</si>
  <si>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</si>
  <si>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</si>
  <si>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</si>
  <si>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</si>
  <si>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</si>
  <si>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</si>
  <si>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</si>
  <si>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</si>
  <si>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</si>
  <si>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</si>
  <si>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</si>
  <si>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</si>
  <si>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</si>
  <si>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</si>
  <si>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</si>
  <si>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</si>
  <si>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</si>
  <si>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</si>
  <si>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</si>
  <si>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</si>
  <si>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</si>
  <si>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</si>
  <si>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</si>
  <si>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</si>
  <si>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</si>
  <si>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</si>
  <si>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</si>
  <si>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</si>
  <si>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</si>
  <si>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</si>
  <si>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</si>
  <si>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</si>
  <si>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</si>
  <si>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</si>
  <si>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</si>
  <si>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</si>
  <si>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</si>
  <si>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</si>
  <si>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</si>
  <si>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</si>
  <si>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</si>
  <si>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</si>
  <si>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</si>
  <si>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</si>
  <si>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</si>
  <si>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</si>
  <si>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</si>
  <si>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</si>
  <si>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</si>
  <si>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</si>
  <si>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</si>
  <si>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</si>
  <si>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</si>
  <si>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</si>
  <si>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</si>
  <si>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</si>
  <si>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</si>
  <si>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</si>
  <si>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</si>
  <si>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</si>
  <si>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</si>
  <si>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</si>
  <si>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</si>
  <si>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</si>
  <si>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</si>
  <si>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</si>
  <si>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</si>
  <si>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</si>
  <si>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</si>
  <si>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</si>
  <si>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</si>
  <si>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</si>
  <si>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</si>
  <si>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</si>
  <si>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</si>
  <si>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</si>
  <si>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</si>
  <si>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</si>
  <si>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</si>
  <si>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</si>
  <si>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</si>
  <si>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</si>
  <si>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</si>
  <si>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</si>
  <si>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</si>
  <si>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</si>
  <si>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</si>
  <si>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</si>
  <si>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</si>
  <si>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</si>
  <si>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</si>
  <si>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</si>
  <si>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</si>
  <si>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</si>
  <si>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</si>
  <si>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</si>
  <si>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</si>
  <si>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</si>
  <si>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</si>
  <si>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</si>
  <si>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</si>
  <si>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</si>
  <si>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</si>
  <si>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</si>
  <si>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</si>
  <si>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</si>
  <si>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</si>
  <si>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</si>
  <si>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</si>
  <si>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</si>
  <si>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</si>
  <si>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</si>
  <si>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</si>
  <si>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</si>
  <si>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</si>
  <si>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</si>
  <si>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</si>
  <si>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</si>
  <si>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</si>
  <si>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</si>
  <si>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</si>
  <si>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</si>
  <si>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</si>
  <si>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</si>
  <si>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</si>
  <si>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</si>
  <si>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</si>
  <si>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</si>
  <si>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</si>
  <si>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</si>
  <si>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</si>
  <si>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</si>
  <si>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</si>
  <si>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</si>
  <si>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</si>
  <si>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</si>
  <si>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</si>
  <si>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umk_1594989068293</t>
  </si>
  <si>
    <t>XY Scope</t>
  </si>
  <si>
    <t>Scopio XY</t>
  </si>
  <si>
    <t>Plots the input signal against the simulation time</t>
  </si>
  <si>
    <t>Traza la señal de entrada contra el tiempo de simulación.</t>
  </si>
  <si>
    <t>Plots the input signal against another input signal.</t>
  </si>
  <si>
    <t>Traza la señal de entrada contra otra señal de entrada.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</si>
  <si>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</t>
  </si>
  <si>
    <t>alertWIP()</t>
  </si>
  <si>
    <t>umk_1595491915152</t>
  </si>
  <si>
    <t>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</t>
  </si>
  <si>
    <t>umk_1595554572081</t>
  </si>
  <si>
    <t>Random</t>
  </si>
  <si>
    <t>Aleatoria</t>
  </si>
  <si>
    <t>Generates uniformly distributed random numbers</t>
  </si>
  <si>
    <t>Genera números aleatorios distribuidos uniformemente</t>
  </si>
  <si>
    <t>,"umk_1595554572081":{"icon":"&lt;polyline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90,38'/&gt;","bg":"","fg":"","width":48,"height":48,"keywords":"","category":["sources"],"name":{"en-us":"Random","es-mx":"Aleatoria"},"desc":{"en-us":"Generates uniformly distributed random numbers","es-mx":"Genera números aleatorios distribuidos uniformemente"}}</t>
  </si>
  <si>
    <t>umk_1595556058847</t>
  </si>
  <si>
    <t>6-DOF Robot</t>
  </si>
  <si>
    <t>A 6-DOF robot is shown whose position can be controlled</t>
  </si>
  <si>
    <t>Robot 6-GDL</t>
  </si>
  <si>
    <t>Se muestra un robot 6-GDL cuya posición se puede controlar</t>
  </si>
  <si>
    <t>Transpose</t>
  </si>
  <si>
    <t>Transposición</t>
  </si>
  <si>
    <t>Transposes the given matrix</t>
  </si>
  <si>
    <t>Transpone la matriz dada</t>
  </si>
  <si>
    <t>Determinant</t>
  </si>
  <si>
    <t>Determinante</t>
  </si>
  <si>
    <t>Calculates the determinant of the input matrix</t>
  </si>
  <si>
    <t>Calcula el determinante de la matriz de entrada.</t>
  </si>
  <si>
    <t>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</t>
  </si>
  <si>
    <t>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</t>
  </si>
  <si>
    <t>umk_1595700759570</t>
  </si>
  <si>
    <t>umk_1595700797066</t>
  </si>
  <si>
    <t>umk_1595700853173</t>
  </si>
  <si>
    <t>Split rows</t>
  </si>
  <si>
    <t>Split columns</t>
  </si>
  <si>
    <t>Separar filas</t>
  </si>
  <si>
    <t>Seperar columnas</t>
  </si>
  <si>
    <t>Splits the rows and each row is an output</t>
  </si>
  <si>
    <t>Separa las filas y cada fila es una salida</t>
  </si>
  <si>
    <t>Splits the columns and each column is an output</t>
  </si>
  <si>
    <t>Separa las columnas y cada columna es una salida</t>
  </si>
  <si>
    <t>,"umk_1595700797066":{"icon":"&lt;rect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y2='50'/&gt;","bg":"","fg":"","width":48,"height":48,"keywords":"","category":["mat"],"name":{"en-us":"Split rows","es-mx":"Separar filas"},"desc":{"en-us":"Splits the rows and each row is an output","es-mx":"Separa las filas y cada fila es una salida"}}</t>
  </si>
  <si>
    <t>,"umk_1595700853173":{"icon":"&lt;rect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y2='60'/&gt;","bg":"","fg":"","width":48,"height":48,"keywords":"","category":["mat"],"name":{"en-us":"Split columns","es-mx":"Seperar columnas"},"desc":{"en-us":"Splits the columns and each column is an output","es-mx":"Separa las columnas y cada columna es una salida"}}</t>
  </si>
  <si>
    <t>umk_1595703771325</t>
  </si>
  <si>
    <t>Hermitian transpose</t>
  </si>
  <si>
    <t>Devuelve la transposición conjugada de la matriz de entrada</t>
  </si>
  <si>
    <t>umk_1595704138594</t>
  </si>
  <si>
    <t>Inverse matrix</t>
  </si>
  <si>
    <t>Matriz inversa</t>
  </si>
  <si>
    <t>Returns conjugate transpose of the input matrix</t>
  </si>
  <si>
    <t>Returns inverse of the input matrix</t>
  </si>
  <si>
    <t>Devuelve el inverso de la matriz de entrada</t>
  </si>
  <si>
    <t>Kronecker product</t>
  </si>
  <si>
    <t>&lt;circle cx='50' cy='50' r='30'/&gt;&lt;path d='M30,30L70,70M30,70L70,30'/&gt;</t>
  </si>
  <si>
    <t>umk_1595704561540</t>
  </si>
  <si>
    <t>Producto Kronecker</t>
  </si>
  <si>
    <t>Returns kronecker product for the input matrices</t>
  </si>
  <si>
    <t>Devuelve el producto kronecker para las matrices de entrada</t>
  </si>
  <si>
    <t>umk_1595704782234</t>
  </si>
  <si>
    <t>Trace</t>
  </si>
  <si>
    <t>Traza</t>
  </si>
  <si>
    <t>Returns trace of the input matrix</t>
  </si>
  <si>
    <t>Devuelve el traza de la matriz de entrada</t>
  </si>
  <si>
    <t>,"umk_1595704561540":{"icon":"&lt;circle cx='50' cy='50' r='30'/&gt;&lt;path d='M30,30L70,70M30,70L70,30'/&gt;","bg":"","fg":"","width":48,"height":48,"keywords":"","category":["mat"],"name":{"en-us":"Kronecker product","es-mx":"Producto Kronecker"},"desc":{"en-us":"Returns kronecker product for the input matrices","es-mx":"Devuelve el producto kronecker para las matrices de entrada"}}</t>
  </si>
  <si>
    <t>Fijar</t>
  </si>
  <si>
    <t>,"umk_1585601356516":{"icon":"&lt;line x1='20' y1='50' x2='80' y2='50' /&gt;&lt;line x1='50' y1='20' x2='50' y2='80'/&gt;","bg":"#1595C8","fg":"#ffffff","width":48,"height":48,"keywords":"sum add addition summation sumar aggregar plus","category":["basics"],"name":{"en-us":"Sum","es-mx":"Suma"},"desc":{"en-us":"Adds two number, vectors, or matrices.","es-mx":"Agrega dos números, vectores o matrices."}}</t>
  </si>
  <si>
    <t>umk_1595887565612</t>
  </si>
  <si>
    <t>Differentiation</t>
  </si>
  <si>
    <t>Diferenciación</t>
  </si>
  <si>
    <t>Derivatives the input with respect to the simulation time.</t>
  </si>
  <si>
    <t>Deriva la entrada con respecto al tiempo de simulación.</t>
  </si>
  <si>
    <t>Donate</t>
  </si>
  <si>
    <t>fas fa-donate</t>
  </si>
  <si>
    <t>fab fa-patreon</t>
  </si>
  <si>
    <t>Be my Patreon</t>
  </si>
  <si>
    <t>Donate me on PayPal</t>
  </si>
  <si>
    <t>Shows different options how you can support me</t>
  </si>
  <si>
    <t>Be a Patreon member to show your support</t>
  </si>
  <si>
    <t>Make one-time or recurrent payment using the secured PayPal platform with a wide variety of payment options.</t>
  </si>
  <si>
    <t>Donar</t>
  </si>
  <si>
    <t>Doname en PayPal</t>
  </si>
  <si>
    <t>Ser mi Patreon</t>
  </si>
  <si>
    <t>Muestra diferentes opciones de cómo puedes apoyarme.</t>
  </si>
  <si>
    <t>Sea miembro de Patreon para mostrar su apoyo</t>
  </si>
  <si>
    <t>Realice un pago único o recurrente mediante la plataforma segura de PayPal con una amplia variedad de opciones de pago.</t>
  </si>
  <si>
    <t>window.open('https://www.patreon.com/skgadi','_blank');</t>
  </si>
  <si>
    <t>window.open('https://www.paypal.com/donate?hosted_button_id=SKRWAX2RLAB6S','_blank');</t>
  </si>
  <si>
    <t>fab fa-paypal</t>
  </si>
  <si>
    <t>Property</t>
  </si>
  <si>
    <t>const settings = {</t>
  </si>
  <si>
    <t>lang</t>
  </si>
  <si>
    <t>["en-us", "es-mx"].indexOf(possibleLang) &gt;= 0 ? possibleLang : "en-us"</t>
  </si>
  <si>
    <t>true</t>
  </si>
  <si>
    <t>App language</t>
  </si>
  <si>
    <t>Default theme</t>
  </si>
  <si>
    <t>Grid lines</t>
  </si>
  <si>
    <t>Grid lines big</t>
  </si>
  <si>
    <t>Gridlines mega</t>
  </si>
  <si>
    <t xml:space="preserve">Show outline </t>
  </si>
  <si>
    <t>Default grid size</t>
  </si>
  <si>
    <t>Enable or disable guides</t>
  </si>
  <si>
    <t>Show labels</t>
  </si>
  <si>
    <t>Show the execution order</t>
  </si>
  <si>
    <t>Keep the label name blank when added</t>
  </si>
  <si>
    <t>"theme-light"</t>
  </si>
  <si>
    <t>Crear bloques sin capción</t>
  </si>
  <si>
    <t>Create blocks without a caption</t>
  </si>
  <si>
    <t>etyCap</t>
  </si>
  <si>
    <t>test</t>
  </si>
  <si>
    <t>#f6f6ff</t>
  </si>
  <si>
    <t>#ececff</t>
  </si>
  <si>
    <t>#a0a0ff</t>
  </si>
  <si>
    <t>#101019</t>
  </si>
  <si>
    <t>Light theme 6</t>
  </si>
  <si>
    <t>Tema ligero 6</t>
  </si>
  <si>
    <t>#e3e3ff</t>
  </si>
  <si>
    <t>#7070b3</t>
  </si>
  <si>
    <t>darktest</t>
  </si>
  <si>
    <t>#202033</t>
  </si>
  <si>
    <t>#30304c</t>
  </si>
  <si>
    <t>#bdbdff</t>
  </si>
  <si>
    <t>&lt;g stroke-width='1' fill='var(--col-text-0)'&gt;&lt;text x='12' y='87'font-size='8em'&gt;C&lt;/text&gt;&lt;/g&gt;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</si>
  <si>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</t>
  </si>
  <si>
    <t>&lt;g stroke-width='1' fill='var(--col-text-0)'&gt;&lt;text x='12' y='57'font-size='2em'&gt;Gain&lt;/text&gt;&lt;/g&gt;</t>
  </si>
  <si>
    <t>&lt;g stroke-width='1' fill='var(--col-text-0)'&gt;&lt;text x='1' y='95' font-size='10em'&gt;÷&lt;/text&gt;&lt;/g&gt;</t>
  </si>
  <si>
    <t>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</si>
  <si>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</t>
  </si>
  <si>
    <t>&lt;g stroke-width='1' fill='var(--col-text-0)'&gt;&lt;text x='25' y='90' font-size='5em'&gt;?&lt;/text&gt;&lt;text x='2' y='30' font-size='2em'&gt;-/0/+&lt;/text&gt;&lt;/g&gt;</t>
  </si>
  <si>
    <t>&lt;g stroke-width='1' fill='var(--col-text-0)'&gt;&lt;text x='2' y='90' font-size='8em'&gt;u&lt;/text&gt;&lt;text x='63' y='42' font-size='3.5em'&gt;2&lt;/text&gt;&lt;/g&gt;</t>
  </si>
  <si>
    <t>&lt;path fill='none' d='M 10 50 l 10 32 l 30 -70 l 40 0'/&gt;&lt;g stroke-width='2'&gt;&lt;text x='45' y='65'fill='var(--col-text-0)' font-size='4em'&gt;u&lt;/text&gt;&lt;/g&gt;</t>
  </si>
  <si>
    <t>&lt;g stroke-width='1' fill='var(--col-text-0)'&gt;&lt;text x='2' y='90' font-size='8em'&gt;u&lt;/text&gt;&lt;text x='63' y='42' font-size='3.5em'&gt;3&lt;/text&gt;&lt;/g&gt;</t>
  </si>
  <si>
    <t>&lt;path fill='none' d='M 10 50 l 10 32 l 30 -70 l 40 0'/&gt;&lt;g stroke-width='1' fill='var(--col-text-0)'&gt;&lt;text x='45' y='65' font-size='5em'&gt;u&lt;/text&gt;&lt;text x='13' y='48' font-size='2em'&gt;3&lt;/text&gt;&lt;/g&gt;</t>
  </si>
  <si>
    <t>&lt;g stroke-width='1' fill='var(--col-text-0)'&gt;&lt;text x='5' y='80'  font-size='5em'&gt;u&lt;/text&gt;&lt;text x='45' y='45'  font-size='5em'&gt;a&lt;/text&gt;&lt;/g&gt;</t>
  </si>
  <si>
    <t>&lt;path fill='none' d='M 10 50 l 10 32 l 30 -70 l 40 0'/&gt;&lt;g stroke-width='1' fill='var(--col-text-0)'&gt;&lt;text x='45' y='65' font-size='5em'&gt;u&lt;/text&gt;&lt;text x='13' y='48' font-size='2em'&gt;n&lt;/text&gt;&lt;/g&gt;</t>
  </si>
  <si>
    <t>&lt;path fill='none' d='M 10 50 l 10 40 l 10 -80 l 60 0'/&gt;&lt;g stroke-width='1' fill='var(--col-text-0)'&gt;&lt;text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</si>
  <si>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</si>
  <si>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fill='var(--col-text-0)'&gt;&lt;text x='8' y='80'  font-size='5em'&gt;a&lt;/text&gt;&lt;text x='40' y='45'  font-size='5em'&gt;u&lt;/text&gt;&lt;/g&gt;</t>
  </si>
  <si>
    <t>&lt;g stroke-width='1' fill='var(--col-text-0)'&gt;&lt;text x='7' y='80' font-size='5em'&gt;e&lt;/text&gt;&lt;text x='40' y='45' font-size='5em'&gt;u&lt;/text&gt;&lt;/g&gt;</t>
  </si>
  <si>
    <t>&lt;g stroke-width='1' fill='var(--col-text-0)'&gt;&lt;text x='0' y='70' font-size='4em'&gt;e&lt;/text&gt;&lt;text x='25' y='45' font-size='3em'&gt;u&lt;/text&gt;&lt;text x='42' y='70' font-size='3em'&gt;-1&lt;/text&gt;&lt;/g&gt;</t>
  </si>
  <si>
    <t>&lt;g stroke-width='1' fill='var(--col-text-0)'&gt;&lt;text x='0' y='55'font-size='2.2em'&gt;ln(u)&lt;/text&gt;&lt;/g&gt;</t>
  </si>
  <si>
    <t>&lt;g stroke-width='1' fill='var(--col-text-0)'&gt;&lt;text x='1' y='50'font-size='1.32em'&gt;log(u+1)&lt;/text&gt;&lt;text x='37' y='60'font-size='1em'&gt;n&lt;/text&gt;&lt;/g&gt;</t>
  </si>
  <si>
    <t>&lt;g stroke-width='1' fill='var(--col-text-0)'&gt;&lt;text x='1' y='50'font-size='1.8em'&gt;log(u)&lt;/text&gt;&lt;text x='48' y='65'font-size='1em'&gt;10&lt;/text&gt;&lt;/g&gt;</t>
  </si>
  <si>
    <t>&lt;g stroke-width='1' fill='var(--col-text-0)'&gt;&lt;text x='1' y='50'font-size='1.8em'&gt;log(u)&lt;/text&gt;&lt;text x='50' y='62'font-size='1.4em'&gt;2&lt;/text&gt;&lt;/g&gt;</t>
  </si>
  <si>
    <t>&lt;g stroke-width='1' fill='var(--col-text-0)'&gt;&lt;text x='1' y='50'font-size='1.8em'&gt;log(u)&lt;/text&gt;&lt;text x='51' y='62'font-size='1.4em'&gt;n&lt;/text&gt;&lt;/g&gt;</t>
  </si>
  <si>
    <t>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</si>
  <si>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&lt;text x='5' y='60'fill='var(--col-text-0)' stroke-width='1' font-size='3em'&gt;LCM&lt;/text&gt;</t>
  </si>
  <si>
    <t>&lt;text x='5' y='60'fill='var(--col-text-0)' stroke-width='1' font-size='3em'&gt;GCD&lt;/text&gt;</t>
  </si>
  <si>
    <t>&lt;text x='2' y='60'fill='var(--col-text-0)' stroke-width='1' font-size='2em'&gt;X-GCD&lt;/text&gt;</t>
  </si>
  <si>
    <t>&lt;g stroke-width='1' fill='var(--col-text-0)'&gt;&lt;text x='1' y='60'font-size='3em'&gt;u&lt;/text&gt;&lt;text x='68' y='60'font-size='3em'&gt;n&lt;/text&gt;&lt;text x='30' y='70'font-size='4em'&gt;%&lt;/text&gt;&lt;/g&gt;</t>
  </si>
  <si>
    <t>&lt;g stroke-width='1' fill='var(--col-text-0)'&gt;&lt;text x='1' y='60'font-size='3em'&gt;n&lt;/text&gt;&lt;text x='70' y='60'font-size='3em'&gt;u&lt;/text&gt;&lt;text x='31' y='70'font-size='4em'&gt;%&lt;/text&gt;&lt;/g&gt;</t>
  </si>
  <si>
    <t>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</si>
  <si>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fill='var(--col-text-0)'&gt;&lt;text x='22' y='60'font-size='2em'&gt;Sin&lt;/text&gt;&lt;/g&gt;</t>
  </si>
  <si>
    <t>&lt;g stroke-width='1' fill='var(--col-text-0)'&gt;&lt;text x='22' y='60'font-size='2em'&gt;Cos&lt;/text&gt;&lt;/g&gt;</t>
  </si>
  <si>
    <t>&lt;g stroke-width='1' fill='var(--col-text-0)'&gt;&lt;text x='22' y='60'font-size='2em'&gt;Tan&lt;/text&gt;&lt;/g&gt;</t>
  </si>
  <si>
    <t>&lt;g stroke-width='1' fill='var(--col-text-0)'&gt;&lt;text x='22' y='60'font-size='2em'&gt;Csc&lt;/text&gt;&lt;/g&gt;</t>
  </si>
  <si>
    <t>&lt;g stroke-width='1' fill='var(--col-text-0)'&gt;&lt;text x='22' y='60'font-size='2em'&gt;Sec&lt;/text&gt;&lt;/g&gt;</t>
  </si>
  <si>
    <t>&lt;g stroke-width='1' fill='var(--col-text-0)'&gt;&lt;text x='22' y='60'font-size='2em'&gt;Cot&lt;/text&gt;&lt;/g&gt;</t>
  </si>
  <si>
    <t>&lt;g stroke-width='1' fill='var(--col-text-0)'&gt;&lt;text x='12' y='60'font-size='2em'&gt;Asin&lt;/text&gt;&lt;/g&gt;</t>
  </si>
  <si>
    <t>&lt;g stroke-width='1' fill='var(--col-text-0)'&gt;&lt;text x='12' y='60'font-size='2em'&gt;Acos&lt;/text&gt;&lt;/g&gt;</t>
  </si>
  <si>
    <t>&lt;g stroke-width='1' fill='var(--col-text-0)'&gt;&lt;text x='12' y='60'font-size='2em'&gt;Atan&lt;/text&gt;&lt;/g&gt;</t>
  </si>
  <si>
    <t>&lt;g stroke-width='1' fill='var(--col-text-0)'&gt;&lt;text x='12' y='60'font-size='2em'&gt;Acsc&lt;/text&gt;&lt;/g&gt;</t>
  </si>
  <si>
    <t>&lt;g stroke-width='1' fill='var(--col-text-0)'&gt;&lt;text x='12' y='60'font-size='2em'&gt;Asec&lt;/text&gt;&lt;/g&gt;</t>
  </si>
  <si>
    <t>&lt;g stroke-width='1' fill='var(--col-text-0)'&gt;&lt;text x='12' y='60'font-size='2em'&gt;Acot&lt;/text&gt;&lt;/g&gt;</t>
  </si>
  <si>
    <t>&lt;g stroke-width='1' fill='var(--col-text-0)'&gt;&lt;text x='11' y='60'font-size='2em'&gt;Sinh&lt;/text&gt;&lt;/g&gt;</t>
  </si>
  <si>
    <t>&lt;g stroke-width='1' fill='var(--col-text-0)'&gt;&lt;text x='11' y='60'font-size='2em'&gt;Cosh&lt;/text&gt;&lt;/g&gt;</t>
  </si>
  <si>
    <t>&lt;g stroke-width='1' fill='var(--col-text-0)'&gt;&lt;text x='11' y='60'font-size='2em'&gt;Tanh&lt;/text&gt;&lt;/g&gt;</t>
  </si>
  <si>
    <t>&lt;g stroke-width='1' fill='var(--col-text-0)'&gt;&lt;text x='11' y='60'font-size='2em'&gt;Csch&lt;/text&gt;&lt;/g&gt;</t>
  </si>
  <si>
    <t>&lt;g stroke-width='1' fill='var(--col-text-0)'&gt;&lt;text x='11' y='60'font-size='2em'&gt;Sech&lt;/text&gt;&lt;/g&gt;</t>
  </si>
  <si>
    <t>&lt;g stroke-width='1' fill='var(--col-text-0)'&gt;&lt;text x='11' y='60'font-size='2em'&gt;Coth&lt;/text&gt;&lt;/g&gt;</t>
  </si>
  <si>
    <t>&lt;g stroke-width='1' fill='var(--col-text-0)'&gt;&lt;text x='2.5' y='60'font-size='2em'&gt;Asinh&lt;/text&gt;&lt;/g&gt;</t>
  </si>
  <si>
    <t>&lt;g stroke-width='1' fill='var(--col-text-0)'&gt;&lt;text x='2.5' y='60'font-size='2em'&gt;Acosh&lt;/text&gt;&lt;/g&gt;</t>
  </si>
  <si>
    <t>&lt;g stroke-width='1' fill='var(--col-text-0)'&gt;&lt;text x='2.5' y='60'font-size='2em'&gt;Atanh&lt;/text&gt;&lt;/g&gt;</t>
  </si>
  <si>
    <t>&lt;g stroke-width='1' fill='var(--col-text-0)'&gt;&lt;text x='2.5' y='60'font-size='2em'&gt;Acsch&lt;/text&gt;&lt;/g&gt;</t>
  </si>
  <si>
    <t>&lt;g stroke-width='1' fill='var(--col-text-0)'&gt;&lt;text x='2.5' y='60'font-size='2em'&gt;Asech&lt;/text&gt;&lt;/g&gt;</t>
  </si>
  <si>
    <t>&lt;g stroke-width='1' fill='var(--col-text-0)'&gt;&lt;text x='2.5' y='60'font-size='2em'&gt;Acoth&lt;/text&gt;&lt;/g&gt;</t>
  </si>
  <si>
    <t>&lt;text x='20' y='73' stroke-width='1' fill='var(--col-text-0)' font-size='4em'&gt;u&lt;/text&gt;&lt;text x='55' y='52' stroke-width='1' fill='var(--col-text-0)' font-size='3em'&gt;T&lt;/text&gt;</t>
  </si>
  <si>
    <t>&lt;text x='20' y='73' stroke-width='1' fill='var(--col-text-0)' font-size='4em'&gt;u&lt;/text&gt;&lt;text x='55' y='52' stroke-width='1' fill='var(--col-text-0)' font-size='3em'&gt;H&lt;/text&gt;</t>
  </si>
  <si>
    <t>&lt;text x='6' y='56' stroke-width='1' fill='var(--col-text-0)' font-size='2em'&gt;tr(u)&lt;/text&gt;</t>
  </si>
  <si>
    <t>&lt;text x='6' y='55' stroke-width='1' fill='var(--col-text-0)' font-size='1.7em'&gt;det(u)&lt;/text&gt;</t>
  </si>
  <si>
    <t>&lt;text x='20' y='73' stroke-width='1' fill='var(--col-text-0)' font-size='4em'&gt;u&lt;/text&gt;&lt;text x='45' y='45' stroke-width='1' fill='var(--col-text-0)' font-size='2em'&gt;-1&lt;/text&gt;</t>
  </si>
  <si>
    <t>&lt;g stroke-width='1' fill='var(--col-text-0)'&gt;&lt;text x='22' y='40' font-size='3em'&gt;du&lt;/text&gt;&lt;text x='22' y='85' font-size='3em'&gt;dt&lt;/text&gt;&lt;/g&gt;&lt;line stroke-width='3' fill='var(--col-text-0)' x1='20' y1='50' x2= '80' y2='50'/&gt;</t>
  </si>
  <si>
    <t>&lt;g stroke-width='1' fill='var(--col-text-0)'&gt;&lt;text x='35' y='45' font-size='3em'&gt;1&lt;/text&gt;&lt;line x1='30' y1='50' x2= '70' y2='50'/&gt;&lt;text x='30' y='82' font-size='4em'&gt;s&lt;/text&gt;&lt;/g&gt;</t>
  </si>
  <si>
    <t>&lt;g stroke-width='1' fill='var(--col-text-0)'&gt;&lt;text x='15' y='35' font-size='2em'&gt;y(s)&lt;/text&gt;&lt;line x1='10' y1='50' x2= '90' y2='50'/&gt;&lt;text x='15' y='75' font-size='2em'&gt;u(s)&lt;/text&gt;&lt;/g&gt;</t>
  </si>
  <si>
    <t>&lt;g stroke-width='1' fill='var(--col-text-0)'&gt;&lt;text x='1' y='35' font-size='1.45em'&gt;x=Ax+Bu&lt;/text&gt;&lt;text x='1' y='75' font-size='1.45em'&gt;y=Cx+Du&lt;/text&gt;&lt;text x='1' y='22' font-size='1.45em'&gt;.&lt;/text&gt;&lt;/g&gt;</t>
  </si>
  <si>
    <t>&lt;g stroke-width='1' fill='var(--col-text-0)'&gt;&lt;text x='1' y='35' font-size='1.45em'&gt;x=ax+bu&lt;/text&gt;&lt;text x='1' y='75' font-size='1.45em'&gt;y=cx+du&lt;/text&gt;&lt;text x='1' y='22' font-size='1.45em'&gt;.&lt;/text&gt;&lt;/g&gt;</t>
  </si>
  <si>
    <t>&lt;g stroke-width='1' fill='var(--col-text-0)'&gt;&lt;text x='35' y='45' font-size='3em'&gt;1&lt;/text&gt;&lt;line x1='30' y1='50' x2= '70' y2='50'/&gt;&lt;text x='30' y='82' font-size='4em'&gt;z&lt;/text&gt;&lt;/g&gt;</t>
  </si>
  <si>
    <t>&lt;g stroke-width='1' fill='var(--col-text-0)'&gt;&lt;text x='15' y='35' font-size='2em'&gt;y(z)&lt;/text&gt;&lt;line x1='10' y1='50' x2= '90' y2='50'/&gt;&lt;text x='15' y='75' font-size='2em'&gt;u(z)&lt;/text&gt;&lt;/g&gt;</t>
  </si>
  <si>
    <t>"umk_1586108946421":{"icon":"&lt;g stroke-width='1' fill='var(--col-text-0)'&gt;&lt;text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</si>
  <si>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,"umk_1588715754701":{"icon":"&lt;g stroke-width='1' fill='var(--col-text-0)'&gt;&lt;text x='12' y='57'font-size='2em'&gt;Gain&lt;/text&gt;&lt;/g&gt;","bg":"#1595C8","fg":"#ffffff","width":48,"height":48,"keywords":"gain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</si>
  <si>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,"umk_1589386555683":{"icon":"&lt;g stroke-width='1' fill='var(--col-text-0)'&gt;&lt;text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</si>
  <si>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,"umk_1589386632823":{"icon":"&lt;line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10'/&gt;","bg":"","fg":"","width":48,"height":48,"keywords":"","category":["basics"],"name":{"en-us":"Fix","es-mx":"Fijar"},"desc":{"en-us":"Round the input towards the zero","es-mx":"Redondea la entrada hacia el cero"}}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</si>
  <si>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</si>
  <si>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,"umk_1589386996268":{"icon":"&lt;g stroke-width='1' fill='var(--col-text-0)'&gt;&lt;text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</si>
  <si>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,"umk_1589387014953":{"icon":"&lt;g stroke-width='1' fill='var(--col-text-0)'&gt;&lt;text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</si>
  <si>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,"umk_1589386968441":{"icon":"&lt;path fill='none' d='M 10 50 l 10 32 l 30 -70 l 40 0'/&gt;&lt;g stroke-width='2'&gt;&lt;text x='45' y='65'fill='var(--col-text-0)'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</si>
  <si>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,"umk_1589386524463":{"icon":"&lt;g stroke-width='1' fill='var(--col-text-0)'&gt;&lt;text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</si>
  <si>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,"umk_1589386497071":{"icon":"&lt;path fill='none' d='M 10 50 l 10 32 l 30 -70 l 40 0'/&gt;&lt;g stroke-width='1' fill='var(--col-text-0)'&gt;&lt;text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</si>
  <si>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,"umk_1589386565541":{"icon":"&lt;g stroke-width='1' fill='var(--col-text-0)'&gt;&lt;text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</si>
  <si>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,"umk_1589386687447":{"icon":"&lt;path fill='none' d='M 10 50 l 10 32 l 30 -70 l 40 0'/&gt;&lt;g stroke-width='1' fill='var(--col-text-0)'&gt;&lt;text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</si>
  <si>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,"umk_1589386674638":{"icon":"&lt;path fill='none' d='M 10 50 l 10 40 l 10 -80 l 60 0'/&gt;&lt;g stroke-width='1' fill='var(--col-text-0)'&gt;&lt;text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font-size='1em'&gt;2&lt;/text&gt;&lt;/g&gt;","bg":"","fg":"","width":48,"height":48,"keywords":"","category":["basics"],"name":{"en-us":"Hypotenusa","es-mx":"Hipotenusa"},"desc":{"en-us":"Calculates the hypotenusa for the given array or matrix","es-mx":"Calcula la hipotenusa para la matriz o matriz dada"}}</t>
  </si>
  <si>
    <t>,"umk_1589386591230":{"icon":"&lt;g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</si>
  <si>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fill='var(--col-text-0)'&gt;&lt;text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</si>
  <si>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fill='var(--col-text-0)'&gt;&lt;text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</si>
  <si>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fill='var(--col-text-0)'&gt;&lt;text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</si>
  <si>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,"umk_1589386828369":{"icon":"&lt;g stroke-width='1' fill='var(--col-text-0)'&gt;&lt;text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</si>
  <si>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fill='var(--col-text-0)'&gt;&lt;text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</si>
  <si>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,"umk_1589386760201":{"icon":"&lt;g stroke-width='1' fill='var(--col-text-0)'&gt;&lt;text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</si>
  <si>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fill='var(--col-text-0)'&gt;&lt;text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</si>
  <si>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,"umk_1589386733656":{"icon":"&lt;g stroke-width='1' fill='var(--col-text-0)'&gt;&lt;text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</si>
  <si>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,"umk_1589564768522":{"icon":"&lt;g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</si>
  <si>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,"umk_1589386712466":{"icon":"&lt;text x='5' y='60'fill='var(--col-text-0)'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</si>
  <si>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,"umk_1589386660500":{"icon":"&lt;text x='5' y='60'fill='var(--col-text-0)'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</si>
  <si>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,"umk_1589529570947":{"icon":"&lt;text x='2' y='60'fill='var(--col-text-0)'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</si>
  <si>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,"umk_1589386898267":{"icon":"&lt;g stroke-width='1' fill='var(--col-text-0)'&gt;&lt;text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</si>
  <si>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fill='var(--col-text-0)'&gt;&lt;text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</si>
  <si>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,"umk_1589386875197":{"icon":"&lt;g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</si>
  <si>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,"umk_1589609587218":{"icon":"&lt;g stroke-width='1' fill='var(--col-text-0)'&gt;&lt;text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</si>
  <si>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,"umk_1589609456423":{"icon":"&lt;g stroke-width='1' fill='var(--col-text-0)'&gt;&lt;text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</si>
  <si>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,"umk_1589609617327":{"icon":"&lt;g stroke-width='1' fill='var(--col-text-0)'&gt;&lt;text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</si>
  <si>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,"umk_1589609529912":{"icon":"&lt;g stroke-width='1' fill='var(--col-text-0)'&gt;&lt;text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</si>
  <si>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,"umk_1589609558140":{"icon":"&lt;g stroke-width='1' fill='var(--col-text-0)'&gt;&lt;text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</si>
  <si>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,"umk_1589609485885":{"icon":"&lt;g stroke-width='1' fill='var(--col-text-0)'&gt;&lt;text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</si>
  <si>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,"umk_1589609402551":{"icon":"&lt;g stroke-width='1' fill='var(--col-text-0)'&gt;&lt;text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</si>
  <si>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,"umk_1589609258927":{"icon":"&lt;g stroke-width='1' fill='var(--col-text-0)'&gt;&lt;text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</si>
  <si>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,"umk_1589609428777":{"icon":"&lt;g stroke-width='1' fill='var(--col-text-0)'&gt;&lt;text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</si>
  <si>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,"umk_1589609332484":{"icon":"&lt;g stroke-width='1' fill='var(--col-text-0)'&gt;&lt;text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</si>
  <si>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,"umk_1589609362139":{"icon":"&lt;g stroke-width='1' fill='var(--col-text-0)'&gt;&lt;text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</si>
  <si>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,"umk_1589609289630":{"icon":"&lt;g stroke-width='1' fill='var(--col-text-0)'&gt;&lt;text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</si>
  <si>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,"umk_1589609602823":{"icon":"&lt;g stroke-width='1' fill='var(--col-text-0)'&gt;&lt;text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</si>
  <si>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,"umk_1589609471102":{"icon":"&lt;g stroke-width='1' fill='var(--col-text-0)'&gt;&lt;text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</si>
  <si>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,"umk_1589609633957":{"icon":"&lt;g stroke-width='1' fill='var(--col-text-0)'&gt;&lt;text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</si>
  <si>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,"umk_1589609543216":{"icon":"&lt;g stroke-width='1' fill='var(--col-text-0)'&gt;&lt;text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</si>
  <si>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,"umk_1589609571201":{"icon":"&lt;g stroke-width='1' fill='var(--col-text-0)'&gt;&lt;text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</si>
  <si>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,"umk_1589609508071":{"icon":"&lt;g stroke-width='1' fill='var(--col-text-0)'&gt;&lt;text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</si>
  <si>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,"umk_1589609418437":{"icon":"&lt;g stroke-width='1' fill='var(--col-text-0)'&gt;&lt;text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</si>
  <si>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,"umk_1589609273201":{"icon":"&lt;g stroke-width='1' fill='var(--col-text-0)'&gt;&lt;text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</si>
  <si>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,"umk_1589609440901":{"icon":"&lt;g stroke-width='1' fill='var(--col-text-0)'&gt;&lt;text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</si>
  <si>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,"umk_1589609346714":{"icon":"&lt;g stroke-width='1' fill='var(--col-text-0)'&gt;&lt;text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</si>
  <si>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,"umk_1589609383222":{"icon":"&lt;g stroke-width='1' fill='var(--col-text-0)'&gt;&lt;text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</si>
  <si>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,"umk_1589609306978":{"icon":"&lt;g stroke-width='1' fill='var(--col-text-0)'&gt;&lt;text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</si>
  <si>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,"umk_1595491915152":{"icon":"&lt;text x='20' y='73' stroke-width='1' fill='var(--col-text-0)' font-size='4em'&gt;u&lt;/text&gt;&lt;text x='55' y='52' stroke-width='1' fill='var(--col-text-0)' font-size='3em'&gt;T&lt;/text&gt;","bg":"","fg":"","width":48,"height":48,"keywords":"","category":["mat"],"name":{"en-us":"Transpose","es-mx":"Transposición"},"desc":{"en-us":"Transposes the given matrix","es-mx":"Transpone la matriz dada"}}</t>
  </si>
  <si>
    <t>,"umk_1595704782234":{"icon":"&lt;text x='6' y='56' stroke-width='1' fill='var(--col-text-0)' font-size='2em'&gt;tr(u)&lt;/text&gt;","bg":"","fg":"","width":48,"height":48,"keywords":"","category":["mat"],"name":{"en-us":"Trace","es-mx":"Traza"},"desc":{"en-us":"Returns trace of the input matrix","es-mx":"Devuelve el traza de la matriz de entrada"}}</t>
  </si>
  <si>
    <t>,"umk_1595700759570":{"icon":"&lt;text x='6' y='55' stroke-width='1' fill='var(--col-text-0)' font-size='1.7em'&gt;det(u)&lt;/text&gt;","bg":"","fg":"","width":48,"height":48,"keywords":"","category":["mat"],"name":{"en-us":"Determinant","es-mx":"Determinante"},"desc":{"en-us":"Calculates the determinant of the input matrix","es-mx":"Calcula el determinante de la matriz de entrada."}}</t>
  </si>
  <si>
    <t>,"umk_1595704138594":{"icon":"&lt;text x='20' y='73' stroke-width='1' fill='var(--col-text-0)' font-size='4em'&gt;u&lt;/text&gt;&lt;text x='45' y='45' stroke-width='1' fill='var(--col-text-0)' font-size='2em'&gt;-1&lt;/text&gt;","bg":"","fg":"","width":48,"height":48,"keywords":"","category":["mat"],"name":{"en-us":"Inverse matrix","es-mx":"Matriz inversa"},"desc":{"en-us":"Returns inverse of the input matrix","es-mx":"Devuelve el inverso de la matriz de entrada"}}</t>
  </si>
  <si>
    <t>,"umk_1595887565612":{"icon":"&lt;g stroke-width='1' fill='var(--col-text-0)'&gt;&lt;text x='22' y='40' font-size='3em'&gt;du&lt;/text&gt;&lt;text x='22' y='85' font-size='3em'&gt;dt&lt;/text&gt;&lt;/g&gt;&lt;line stroke-width='3' fill='var(--col-text-0)' x1='20' y1='50' x2= '80' y2='50'/&gt;","bg":"","fg":"","width":48,"height":48,"keywords":"","category":["continuous"],"name":{"en-us":"Differentiation","es-mx":"Diferenciación"},"desc":{"en-us":"Derivatives the input with respect to the simulation time.","es-mx":"Deriva la entrada con respecto al tiempo de simulación."}}</t>
  </si>
  <si>
    <t>,"umk_1588716024472":{"icon":"&lt;g stroke-width='1' fill='var(--col-text-0)'&gt;&lt;text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</si>
  <si>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,"umk_1589836016344":{"icon":"&lt;g stroke-width='1' fill='var(--col-text-0)'&gt;&lt;text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</si>
  <si>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,"umk_1590046944883":{"icon":"&lt;g stroke-width='1' fill='var(--col-text-0)'&gt;&lt;text x='1' y='35' font-size='1.45em'&gt;x=Ax+Bu&lt;/text&gt;&lt;text x='1' y='75' font-size='1.45em'&gt;y=Cx+Du&lt;/text&gt;&lt;text x='1' y='22' font-size='1.45em'&gt;.&lt;/text&gt;&lt;/g&gt;","bg":"","fg":"","width":192,"height":48,"keywords":"","category":["continuous"],"name":{"en-us":"State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</si>
  <si>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stroke-width='1' fill='var(--col-text-0)'&gt;&lt;text x='1' y='35' font-size='1.45em'&gt;x=ax+bu&lt;/text&gt;&lt;text x='1' y='75' font-size='1.45em'&gt;y=cx+du&lt;/text&gt;&lt;text x='1' y='22' font-size='1.45em'&gt;.&lt;/text&gt;&lt;/g&gt;","bg":"","fg":"","width":288,"height":96,"keywords":"","category":["continuous"],"name":{"en-us":"State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</si>
  <si>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,"umk_1590074849722":{"icon":"&lt;g stroke-width='1' fill='var(--col-text-0)'&gt;&lt;text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</si>
  <si>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fill='var(--col-text-0)'&gt;&lt;text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</si>
  <si>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pPLink</t>
  </si>
  <si>
    <t>tNCLink</t>
  </si>
  <si>
    <t>Términos y condiciones</t>
  </si>
  <si>
    <t>Terms and Conditions</t>
  </si>
  <si>
    <t>Política de privacidad</t>
  </si>
  <si>
    <t>Privacy Policy</t>
  </si>
  <si>
    <t>Sponsor us on GitHub</t>
  </si>
  <si>
    <t>Patrocinanos en GitHub</t>
  </si>
  <si>
    <t>fab fa-github</t>
  </si>
  <si>
    <t>Be my sponsor on GitHub</t>
  </si>
  <si>
    <t>Sea mi patrocinador en GitHub</t>
  </si>
  <si>
    <t>window.open('https://github.com/sponsors/skgadi','_blank');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</si>
  <si>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nube"},"prtBelow":false,"func":"alertWIP()"},{"icon":"fas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maestros"},"prtBelow":false,"func":"alertWIP()"},{"icon":"fas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público"},"prtBelow":true,"func":"alertWIP()"},{"icon":"fas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Uyamak"},"prtBelow":false,"func":"alertWIP()"}]},{"icon":"fas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Uyamak"},"prtBelow":false,"func":"alertWIP()"},{"icon":"fas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fa-eraser","kbShort":{"ctrl":true,"alt":false,"shift":false,"key":"d","keycode":"68","langCode":"key_d"},"text":{"en-us":"Remove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derecha"},"prtBelow":false,"func":"alertWIP()"}]},{"icon":"fas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fa-book","kbShort":{"ctrl":true,"alt":false,"shift":false,"key":"h","keycode":"72","langCode":"key_h"},"text":{"en-us":"Documentation","es-mx":"Documentación"},"moreInfo":{"en-us":"Takes you to the documentation page","es-mx":"Te lleva a la página de documentación"},"prtBelow":false,"func":"alertWIP()"},{"icon":"far fa-question-circle","kbShort":{"ctrl":true,"alt":false,"shift":true,"key":"h","keycode":"72","langCode":"key_h"},"text":{"en-us":"Context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seleccionado."},"prtBelow":true,"func":"alertWIP()"},{"icon":"fas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seleccionado."},"prtBelow":false,"func":"alertWIP()"}]},{"icon":"fas fa-donate","kbShort":{"ctrl":false,"alt":false,"shift":false,"key":"","keycode":"","langCode":""},"text":{"en-us":"Donate","es-mx":"Donar"},"moreInfo":{"en-us":"Shows different options how you can support me","es-mx":"Muestra diferentes opciones de cómo puedes apoyarme."},"subMenu":[{"icon":"fab fa-github","kbShort":{"ctrl":false,"alt":false,"shift":false,"key":"","keycode":"","langCode":""},"text":{"en-us":"Sponsor us on GitHub","es-mx":"Ser mi Patreon"},"moreInfo":{"en-us":"Be my sponsor on GitHub","es-mx":"Patrocinanos en GitHub"},"prtBelow":false,"func":"window.open('https://github.com/sponsors/skgadi','_blank');"},{"icon":"fab fa-patreon","kbShort":{"ctrl":false,"alt":false,"shift":false,"key":"","keycode":"","langCode":""},"text":{"en-us":"Be my Patreon","es-mx":"Ser mi Patreon"},"moreInfo":{"en-us":"Be a Patreon member to show your support","es-mx":"Sea miembro de Patreon para mostrar su apoyo"},"prtBelow":false,"func":"window.open('https://www.patreon.com/skgadi','_blank');"},{"icon":"fab fa-paypal","kbShort":{"ctrl":false,"alt":false,"shift":false,"key":"","keycode":"","langCode":""},"text":{"en-us":"Donate me on PayPal","es-mx":"Doname en PayPal"},"moreInfo":{"en-us":"Make one-time or recurrent payment using the secured PayPal platform with a wide variety of payment options.","es-mx":"Realice un pago único o recurrente mediante la plataforma segura de PayPal con una amplia variedad de opciones de pago."},"prtBelow":false,"func":"window.open('https://www.paypal.com/donate?hosted_button_id=SKRWAX2RLAB6S','_blank');"}]}];</t>
  </si>
  <si>
    <t>maxTotalHistory</t>
  </si>
  <si>
    <t>Limit the total history</t>
  </si>
  <si>
    <t>Limita el historial total</t>
  </si>
  <si>
    <t>waitPRLoad</t>
  </si>
  <si>
    <t>waitUpdGraphs</t>
  </si>
  <si>
    <t>Wait for results to load (s)</t>
  </si>
  <si>
    <t>Espere a que se carguen los resultados (s)</t>
  </si>
  <si>
    <t>Wait for updating graphs (ms)</t>
  </si>
  <si>
    <t>Espere a que se actualicen los gráficos (ms)</t>
  </si>
  <si>
    <t>enableAudio</t>
  </si>
  <si>
    <t>Enable audio</t>
  </si>
  <si>
    <t>Habilitar audio</t>
  </si>
  <si>
    <t>umk_1614546347150</t>
  </si>
  <si>
    <t>3D Line graph</t>
  </si>
  <si>
    <t>Gráfico de líneas 3D</t>
  </si>
  <si>
    <t>Draws line charts in three axis</t>
  </si>
  <si>
    <t>Dibuja gráficos de líneas en tres ejes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</si>
  <si>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</t>
  </si>
  <si>
    <t>umk_1614552711391</t>
  </si>
  <si>
    <t>3D surface graph</t>
  </si>
  <si>
    <t>Gráfico de superficie 3D</t>
  </si>
  <si>
    <t>Draws surface graphs in 3 axis</t>
  </si>
  <si>
    <t>Dibuja gráficos de superficie en 3 ejes</t>
  </si>
  <si>
    <t>,"umk_1594989068293":{"icon":"&lt;path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50,50'/&gt;","bg":"","fg":"","width":96,"height":72,"keywords":"","category":["sinks"],"name":{"en-us":"XY Scope","es-mx":"Scopio XY"},"desc":{"en-us":"Plots the input signal against another input signal.","es-mx":"Traza la señal de entrada contra otra señal de entrada."}}</t>
  </si>
  <si>
    <t>,"umk_1595556058847":{"icon":"&lt;path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y2='30'/&gt;","bg":"","fg":"","width":96,"height":168,"keywords":"","category":["sinks"],"name":{"en-us":"6-DOF Robot","es-mx":"Robot 6-GDL"},"desc":{"en-us":"A 6-DOF robot is shown whose position can be controlled","es-mx":"Se muestra un robot 6-GDL cuya posición se puede controlar"}}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</si>
  <si>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</t>
  </si>
  <si>
    <t>,"umk_1586738484106":{"icon":"&lt;path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15 -40'/&gt;","bg":"#1595C8","fg":"#ffffff","width":96,"height":48,"keywords":"graph display output salida grafica","category":["sinks"],"name":{"en-us":"Scope","es-mx":"Scopio"},"desc":{"en-us":"Plots the input signal against the simulation time","es-mx":"Traza la señal de entrada contra el tiempo de simulación."}}</t>
  </si>
  <si>
    <t>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</t>
  </si>
  <si>
    <t>umk_1614650915823</t>
  </si>
  <si>
    <t>umk_1614650936727</t>
  </si>
  <si>
    <t>umk_1614650960190</t>
  </si>
  <si>
    <t>umk_1614651143702</t>
  </si>
  <si>
    <t>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</t>
  </si>
  <si>
    <t>&lt;g stroke-width='1' fill='var(--col-text-0)'&gt;&lt;text x='7' y='65' font-size='4em'&gt;u&lt;/text&gt;&lt;text x='45' y='65' font-size='4em'&gt;u&lt;/text&gt;&lt;text x='75' y='45' font-size='2em'&gt;T&lt;/text&gt;&lt;/g&gt;</t>
  </si>
  <si>
    <t>&lt;g stroke-width='1' fill='var(--col-text-0)'&gt;&lt;text x='10' y='65' font-size='4em'&gt;u&lt;/text&gt;&lt;text x='55' y='65' font-size='4em'&gt;u&lt;/text&gt;&lt;text x='37' y='45' font-size='2em'&gt;T&lt;/text&gt;&lt;/g&gt;</t>
  </si>
  <si>
    <t>Matrix multiplication applied on the transpose of first input and second input</t>
  </si>
  <si>
    <t>Multiplicación de matrices aplicada a la transposición de la primera entrada y la segunda entrada</t>
  </si>
  <si>
    <t>Matrix multiplication applied on first input and the transpose of second input</t>
  </si>
  <si>
    <t>Multiplicación de matrices aplicada en la primera entrada y la transposición de la segunda entrada</t>
  </si>
  <si>
    <t>Matrix multiplication applied on Transpose of input to itself</t>
  </si>
  <si>
    <t>Multiplicación de matrices aplicada a la transposición de la entrada a sí misma</t>
  </si>
  <si>
    <t>Matrix multiplication applied on the input to transpose of itself</t>
  </si>
  <si>
    <t>Multiplicación de matrices aplicada a la entrada para transponerse a sí misma</t>
  </si>
  <si>
    <t>umk_1614656818163</t>
  </si>
  <si>
    <t>&lt;g stroke-width='1' fill='var(--col-text-0)'&gt;&lt;text x='22' y='60'font-size='2em'&gt;FOR&lt;/text&gt;&lt;/g&gt;</t>
  </si>
  <si>
    <t>For loop</t>
  </si>
  <si>
    <t>Bucle For</t>
  </si>
  <si>
    <t>Un bucle para generar vectores y matrices.</t>
  </si>
  <si>
    <t>A loop to generate vectors and matrices</t>
  </si>
  <si>
    <t>,"umk_1614656818163":{"icon":"&lt;g stroke-width='1' fill='var(--col-text-0)'&gt;&lt;text x='22' y='60'font-size='2em'&gt;FOR&lt;/text&gt;&lt;/g&gt;","bg":"","fg":"","width":48,"height":96,"keywords":"","category":["sources"],"name":{"en-us":"For loop","es-mx":"Bucle For"},"desc":{"en-us":"A loop to generate vectors and matrices","es-mx":"Un bucle para generar vectores y matrices."}}</t>
  </si>
  <si>
    <t>3D mesh graph</t>
  </si>
  <si>
    <t>Gráfico de malla 3D</t>
  </si>
  <si>
    <t>Draws mesh graphs in 3 axis</t>
  </si>
  <si>
    <t>Dibuja gráficos de malla en 3 ejes</t>
  </si>
  <si>
    <t>,"umk_1614546347150":{"icon":"&lt;path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d='M50,50Q95,75,50,70T50,30T70,50'/&gt;","bg":"","fg":"","width":96,"height":120,"keywords":"","category":["sinks"],"name":{"en-us":"3D Line graph","es-mx":"Gráfico de líneas 3D"},"desc":{"en-us":"Draws line charts in three axis","es-mx":"Dibuja gráficos de líneas en tres ejes"}}</t>
  </si>
  <si>
    <t>umk_1614667359579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</si>
  <si>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</si>
  <si>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</t>
  </si>
  <si>
    <t>,"umk_1614552711391":{"icon":"&lt;path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y='95'font-size='2em'&gt;Mesh&lt;/text&gt;&lt;/g&gt;","bg":"","fg":"","width":96,"height":120,"keywords":"","category":["sinks"],"name":{"en-us":"3D mesh graph","es-mx":"Gráfico de malla 3D"},"desc":{"en-us":"Draws mesh graphs in 3 axis","es-mx":"Dibuja gráficos de malla en 3 ejes"}}</t>
  </si>
  <si>
    <t>,"umk_1614667359579":{"icon":"&lt;path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y='95'font-size='2em'&gt;Surf&lt;/text&gt;&lt;/g&gt;","bg":"","fg":"","width":96,"height":120,"keywords":"","category":["sinks"],"name":{"en-us":"3D surface graph","es-mx":"Gráfico de superficie 3D"},"desc":{"en-us":"Draws surface graphs in 3 axis","es-mx":"Dibuja gráficos de superficie en 3 ejes"}}</t>
  </si>
  <si>
    <t>umk_1614751447697</t>
  </si>
  <si>
    <t>umk_1614751567325</t>
  </si>
  <si>
    <t>umk_1614751738486</t>
  </si>
  <si>
    <t>Argument</t>
  </si>
  <si>
    <t>Real</t>
  </si>
  <si>
    <t>Imaginary</t>
  </si>
  <si>
    <t>Argumento</t>
  </si>
  <si>
    <t>Imaginario</t>
  </si>
  <si>
    <t>Returns the argument of the input complex number</t>
  </si>
  <si>
    <t>Returns the Real part of the input complex number</t>
  </si>
  <si>
    <t>Returns the Imaginary part of the input complex number</t>
  </si>
  <si>
    <t>Devuelve el argumento del número complejo de entrada.</t>
  </si>
  <si>
    <t>Devuelve la parte real del número complejo de entrada.</t>
  </si>
  <si>
    <t>Devuelve la parte imaginaria del número complejo de entrada.</t>
  </si>
  <si>
    <t>&lt;g text-anchor='middle' dominant-baseline='middle' stroke-width='1' fill='var(--col-text-0)'&gt;&lt;text x='50' y='50'font-size='2.2em'&gt;Conj&lt;/text&gt;&lt;/g&gt;</t>
  </si>
  <si>
    <t>umk_1614753516947</t>
  </si>
  <si>
    <t>&lt;g text-anchor='middle' dominant-baseline='middle' stroke-width='1' fill='var(--col-text-0)'&gt;&lt;text x='50' y='50'font-size='2.2em'&gt;Abs&lt;/text&gt;&lt;/g&gt;</t>
  </si>
  <si>
    <t>&lt;g text-anchor='middle' dominant-baseline='middle' stroke-width='1' fill='var(--col-text-0)'&gt;&lt;text x='50' y='50'font-size='2.2em'&gt;Ar(u)&lt;/text&gt;&lt;/g&gt;</t>
  </si>
  <si>
    <t>&lt;g text-anchor='middle' dominant-baseline='middle' stroke-width='1' fill='var(--col-text-0)'&gt;&lt;text x='50' y='50'font-size='2.2em'&gt;Re(u)&lt;/text&gt;&lt;/g&gt;</t>
  </si>
  <si>
    <t>&lt;g text-anchor='middle' dominant-baseline='middle' stroke-width='1' fill='var(--col-text-0)'&gt;&lt;text x='50' y='50'font-size='2.2em'&gt;Im(u)&lt;/text&gt;&lt;/g&gt;</t>
  </si>
  <si>
    <t>Returns the complex conjugate of the input complex number</t>
  </si>
  <si>
    <t>Devuelve el conjugado complejo del número complejo de entrada.</t>
  </si>
  <si>
    <t>Conjugate</t>
  </si>
  <si>
    <t>Conjugado</t>
  </si>
  <si>
    <t>,"umk_1589386475682":{"icon":"&lt;g text-anchor='middle' dominant-baseline='middle' stroke-width='1' fill='var(--col-text-0)'&gt;&lt;text x='50' y='50'font-size='2.2em'&gt;Abs&lt;/text&gt;&lt;/g&gt;","bg":"","fg":"","width":48,"height":48,"keywords":"","category":["basics"],"name":{"en-us":"Absolute","es-mx":"Absoluto"},"desc":{"en-us":"Retuns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</si>
  <si>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,"umk_1614751447697":{"icon":"&lt;g text-anchor='middle' dominant-baseline='middle' stroke-width='1' fill='var(--col-text-0)'&gt;&lt;text x='50' y='50'font-size='2.2em'&gt;Ar(u)&lt;/text&gt;&lt;/g&gt;","bg":"","fg":"","width":96,"height":48,"keywords":"","category":["basics"],"name":{"en-us":"Argument","es-mx":"Argumento"},"desc":{"en-us":"Returns the argument of the input complex number","es-mx":"Devuelve el argumento del número complejo de entrada."}}</t>
  </si>
  <si>
    <t>,"umk_1614751567325":{"icon":"&lt;g text-anchor='middle' dominant-baseline='middle' stroke-width='1' fill='var(--col-text-0)'&gt;&lt;text x='50' y='50'font-size='2.2em'&gt;Re(u)&lt;/text&gt;&lt;/g&gt;","bg":"","fg":"","width":96,"height":48,"keywords":"","category":["basics"],"name":{"en-us":"Real","es-mx":"Real"},"desc":{"en-us":"Returns the Real part of the input complex number","es-mx":"Devuelve la parte real del número complejo de entrada."}}</t>
  </si>
  <si>
    <t>,"umk_1614751738486":{"icon":"&lt;g text-anchor='middle' dominant-baseline='middle' stroke-width='1' fill='var(--col-text-0)'&gt;&lt;text x='50' y='50'font-size='2.2em'&gt;Im(u)&lt;/text&gt;&lt;/g&gt;","bg":"","fg":"","width":96,"height":48,"keywords":"","category":["basics"],"name":{"en-us":"Imaginary","es-mx":"Imaginario"},"desc":{"en-us":"Returns the Imaginary part of the input complex number","es-mx":"Devuelve la parte imaginaria del número complejo de entrada."}}</t>
  </si>
  <si>
    <t>,"umk_1614753516947":{"icon":"&lt;g text-anchor='middle' dominant-baseline='middle' stroke-width='1' fill='var(--col-text-0)'&gt;&lt;text x='50' y='50'font-size='2.2em'&gt;Conj&lt;/text&gt;&lt;/g&gt;","bg":"","fg":"","width":96,"height":48,"keywords":"","category":["basics"],"name":{"en-us":"Conjugate","es-mx":"Conjugado"},"desc":{"en-us":"Returns the complex conjugate of the input complex number","es-mx":"Devuelve el conjugado complejo del número complejo de entrada."}}</t>
  </si>
  <si>
    <t>umk_1614754262620</t>
  </si>
  <si>
    <t>Gain and offset</t>
  </si>
  <si>
    <t>Ganancia y offset</t>
  </si>
  <si>
    <t>Multiply with a constant and add with another constant</t>
  </si>
  <si>
    <t>Multiplica con una constante y suma con otra constante</t>
  </si>
  <si>
    <t>&lt;g text-anchor='middle' dominant-baseline='middle' stroke-width='1' fill='var(--col-text-0)'&gt;&lt;text x='50' y='50'font-size='2.2em'&gt;Gu+H&lt;/text&gt;&lt;/g&gt;</t>
  </si>
  <si>
    <t>,"umk_1614754262620":{"icon":"&lt;g text-anchor='middle' dominant-baseline='middle' stroke-width='1' fill='var(--col-text-0)'&gt;&lt;text x='50' y='50'font-size='2.2em'&gt;Gu+H&lt;/text&gt;&lt;/g&gt;","bg":"","fg":"","width":72,"height":48,"keywords":"","category":["basics"],"name":{"en-us":"Gain and offset","es-mx":"Ganancia y offset"},"desc":{"en-us":"Multiply with a constant and add with another constant","es-mx":"Multiplica con una constante y suma con otra constante"}}</t>
  </si>
  <si>
    <t>&lt;g text-anchor='middle' dominant-baseline='middle' stroke-width='1' fill='var(--col-text-0)'&gt;&lt;text x='50' y='55'font-size='6em'&gt;Σ&lt;/text&gt;&lt;/g&gt;</t>
  </si>
  <si>
    <t>umk_1614793627942</t>
  </si>
  <si>
    <t>&lt;g text-anchor='middle' dominant-baseline='middle' stroke-width='1' fill='var(--col-text-0)'&gt;&lt;text x='50' y='55'font-size='6em'&gt;Π&lt;/text&gt;&lt;/g&gt;</t>
  </si>
  <si>
    <t>&lt;g text-anchor='middle' dominant-baseline='middle' stroke-width='1' fill='var(--col-text-0)'&gt;&lt;text x='50' y='50'font-size='2.2em'&gt;Max&lt;/text&gt;&lt;/g&gt;</t>
  </si>
  <si>
    <t>umk_1614793807400</t>
  </si>
  <si>
    <t>&lt;g text-anchor='middle' dominant-baseline='middle' stroke-width='1' fill='var(--col-text-0)'&gt;&lt;text x='50' y='50'font-size='2.2em'&gt;Min&lt;/text&gt;&lt;/g&gt;</t>
  </si>
  <si>
    <t>umk_1614793852415</t>
  </si>
  <si>
    <t>umk_1614793980339</t>
  </si>
  <si>
    <t>&lt;g text-anchor='middle' dominant-baseline='middle' stroke-width='1' fill='var(--col-text-0)'&gt;&lt;text x='50' y='50'font-size='2.2em'&gt;Mean&lt;/text&gt;&lt;/g&gt;</t>
  </si>
  <si>
    <t>umk_1614794012687</t>
  </si>
  <si>
    <t>&lt;g text-anchor='middle' dominant-baseline='middle' stroke-width='1' fill='var(--col-text-0)'&gt;&lt;text x='50' y='50'font-size='2.2em'&gt;Med&lt;/text&gt;&lt;/g&gt;</t>
  </si>
  <si>
    <t>umk_1614794066926</t>
  </si>
  <si>
    <t>&lt;g text-anchor='middle' dominant-baseline='middle' stroke-width='1' fill='var(--col-text-0)'&gt;&lt;text x='50' y='50'font-size='2.2em'&gt;Mode&lt;/text&gt;&lt;/g&gt;</t>
  </si>
  <si>
    <t>umk_1614794107631</t>
  </si>
  <si>
    <t>&lt;g text-anchor='middle' dominant-baseline='middle' stroke-width='1' fill='var(--col-text-0)'&gt;&lt;text x='50' y='55'font-size='6em'&gt;σ&lt;/text&gt;&lt;/g&gt;</t>
  </si>
  <si>
    <t>umk_1614794215737</t>
  </si>
  <si>
    <t>&lt;g text-anchor='middle' dominant-baseline='middle' stroke-width='1' fill='var(--col-text-0)'&gt;&lt;text x='50' y='50'font-size='2.2em'&gt;Var&lt;/text&gt;&lt;/g&gt;</t>
  </si>
  <si>
    <t>umk_1614794258460</t>
  </si>
  <si>
    <t>&lt;g text-anchor='middle' dominant-baseline='middle' stroke-width='1' fill='var(--col-text-0)'&gt;&lt;text x='50' y='50'font-size='2.2em'&gt;Qnt&lt;/text&gt;&lt;/g&gt;</t>
  </si>
  <si>
    <t>umk_1614794433487</t>
  </si>
  <si>
    <t>&lt;g text-anchor='middle' dominant-baseline='middle' stroke-width='1' fill='var(--col-text-0)'&gt;&lt;text x='50' y='50'font-size='2.2em'&gt;MAD&lt;/text&gt;&lt;/g&gt;</t>
  </si>
  <si>
    <t>umk_1614794514839</t>
  </si>
  <si>
    <t>Product</t>
  </si>
  <si>
    <t>Max</t>
  </si>
  <si>
    <t>Min</t>
  </si>
  <si>
    <t>Mean</t>
  </si>
  <si>
    <t>Median</t>
  </si>
  <si>
    <t>Mode</t>
  </si>
  <si>
    <t>Variance</t>
  </si>
  <si>
    <t>Quantile Seq</t>
  </si>
  <si>
    <t>Standard Deviation</t>
  </si>
  <si>
    <t>MAD</t>
  </si>
  <si>
    <t>Producto</t>
  </si>
  <si>
    <t>Mediana</t>
  </si>
  <si>
    <t>Modo</t>
  </si>
  <si>
    <t>Desviación Estándar</t>
  </si>
  <si>
    <t>Secuencia de cuantiles</t>
  </si>
  <si>
    <t>Promedio</t>
  </si>
  <si>
    <t>Returns sum of input vectors or matrix</t>
  </si>
  <si>
    <t>Returns product of input vectors or matrix</t>
  </si>
  <si>
    <t>Devuelve la suma de los vectores de entrada o la matriz</t>
  </si>
  <si>
    <t>Returns the maximum value among of input vectors or matrix</t>
  </si>
  <si>
    <t>Returns the minimum value among of input vectors or matrix</t>
  </si>
  <si>
    <t>Returns the arithmetic mean for the input vectors of matrix</t>
  </si>
  <si>
    <t>Returns the median for the input vectors of matrix</t>
  </si>
  <si>
    <t>Returns the mode for the input vectors of matrix</t>
  </si>
  <si>
    <t>Returns the standard deviation for the input vectors of matrix</t>
  </si>
  <si>
    <t>Returns the variance for the input vectors of matrix</t>
  </si>
  <si>
    <t>Varianza</t>
  </si>
  <si>
    <t>Returns the median absolute deviation  for the input vectors of matrix</t>
  </si>
  <si>
    <t>Returns the prob order quantile for the input vectors of matrix</t>
  </si>
  <si>
    <t>Devuelve el producto de los vectores de entrada o la matriz.</t>
  </si>
  <si>
    <t>Devuelve el valor máximo entre los vectores de entrada o la matriz</t>
  </si>
  <si>
    <t>Devuelve el valor mínimo entre los vectores de entrada o la matriz.</t>
  </si>
  <si>
    <t>Devuelve la media aritmética de los vectores de entrada de la matriz.</t>
  </si>
  <si>
    <t>Devuelve la mediana de los vectores de entrada de la matriz.</t>
  </si>
  <si>
    <t>Devuelve el modo para los vectores de entrada de la matriz.</t>
  </si>
  <si>
    <t>Devuelve la desviación estándar de los vectores de entrada de la matriz.</t>
  </si>
  <si>
    <t>Devuelve la varianza de los vectores de entrada de la matriz.</t>
  </si>
  <si>
    <t>Devuelve el cuantil de orden prob para los vectores de entrada de la matriz.</t>
  </si>
  <si>
    <t>Devuelve la desviación absoluta mediana para los vectores de entrada de la matriz.</t>
  </si>
  <si>
    <t>,"umk_1614794012687":{"icon":"&lt;g text-anchor='middle' dominant-baseline='middle' stroke-width='1' fill='var(--col-text-0)'&gt;&lt;text x='50' y='50'font-size='2.2em'&gt;Mean&lt;/text&gt;&lt;/g&gt;","bg":"","fg":"","width":48,"height":48,"keywords":"","category":["mat"],"name":{"en-us":"Mean","es-mx":"Promedio"},"desc":{"en-us":"Returns the arithmetic mean for the input vectors of matrix","es-mx":"Devuelve la media aritmética de los vectores de entrada de la matriz."}}</t>
  </si>
  <si>
    <t>,"umk_1614794107631":{"icon":"&lt;g text-anchor='middle' dominant-baseline='middle' stroke-width='1' fill='var(--col-text-0)'&gt;&lt;text x='50' y='50'font-size='2.2em'&gt;Mode&lt;/text&gt;&lt;/g&gt;","bg":"","fg":"","width":48,"height":48,"keywords":"","category":["mat"],"name":{"en-us":"Mode","es-mx":"Modo"},"desc":{"en-us":"Returns the mode for the input vectors of matrix","es-mx":"Devuelve el modo para los vectores de entrada de la matriz."}}</t>
  </si>
  <si>
    <t>,"umk_1614794215737":{"icon":"&lt;g text-anchor='middle' dominant-baseline='middle' stroke-width='1' fill='var(--col-text-0)'&gt;&lt;text x='50' y='55'font-size='6em'&gt;σ&lt;/text&gt;&lt;/g&gt;","bg":"","fg":"","width":48,"height":48,"keywords":"","category":["mat"],"name":{"en-us":"Standard Deviation","es-mx":"Desviación Estándar"},"desc":{"en-us":"Returns the standard deviation for the input vectors of matrix","es-mx":"Devuelve la desviación estándar de los vectores de entrada de la matriz."}}</t>
  </si>
  <si>
    <t>,"umk_1614794258460":{"icon":"&lt;g text-anchor='middle' dominant-baseline='middle' stroke-width='1' fill='var(--col-text-0)'&gt;&lt;text x='50' y='50'font-size='2.2em'&gt;Var&lt;/text&gt;&lt;/g&gt;","bg":"","fg":"","width":48,"height":48,"keywords":"","category":["mat"],"name":{"en-us":"Variance","es-mx":"Varianza"},"desc":{"en-us":"Returns the variance for the input vectors of matrix","es-mx":"Devuelve la varianza de los vectores de entrada de la matriz."}}</t>
  </si>
  <si>
    <t>,"umk_1614794433487":{"icon":"&lt;g text-anchor='middle' dominant-baseline='middle' stroke-width='1' fill='var(--col-text-0)'&gt;&lt;text x='50' y='50'font-size='2.2em'&gt;Qnt&lt;/text&gt;&lt;/g&gt;","bg":"","fg":"","width":48,"height":48,"keywords":"","category":["mat"],"name":{"en-us":"Quantile Seq","es-mx":"Secuencia de cuantiles"},"desc":{"en-us":"Returns the prob order quantile for the input vectors of matrix","es-mx":"Devuelve el cuantil de orden prob para los vectores de entrada de la matriz."}}</t>
  </si>
  <si>
    <t>umk_1614796116806</t>
  </si>
  <si>
    <t>&lt;g text-anchor='middle' dominant-baseline='middle' stroke-width='1' fill='var(--col-text-0)'&gt;&lt;text x='50' y='50'font-size='2.2em'&gt;RMS&lt;/text&gt;&lt;/g&gt;</t>
  </si>
  <si>
    <t>RMS</t>
  </si>
  <si>
    <t>Returns the root mean square for the input vectors of matrix</t>
  </si>
  <si>
    <t>Devuelve la raíz cuadrada media de los vectores de entrada de la matriz.</t>
  </si>
  <si>
    <t>umk_1614802579029</t>
  </si>
  <si>
    <t>umk_1614802772056</t>
  </si>
  <si>
    <t>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x='35' y='40' font-size='2em'&gt;H&lt;/text&gt;&lt;/g&gt;</t>
  </si>
  <si>
    <t>umk_1614802842592</t>
  </si>
  <si>
    <t>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font-size='2em'&gt;H&lt;/text&gt;&lt;/g&gt;</t>
  </si>
  <si>
    <t>&lt;g stroke-width='1' fill='var(--col-text-0)'&gt;&lt;text x='10' y='65' font-size='4em'&gt;u&lt;/text&gt;&lt;text x='55' y='65' font-size='4em'&gt;u&lt;/text&gt;&lt;text x='39' y='45' font-size='2em'&gt;H&lt;/text&gt;&lt;/g&gt;</t>
  </si>
  <si>
    <t>umk_1614802924550</t>
  </si>
  <si>
    <t>&lt;g stroke-width='1' fill='var(--col-text-0)'&gt;&lt;text x='7' y='65' font-size='4em'&gt;u&lt;/text&gt;&lt;text x='45' y='65' font-size='4em'&gt;u&lt;/text&gt;&lt;text x='75' y='45' font-size='2em'&gt;H&lt;/text&gt;&lt;/g&gt;</t>
  </si>
  <si>
    <t>Transpose(u1)u2</t>
  </si>
  <si>
    <t>u1Transpose(u2)</t>
  </si>
  <si>
    <t>Transpose(u)u</t>
  </si>
  <si>
    <t>uTranspose(u)</t>
  </si>
  <si>
    <t>Hermitian(u1)u2</t>
  </si>
  <si>
    <t>u1Hermitian(u2)</t>
  </si>
  <si>
    <t>Hermitian(u)u</t>
  </si>
  <si>
    <t>uHermitian(u)</t>
  </si>
  <si>
    <t>Matrix multiplication applied on the Hermitian of first input and second input</t>
  </si>
  <si>
    <t>Matrix multiplication applied on first input and the Hermitian of second input</t>
  </si>
  <si>
    <t>Matrix multiplication applied on Hermitian of input to itself</t>
  </si>
  <si>
    <t>Matrix multiplication applied on the input to Hermitian of itself</t>
  </si>
  <si>
    <t>Hermitiana(u1)u2</t>
  </si>
  <si>
    <t>Transposición Hermitiana</t>
  </si>
  <si>
    <t>u1Hermitiana(u2)</t>
  </si>
  <si>
    <t>Hermitiana(u)u</t>
  </si>
  <si>
    <t>uHermitiana(u)</t>
  </si>
  <si>
    <t>Multiplicación de matrices aplicada a la Hermitiana de la primera entrada y la segunda entrada</t>
  </si>
  <si>
    <t>Multiplicación de matrices aplicada en la primera entrada y la Hermitiana de la segunda entrada</t>
  </si>
  <si>
    <t>Multiplicación de matrices aplicada a la Hermitiana de la entrada a sí misma</t>
  </si>
  <si>
    <t>Multiplicación de matrices aplicada a la entrada para Hermitiana a sí misma</t>
  </si>
  <si>
    <t>umk_1614803399341</t>
  </si>
  <si>
    <t>,"umk_1614650915823":{"icon":"&lt;g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font-size='2em'&gt;T&lt;/text&gt;&lt;/g&gt;","bg":"","fg":"","width":48,"height":48,"keywords":"","category":["mat"],"name":{"en-us":"Transpose(u1)u2","es-mx":"Transpose(u1)u2"},"desc":{"en-us":"Matrix multiplication applied on the transpose of first input and second input","es-mx":"Multiplicación de matrices aplicada a la transposición de la primera entrada y la segunda entrada"}}</t>
  </si>
  <si>
    <t>,"umk_1614650936727":{"icon":"&lt;g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font-size='2em'&gt;T&lt;/text&gt;&lt;/g&gt;","bg":"","fg":"","width":48,"height":48,"keywords":"","category":["mat"],"name":{"en-us":"u1Transpose(u2)","es-mx":"u1Transpose(u2)"},"desc":{"en-us":"Matrix multiplication applied on first input and the transpose of second input","es-mx":"Multiplicación de matrices aplicada en la primera entrada y la transposición de la segunda entrada"}}</t>
  </si>
  <si>
    <t>,"umk_1614650960190":{"icon":"&lt;g stroke-width='1' fill='var(--col-text-0)'&gt;&lt;text x='10' y='65' font-size='4em'&gt;u&lt;/text&gt;&lt;text x='55' y='65' font-size='4em'&gt;u&lt;/text&gt;&lt;text x='37' y='45' font-size='2em'&gt;T&lt;/text&gt;&lt;/g&gt;","bg":"","fg":"","width":48,"height":48,"keywords":"","category":["mat"],"name":{"en-us":"Transpose(u)u","es-mx":"Transpose(u)u"},"desc":{"en-us":"Matrix multiplication applied on Transpose of input to itself","es-mx":"Multiplicación de matrices aplicada a la transposición de la entrada a sí misma"}}</t>
  </si>
  <si>
    <t>,"umk_1614651143702":{"icon":"&lt;g stroke-width='1' fill='var(--col-text-0)'&gt;&lt;text x='7' y='65' font-size='4em'&gt;u&lt;/text&gt;&lt;text x='45' y='65' font-size='4em'&gt;u&lt;/text&gt;&lt;text x='75' y='45' font-size='2em'&gt;T&lt;/text&gt;&lt;/g&gt;","bg":"","fg":"","width":48,"height":48,"keywords":"","category":["mat"],"name":{"en-us":"uTranspose(u)","es-mx":"uTranspose(u)"},"desc":{"en-us":"Matrix multiplication applied on the input to transpose of itself","es-mx":"Multiplicación de matrices aplicada a la entrada para transponerse a sí misma"}}</t>
  </si>
  <si>
    <t>,"umk_1595703771325":{"icon":"&lt;text x='20' y='73' stroke-width='1' fill='var(--col-text-0)' font-size='4em'&gt;u&lt;/text&gt;&lt;text x='55' y='52' stroke-width='1' fill='var(--col-text-0)' font-size='3em'&gt;H&lt;/text&gt;","bg":"","fg":"","width":48,"height":48,"keywords":"","category":["mat"],"name":{"en-us":"Hermitian transpose","es-mx":"Transposición Hermitiana"},"desc":{"en-us":"Returns conjugate transpose of the input matrix","es-mx":"Devuelve la transposición conjugada de la matriz de entrada"}}</t>
  </si>
  <si>
    <t>,"umk_1614802579029":{"icon":"&lt;g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x='35' y='40' font-size='2em'&gt;H&lt;/text&gt;&lt;/g&gt;","bg":"","fg":"","width":48,"height":48,"keywords":"","category":["mat"],"name":{"en-us":"Hermitian(u1)u2","es-mx":"Hermitiana(u1)u2"},"desc":{"en-us":"Matrix multiplication applied on the Hermitian of first input and second input","es-mx":"Multiplicación de matrices aplicada a la Hermitiana de la primera entrada y la segunda entrada"}}</t>
  </si>
  <si>
    <t>,"umk_1614802772056":{"icon":"&lt;g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font-size='2em'&gt;H&lt;/text&gt;&lt;/g&gt;","bg":"","fg":"","width":48,"height":48,"keywords":"","category":["mat"],"name":{"en-us":"u1Hermitian(u2)","es-mx":"u1Hermitiana(u2)"},"desc":{"en-us":"Matrix multiplication applied on first input and the Hermitian of second input","es-mx":"Multiplicación de matrices aplicada en la primera entrada y la Hermitiana de la segunda entrada"}}</t>
  </si>
  <si>
    <t>,"umk_1614802842592":{"icon":"&lt;g stroke-width='1' fill='var(--col-text-0)'&gt;&lt;text x='10' y='65' font-size='4em'&gt;u&lt;/text&gt;&lt;text x='55' y='65' font-size='4em'&gt;u&lt;/text&gt;&lt;text x='39' y='45' font-size='2em'&gt;H&lt;/text&gt;&lt;/g&gt;","bg":"","fg":"","width":48,"height":48,"keywords":"","category":["mat"],"name":{"en-us":"Hermitian(u)u","es-mx":"Hermitiana(u)u"},"desc":{"en-us":"Matrix multiplication applied on Hermitian of input to itself","es-mx":"Multiplicación de matrices aplicada a la Hermitiana de la entrada a sí misma"}}</t>
  </si>
  <si>
    <t>,"umk_1614802924550":{"icon":"&lt;g stroke-width='1' fill='var(--col-text-0)'&gt;&lt;text x='7' y='65' font-size='4em'&gt;u&lt;/text&gt;&lt;text x='45' y='65' font-size='4em'&gt;u&lt;/text&gt;&lt;text x='75' y='45' font-size='2em'&gt;H&lt;/text&gt;&lt;/g&gt;","bg":"","fg":"","width":48,"height":48,"keywords":"","category":["mat"],"name":{"en-us":"uHermitian(u)","es-mx":"uHermitiana(u)"},"desc":{"en-us":"Matrix multiplication applied on the input to Hermitian of itself","es-mx":"Multiplicación de matrices aplicada a la entrada para Hermitiana a sí misma"}}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</si>
  <si>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output","es-mx":"Devuelve la raíz cuadrada media de los vectores de entrada de la matriz."}}</t>
  </si>
  <si>
    <t>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d='M10,35L10,70L30,70M30,70L20,60M30,70L20,80'/&gt;</t>
  </si>
  <si>
    <t>umk_1614835535258</t>
  </si>
  <si>
    <t>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d='M15,35L15,70L35,70M15,35L25,45M15,35L05,45'/&gt;</t>
  </si>
  <si>
    <t>Crear diagonal</t>
  </si>
  <si>
    <t>Create diagonal</t>
  </si>
  <si>
    <t>Generates a diagonal matrix for the input vector</t>
  </si>
  <si>
    <t>Genera una matriz diagonal para los vector de entrada.</t>
  </si>
  <si>
    <t>Extract diagonal</t>
  </si>
  <si>
    <t>Extraer diagonal</t>
  </si>
  <si>
    <t>Extract diagonal elements from a matrix</t>
  </si>
  <si>
    <t>Extraer elementos diagonales de una matriz</t>
  </si>
  <si>
    <t>,"umk_1614793627942":{"icon":"&lt;g text-anchor='middle' dominant-baseline='middle' stroke-width='1' fill='var(--col-text-0)'&gt;&lt;text x='50' y='55'font-size='6em'&gt;Σ&lt;/text&gt;&lt;/g&gt;","bg":"","fg":"","width":144,"height":48,"keywords":"","category":["mat"],"name":{"en-us":"Sum","es-mx":"Suma"},"desc":{"en-us":"Returns sum of input vectors or matrix","es-mx":"Devuelve la suma de los vectores de entrada o la matriz"}}</t>
  </si>
  <si>
    <t>,"umk_1614793807400":{"icon":"&lt;g text-anchor='middle' dominant-baseline='middle' stroke-width='1' fill='var(--col-text-0)'&gt;&lt;text x='50' y='55'font-size='6em'&gt;Π&lt;/text&gt;&lt;/g&gt;","bg":"","fg":"","width":144,"height":48,"keywords":"","category":["mat"],"name":{"en-us":"Product","es-mx":"Producto"},"desc":{"en-us":"Returns product of input vectors or matrix","es-mx":"Devuelve el producto de los vectores de entrada o la matriz."}}</t>
  </si>
  <si>
    <t>,"umk_1614793852415":{"icon":"&lt;g text-anchor='middle' dominant-baseline='middle' stroke-width='1' fill='var(--col-text-0)'&gt;&lt;text x='50' y='50'font-size='2.2em'&gt;Max&lt;/text&gt;&lt;/g&gt;","bg":"","fg":"","width":120,"height":48,"keywords":"","category":["mat"],"name":{"en-us":"Max","es-mx":"Max"},"desc":{"en-us":"Returns the maximum value among of input vectors or matrix","es-mx":"Devuelve el valor máximo entre los vectores de entrada o la matriz"}}</t>
  </si>
  <si>
    <t>,"umk_1614793980339":{"icon":"&lt;g text-anchor='middle' dominant-baseline='middle' stroke-width='1' fill='var(--col-text-0)'&gt;&lt;text x='50' y='50'font-size='2.2em'&gt;Min&lt;/text&gt;&lt;/g&gt;","bg":"","fg":"","width":120,"height":48,"keywords":"","category":["mat"],"name":{"en-us":"Min","es-mx":"Min"},"desc":{"en-us":"Returns the minimum value among of input vectors or matrix","es-mx":"Devuelve el valor mínimo entre los vectores de entrada o la matriz."}}</t>
  </si>
  <si>
    <t>,"umk_1614794066926":{"icon":"&lt;g text-anchor='middle' dominant-baseline='middle' stroke-width='1' fill='var(--col-text-0)'&gt;&lt;text x='50' y='50'font-size='2.2em'&gt;Med&lt;/text&gt;&lt;/g&gt;","bg":"","fg":"","width":96,"height":48,"keywords":"","category":["mat"],"name":{"en-us":"Median","es-mx":"Mediana"},"desc":{"en-us":"Returns the median for the input vectors of matrix","es-mx":"Devuelve la mediana de los vectores de entrada de la matriz."}}</t>
  </si>
  <si>
    <t>,"umk_1614794514839":{"icon":"&lt;g text-anchor='middle' dominant-baseline='middle' stroke-width='1' fill='var(--col-text-0)'&gt;&lt;text x='50' y='50'font-size='2.2em'&gt;MAD&lt;/text&gt;&lt;/g&gt;","bg":"","fg":"","width":72,"height":48,"keywords":"","category":["mat"],"name":{"en-us":"MAD","es-mx":"MAD"},"desc":{"en-us":"Returns the median absolute deviation  for the input vectors of matrix","es-mx":"Devuelve la desviación absoluta mediana para los vectores de entrada de la matriz."}}</t>
  </si>
  <si>
    <t>,"umk_1614796116806":{"icon":"&lt;g text-anchor='middle' dominant-baseline='middle' stroke-width='1' fill='var(--col-text-0)'&gt;&lt;text x='50' y='50'font-size='2.2em'&gt;RMS&lt;/text&gt;&lt;/g&gt;","bg":"","fg":"","width":72,"height":48,"keywords":"","category":["mat"],"name":{"en-us":"RMS","es-mx":"RMS"},"desc":{"en-us":"Returns the root mean square for the input vectors of matrix","es-mx":"Returns the root mean square for the input vectors of matrix"}}</t>
  </si>
  <si>
    <t>,"umk_1614803399341":{"icon":"&lt;g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d='M10,35L10,70L30,70M30,70L20,60M30,70L20,80'/&gt;","bg":"","fg":"","width":72,"height":48,"keywords":"","category":["mat"],"name":{"en-us":"Create diagonal","es-mx":"Crear diagonal"},"desc":{"en-us":"Generates a diagonal matrix for the input vector","es-mx":"Genera una matriz diagonal para los vector de entrada."}}</t>
  </si>
  <si>
    <t>,"umk_1614835535258":{"icon":"&lt;g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d='M15,35L15,70L35,70M15,35L25,45M15,35L05,45'/&gt;","bg":"","fg":"","width":72,"height":48,"keywords":"","category":["mat"],"name":{"en-us":"Extract diagonal","es-mx":"Extraer diagonal"},"desc":{"en-us":"Extract diagonal elements from a matrix","es-mx":"Extraer elementos diagonales de una matriz"}}</t>
  </si>
  <si>
    <t>&lt;g text-anchor='middle' dominant-baseline='middle' stroke-width='1' fill='var(--col-text-0)'&gt;&lt;text x='50' y='61'font-size='5em'&gt;⏱&lt;/text&gt;&lt;/g&gt;</t>
  </si>
  <si>
    <t>umk_1614876628659</t>
  </si>
  <si>
    <t>Time</t>
  </si>
  <si>
    <t>Devuelve el tiempo de simulación</t>
  </si>
  <si>
    <t>Returns the simulation time</t>
  </si>
  <si>
    <t>Tiempo</t>
  </si>
  <si>
    <t>&lt;g text-anchor='middle' dominant-baseline='middle' stroke-width='1' fill='var(--col-text-0)' transform='translate(100, 0) scale(-1,1)'&gt;&lt;text x='50' y='61'font-size='5em'&gt;🚶&lt;/text&gt;&lt;/g&gt;</t>
  </si>
  <si>
    <t>Steps</t>
  </si>
  <si>
    <t>Pasos</t>
  </si>
  <si>
    <t>Number of discrete steps taken since the beginning of simulation</t>
  </si>
  <si>
    <t>Número de pasos discretos tomados desde el comienzo de la simulación</t>
  </si>
  <si>
    <t>umk_1614889433774</t>
  </si>
  <si>
    <t>&lt;circle cx='30' cy='20' r='5'/&gt;&lt;circle cx='30' cy='80' r='5'/&gt;&lt;circle cx='70' cy='50' r='5'/&gt;&lt;path d='M10,20L25,20M10,80L25,80M90,50L75,50M70,50L22,27'/&gt;&lt;path stroke-dasharray='1,7' d='M10,50L30,50L40,40'/&gt;</t>
  </si>
  <si>
    <t>umk_1614890638761</t>
  </si>
  <si>
    <t>&lt;g text-anchor='middle' dominant-baseline='middle' stroke-width='1' fill='var(--col-text-0)'&gt;&lt;text x='50' y='61'font-size='7em'&gt;&amp;#x2696;&lt;/text&gt;&lt;/g&gt;</t>
  </si>
  <si>
    <t>umk_1614890778776</t>
  </si>
  <si>
    <t>umk_1614891893367</t>
  </si>
  <si>
    <t>Select a the input based on condition</t>
  </si>
  <si>
    <t>Seleccione una entrada basada en la condición</t>
  </si>
  <si>
    <t>Compare</t>
  </si>
  <si>
    <t>Comparar</t>
  </si>
  <si>
    <t>Compare the given input signals</t>
  </si>
  <si>
    <t>Compare las señales de entrada dadas</t>
  </si>
  <si>
    <t>Select with logic</t>
  </si>
  <si>
    <t>Seleccionar con lógica</t>
  </si>
  <si>
    <t>,"umk_1614876628659":{"icon":"&lt;g text-anchor='middle' dominant-baseline='middle' stroke-width='1' fill='var(--col-text-0)'&gt;&lt;text x='50' y='61'font-size='5em'&gt;⏱&lt;/text&gt;&lt;/g&gt;","bg":"","fg":"","width":48,"height":48,"keywords":"","category":["sources"],"name":{"en-us":"Time","es-mx":"Tiempo"},"desc":{"en-us":"Returns the simulation time","es-mx":"Devuelve el tiempo de simulación"}}</t>
  </si>
  <si>
    <t>,"umk_1614889433774":{"icon":"&lt;g text-anchor='middle' dominant-baseline='middle' stroke-width='1' fill='var(--col-text-0)' transform='translate(100, 0) scale(-1,1)'&gt;&lt;text x='50' y='61'font-size='5em'&gt;🚶&lt;/text&gt;&lt;/g&gt;","bg":"","fg":"","width":48,"height":48,"keywords":"","category":["sources"],"name":{"en-us":"Steps","es-mx":"Pasos"},"desc":{"en-us":"Number of discrete steps taken since the beginning of simulation","es-mx":"Número de pasos discretos tomados desde el comienzo de la simulación"}}</t>
  </si>
  <si>
    <t>&lt;g text-anchor='middle' dominant-baseline='middle' stroke-width='1' fill='var(--col-text-0)'&gt;&lt;text x='50' y='12' dominant-baseline='middle' text-anchor='middle' font-size='1.6em'&gt;┌&amp;nbsp; &amp;nbsp; &amp;nbsp;┐&lt;/text&gt;&lt;text x='50' y='27' dominant-baseline='middle' text-anchor='middle' font-size='1.6em'&gt;│1 0 0│&lt;/text&gt;&lt;text x='50' y='52' dominant-baseline='middle' text-anchor='middle' font-size='1.6em'&gt;│0 1 0│&lt;/text&gt;&lt;text x='50' y='77' dominant-baseline='middle' text-anchor='middle' font-size='1.6em'&gt;│0 0 1│&lt;/text&gt;&lt;text x='50' y='92' dominant-baseline='middle' text-anchor='middle' font-size='1.6em'&gt;└&amp;nbsp; &amp;nbsp; &amp;nbsp;┘&lt;/text&gt;&lt;/g&gt;</t>
  </si>
  <si>
    <t>umk_1614899219940</t>
  </si>
  <si>
    <t>Identity matrix</t>
  </si>
  <si>
    <t>Matriz de identidad</t>
  </si>
  <si>
    <t>Generates a identity matrix of the given size</t>
  </si>
  <si>
    <t>Genera una matriz de identidad del tamaño dado.</t>
  </si>
  <si>
    <t>,"umk_1614899219940":{"icon":"&lt;g text-anchor='middle' dominant-baseline='middle' stroke-width='1' fill='var(--col-text-0)'&gt;&lt;text x='50' y='12' dominant-baseline='middle' text-anchor='middle' font-size='1.6em'&gt;┌&amp;nbsp; &amp;nbsp; &amp;nbsp;┐&lt;/text&gt;&lt;text x='50' y='27' dominant-baseline='middle' text-anchor='middle' font-size='1.6em'&gt;│1 0 0│&lt;/text&gt;&lt;text x='50' y='52' dominant-baseline='middle' text-anchor='middle' font-size='1.6em'&gt;│0 1 0│&lt;/text&gt;&lt;text x='50' y='77' dominant-baseline='middle' text-anchor='middle' font-size='1.6em'&gt;│0 0 1│&lt;/text&gt;&lt;text x='50' y='92' dominant-baseline='middle' text-anchor='middle' font-size='1.6em'&gt;└&amp;nbsp; &amp;nbsp; &amp;nbsp;┘&lt;/text&gt;&lt;/g&gt;","bg":"","fg":"","width":72,"height":48,"keywords":"","category":["sources"],"name":{"en-us":"Identity matrix","es-mx":"Matriz de identidad"},"desc":{"en-us":"Generates a identity matrix of the given size","es-mx":"Genera una matriz de identidad del tamaño dado."}}</t>
  </si>
  <si>
    <t>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y='85'font-size='2em'&gt;max&lt;/text&gt;&lt;/g&gt;</t>
  </si>
  <si>
    <t>umk_1614918829723</t>
  </si>
  <si>
    <t>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y='85'font-size='2em'&gt;min&lt;/text&gt;&lt;/g&gt;</t>
  </si>
  <si>
    <t>Choose max</t>
  </si>
  <si>
    <t>Elija max</t>
  </si>
  <si>
    <t>Prepares output by taking element with maximum value from each input</t>
  </si>
  <si>
    <t>Prepara la salida tomando el elemento con el valor máximo de cada entrada.</t>
  </si>
  <si>
    <t>Choose min</t>
  </si>
  <si>
    <t>Elija min</t>
  </si>
  <si>
    <t>Prepares output by taking element with minimum value from each input</t>
  </si>
  <si>
    <t>Prepara la salida tomando el elemento con el valor mínimo de cada entrada.</t>
  </si>
  <si>
    <t>,"umk_1614890638761":{"icon":"&lt;circle cx='30' cy='20' r='5'/&gt;&lt;circle cx='30' cy='80' r='5'/&gt;&lt;circle cx='70' cy='50' r='5'/&gt;&lt;path d='M10,20L25,20M10,80L25,80M90,50L75,50M70,50L22,27'/&gt;&lt;path stroke-dasharray='1,7' d='M10,50L30,50L40,40'/&gt;","bg":"","fg":"","width":72,"height":72,"keywords":"","category":["logic"],"name":{"en-us":"Select with logic","es-mx":"Seleccionar con lógica"},"desc":{"en-us":"Select a the input based on condition","es-mx":"Seleccione una entrada basada en la condición"}}</t>
  </si>
  <si>
    <t>,"umk_1614891893367":{"icon":"&lt;g text-anchor='middle' dominant-baseline='middle' stroke-width='1' fill='var(--col-text-0)'&gt;&lt;text x='50' y='61'font-size='7em'&gt;&amp;#x2696;&lt;/text&gt;&lt;/g&gt;","bg":"","fg":"","width":72,"height":48,"keywords":"","category":["logic"],"name":{"en-us":"Compare","es-mx":"Comparar"},"desc":{"en-us":"Compare the given input signals","es-mx":"Compare las señales de entrada dadas"}}</t>
  </si>
  <si>
    <t>,"umk_1614890778776":{"icon":"&lt;circle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y='85'font-size='2em'&gt;max&lt;/text&gt;&lt;/g&gt;","bg":"","fg":"","width":48,"height":48,"keywords":"","category":["logic"],"name":{"en-us":"Choose max","es-mx":"Elija max"},"desc":{"en-us":"Prepares output by taking element with maximum value from each input","es-mx":"Prepara la salida tomando el elemento con el valor máximo de cada entrada."}}</t>
  </si>
  <si>
    <t>,"umk_1614918829723":{"icon":"&lt;circle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y='85'font-size='2em'&gt;min&lt;/text&gt;&lt;/g&gt;","bg":"","fg":"","width":48,"height":48,"keywords":"","category":["logic"],"name":{"en-us":"Choose min","es-mx":"Elija min"},"desc":{"en-us":"Prepares output by taking element with minimum value from each input","es-mx":"Prepara la salida tomando el elemento con el valor mínimo de cada entrada."}}</t>
  </si>
  <si>
    <t>[1/2,1/2]</t>
  </si>
  <si>
    <t>umk_1616354932295</t>
  </si>
  <si>
    <t>umk_1616355007458</t>
  </si>
  <si>
    <t>routing</t>
  </si>
  <si>
    <t>Signal routing</t>
  </si>
  <si>
    <t>Allows to manipulate signal flow directions</t>
  </si>
  <si>
    <t>From tag</t>
  </si>
  <si>
    <t>To tag</t>
  </si>
  <si>
    <t>Recevies signal from the specified tag name</t>
  </si>
  <si>
    <t>Send signals to all the from blocks with the same tag name</t>
  </si>
  <si>
    <t>fas fa-route</t>
  </si>
  <si>
    <t>&lt;polyline points='90,25 30,25 10,50 30,75 90,75 90,25'/&gt;</t>
  </si>
  <si>
    <t>&lt;polyline points='10,25 70,25 90,50 70,75 10,75 10,25'/&gt;</t>
  </si>
  <si>
    <t>Receives signal from the specified tag name</t>
  </si>
  <si>
    <t>Recibe la señal del nombre de etiqueta especificado</t>
  </si>
  <si>
    <t>Enrutamiento de señales</t>
  </si>
  <si>
    <t>Permite manipular las direcciones del flujo de la señal.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</si>
  <si>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sección."}},{"id":"routing","icon":"fas fa-route","name":{"en-us":"Signal routing","es-mx":"Enrutamiento de señales"},"desc":{"en-us":"Allows to manipulate signal flow directions","es-mx":"Permite manipular las direcciones del flujo de la señal."}},{"id":"continuous","icon":"fas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discreto"}}],</t>
  </si>
  <si>
    <t>,"umk_1616354932295":{"icon":"&lt;polyline points='90,25 30,25 10,50 30,75 90,75 90,25'/&gt;","bg":"","fg":"","width":48,"height":24,"keywords":"","category":["routing"],"name":{"en-us":"From tag","es-mx":"Recibe la señal del nombre de etiqueta especificado"},"desc":{"en-us":"Receives signal from the specified tag name","es-mx":"Recevies signal from the specified tag name"}}</t>
  </si>
  <si>
    <t>,"umk_1616355007458":{"icon":"&lt;polyline points='10,25 70,25 90,50 70,75 10,75 10,25'/&gt;","bg":"","fg":"","width":48,"height":24,"keywords":"","category":["routing"],"name":{"en-us":"To tag","es-mx":"Envíe señales a todos los bloques from con el mismo nombre de etiqueta"},"desc":{"en-us":"Send signals to all the from blocks with the same tag name","es-mx":"Send signals to all the from blocks with the same tag name"}}</t>
  </si>
  <si>
    <t>errMulTags</t>
  </si>
  <si>
    <t>You cannot connect From tag and To tag</t>
  </si>
  <si>
    <t>No se puede conectar la etiqueta De y la etiqueta A</t>
  </si>
  <si>
    <t>errRouting</t>
  </si>
  <si>
    <t>Error in routing</t>
  </si>
  <si>
    <t>errRouteDef</t>
  </si>
  <si>
    <t>This route name is defined several times</t>
  </si>
  <si>
    <t>errRouteNotCon</t>
  </si>
  <si>
    <t>One or more tags are not connected</t>
  </si>
  <si>
    <t>errRouteNotFound</t>
  </si>
  <si>
    <t>This tag is not assigned to any signal</t>
  </si>
  <si>
    <t>Error en el enrutamiento</t>
  </si>
  <si>
    <t>Este nombre de ruta se define varias veces</t>
  </si>
  <si>
    <t>Una o más etiquetas no están conectadas</t>
  </si>
  <si>
    <t>Esta etiqueta no está asignada a ninguna señal.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</si>
</sst>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3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7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15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182880</xdr:colOff>
      <xdr:row>15</xdr:row>
      <xdr:rowOff>129540</xdr:rowOff>
    </xdr:from>
    <xdr:to>
      <xdr:col>17</xdr:col>
      <xdr:colOff>655980</xdr:colOff>
      <xdr:row>28</xdr:row>
      <xdr:rowOff>137367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37960" y="2872740"/>
          <a:ext cx="7620660" cy="23852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12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4" sqref="C4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>
      <selection activeCell="A4" sqref="A4"/>
    </sheetView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1"/>
  <sheetViews>
    <sheetView tabSelected="1" topLeftCell="A138" zoomScaleNormal="100" workbookViewId="0">
      <selection activeCell="A210" sqref="A210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performance.","pPLink":"Privacy Policy","tNCLink":"Terms and Conditions","accept":"Accept","aNewVar":"Add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mode","etyCap":"Create blocks without a caption","maxTotalHistory":"Limit the total history","waitPRLoad":"Wait for results to load (s)","waitUpdGraphs":"Wait for updating graphs (ms)","enableAudio":"Enable audio","errMulTags":"You cannot connect From tag and To tag","errRouting":"Error in routing","errRouteDef":"This route name is defined several times","errRouteNotCon":"One or more tags are not connected","errRouteNotFound":"This tag is not assigned to any signal"},"es-mx":{"hide":"Esconder","hide_left_desc":"Hides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rendimiento.","pPLink":"Política de privacidad","tNCLink":"Términos y condiciones","accept":"Aceptar","aNewVar":"Agregar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cable","etyCap":"Crear bloques sin capción","maxTotalHistory":"Limita el historial total","waitPRLoad":"Espere a que se carguen los resultados (s)","waitUpdGraphs":"Espere a que se actualicen los gráficos (ms)","enableAudio":"Habilitar audio","errMulTags":"No se puede conectar la etiqueta De y la etiqueta A","errRouting":"Error en el enrutamiento","errRouteDef":"Este nombre de ruta se define varias veces","errRouteNotCon":"Una o más etiquetas no están conectadas","errRouteNotFound":"Esta etiqueta no está asignada a ninguna señal."}};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717</v>
      </c>
      <c r="B3" t="s">
        <v>719</v>
      </c>
      <c r="C3" t="s">
        <v>719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718</v>
      </c>
      <c r="B4" t="s">
        <v>720</v>
      </c>
      <c r="C4" t="s">
        <v>720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508</v>
      </c>
      <c r="B7" t="s">
        <v>603</v>
      </c>
      <c r="C7" t="s">
        <v>603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509</v>
      </c>
      <c r="B8" t="s">
        <v>604</v>
      </c>
      <c r="C8" t="s">
        <v>604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510</v>
      </c>
      <c r="B9" t="s">
        <v>605</v>
      </c>
      <c r="C9" t="s">
        <v>605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512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513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514</v>
      </c>
      <c r="B13" t="s">
        <v>606</v>
      </c>
      <c r="C13" t="s">
        <v>606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515</v>
      </c>
      <c r="B14" t="s">
        <v>627</v>
      </c>
      <c r="C14" t="s">
        <v>627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516</v>
      </c>
      <c r="B15" t="s">
        <v>607</v>
      </c>
      <c r="C15" t="s">
        <v>607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517</v>
      </c>
      <c r="B16" t="s">
        <v>626</v>
      </c>
      <c r="C16" t="s">
        <v>626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518</v>
      </c>
      <c r="B17" t="s">
        <v>628</v>
      </c>
      <c r="C17" t="s">
        <v>628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519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520</v>
      </c>
      <c r="B19" t="s">
        <v>608</v>
      </c>
      <c r="C19" t="s">
        <v>608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521</v>
      </c>
      <c r="B20" t="s">
        <v>629</v>
      </c>
      <c r="C20" t="s">
        <v>629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522</v>
      </c>
      <c r="B21" t="s">
        <v>630</v>
      </c>
      <c r="C21" t="s">
        <v>630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523</v>
      </c>
      <c r="B22" t="s">
        <v>631</v>
      </c>
      <c r="C22" t="s">
        <v>631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524</v>
      </c>
      <c r="B23" t="s">
        <v>632</v>
      </c>
      <c r="C23" t="s">
        <v>632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525</v>
      </c>
      <c r="B24" t="s">
        <v>609</v>
      </c>
      <c r="C24" t="s">
        <v>609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526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527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528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529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532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533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534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535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536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537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538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539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542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543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544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545</v>
      </c>
      <c r="B44" t="s">
        <v>610</v>
      </c>
      <c r="C44" t="s">
        <v>610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546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547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548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549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550</v>
      </c>
      <c r="B49" t="s">
        <v>611</v>
      </c>
      <c r="C49" t="s">
        <v>611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552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553</v>
      </c>
      <c r="B52" t="s">
        <v>612</v>
      </c>
      <c r="C52" t="s">
        <v>612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554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555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556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557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558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559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562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563</v>
      </c>
      <c r="B62" t="s">
        <v>662</v>
      </c>
      <c r="C62" t="s">
        <v>662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564</v>
      </c>
      <c r="B63" t="s">
        <v>663</v>
      </c>
      <c r="C63" t="s">
        <v>663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565</v>
      </c>
      <c r="B64" t="s">
        <v>613</v>
      </c>
      <c r="C64" t="s">
        <v>613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566</v>
      </c>
      <c r="B65" t="s">
        <v>633</v>
      </c>
      <c r="C65" t="s">
        <v>633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567</v>
      </c>
      <c r="B66" t="s">
        <v>634</v>
      </c>
      <c r="C66" t="s">
        <v>634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568</v>
      </c>
      <c r="B67" t="s">
        <v>635</v>
      </c>
      <c r="C67" t="s">
        <v>635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569</v>
      </c>
      <c r="B68" t="s">
        <v>636</v>
      </c>
      <c r="C68" t="s">
        <v>636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570</v>
      </c>
      <c r="B69" t="s">
        <v>637</v>
      </c>
      <c r="C69" t="s">
        <v>637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571</v>
      </c>
      <c r="B70" t="s">
        <v>638</v>
      </c>
      <c r="C70" t="s">
        <v>638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572</v>
      </c>
      <c r="B71" t="s">
        <v>639</v>
      </c>
      <c r="C71" t="s">
        <v>639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573</v>
      </c>
      <c r="B72" t="s">
        <v>640</v>
      </c>
      <c r="C72" t="s">
        <v>640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574</v>
      </c>
      <c r="B73" t="s">
        <v>641</v>
      </c>
      <c r="C73" t="s">
        <v>641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575</v>
      </c>
      <c r="B74" t="s">
        <v>642</v>
      </c>
      <c r="C74" t="s">
        <v>642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576</v>
      </c>
      <c r="B75" t="s">
        <v>657</v>
      </c>
      <c r="C75" t="s">
        <v>657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577</v>
      </c>
      <c r="B76" t="s">
        <v>658</v>
      </c>
      <c r="C76" t="s">
        <v>658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578</v>
      </c>
      <c r="B77" t="s">
        <v>659</v>
      </c>
      <c r="C77" t="s">
        <v>659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579</v>
      </c>
      <c r="B78" t="s">
        <v>660</v>
      </c>
      <c r="C78" t="s">
        <v>660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580</v>
      </c>
      <c r="B79" t="s">
        <v>661</v>
      </c>
      <c r="C79" t="s">
        <v>661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581</v>
      </c>
      <c r="B80" t="s">
        <v>614</v>
      </c>
      <c r="C80" t="s">
        <v>614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582</v>
      </c>
      <c r="B81" t="s">
        <v>615</v>
      </c>
      <c r="C81" t="s">
        <v>615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583</v>
      </c>
      <c r="B82" t="s">
        <v>616</v>
      </c>
      <c r="C82" t="s">
        <v>616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584</v>
      </c>
      <c r="B83" t="s">
        <v>617</v>
      </c>
      <c r="C83" t="s">
        <v>617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585</v>
      </c>
      <c r="B84" t="s">
        <v>618</v>
      </c>
      <c r="C84" t="s">
        <v>618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586</v>
      </c>
      <c r="B85" t="s">
        <v>619</v>
      </c>
      <c r="C85" t="s">
        <v>619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587</v>
      </c>
      <c r="B86" t="s">
        <v>620</v>
      </c>
      <c r="C86" t="s">
        <v>620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588</v>
      </c>
      <c r="B87" t="s">
        <v>621</v>
      </c>
      <c r="C87" t="s">
        <v>621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589</v>
      </c>
      <c r="B88" t="s">
        <v>622</v>
      </c>
      <c r="C88" t="s">
        <v>622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590</v>
      </c>
      <c r="B89" t="s">
        <v>623</v>
      </c>
      <c r="C89" t="s">
        <v>623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591</v>
      </c>
      <c r="B90" t="s">
        <v>624</v>
      </c>
      <c r="C90" t="s">
        <v>624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592</v>
      </c>
      <c r="B91" t="s">
        <v>625</v>
      </c>
      <c r="C91" t="s">
        <v>625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593</v>
      </c>
      <c r="B92" t="s">
        <v>655</v>
      </c>
      <c r="C92" t="s">
        <v>655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594</v>
      </c>
      <c r="B93" t="s">
        <v>656</v>
      </c>
      <c r="C93" t="s">
        <v>656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595</v>
      </c>
      <c r="B94" t="s">
        <v>644</v>
      </c>
      <c r="C94" t="s">
        <v>644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596</v>
      </c>
      <c r="B95" t="s">
        <v>645</v>
      </c>
      <c r="C95" t="s">
        <v>645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643</v>
      </c>
      <c r="B96" t="s">
        <v>646</v>
      </c>
      <c r="C96" t="s">
        <v>646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647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648</v>
      </c>
      <c r="B98" t="s">
        <v>649</v>
      </c>
      <c r="C98" t="s">
        <v>649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597</v>
      </c>
      <c r="B99" s="1" t="s">
        <v>650</v>
      </c>
      <c r="C99" s="1" t="s">
        <v>650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598</v>
      </c>
      <c r="B100" t="s">
        <v>651</v>
      </c>
      <c r="C100" t="s">
        <v>651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599</v>
      </c>
      <c r="B101" t="s">
        <v>652</v>
      </c>
      <c r="C101" t="s">
        <v>652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600</v>
      </c>
      <c r="B102" s="8" t="s">
        <v>664</v>
      </c>
      <c r="C102" s="8" t="s">
        <v>664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601</v>
      </c>
      <c r="B103" t="s">
        <v>653</v>
      </c>
      <c r="C103" t="s">
        <v>653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602</v>
      </c>
      <c r="B104" s="1" t="s">
        <v>654</v>
      </c>
      <c r="C104" s="1" t="s">
        <v>654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682</v>
      </c>
      <c r="B105" t="s">
        <v>683</v>
      </c>
      <c r="C105" t="s">
        <v>684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686</v>
      </c>
      <c r="B106" t="s">
        <v>685</v>
      </c>
      <c r="C106" t="s">
        <v>693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699</v>
      </c>
      <c r="B107" t="s">
        <v>687</v>
      </c>
      <c r="C107" t="s">
        <v>694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698</v>
      </c>
      <c r="B108" t="s">
        <v>688</v>
      </c>
      <c r="C108" t="s">
        <v>695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689</v>
      </c>
      <c r="B109" t="s">
        <v>690</v>
      </c>
      <c r="C109" t="s">
        <v>696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691</v>
      </c>
      <c r="C110" t="s">
        <v>697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692</v>
      </c>
      <c r="C111" t="s">
        <v>692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721</v>
      </c>
      <c r="B112" t="s">
        <v>722</v>
      </c>
      <c r="C112" t="s">
        <v>723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732</v>
      </c>
      <c r="B113" t="s">
        <v>733</v>
      </c>
      <c r="C113" t="s">
        <v>734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735</v>
      </c>
      <c r="B114" t="s">
        <v>736</v>
      </c>
      <c r="C114" t="s">
        <v>737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738</v>
      </c>
      <c r="B115" t="s">
        <v>748</v>
      </c>
      <c r="C115" t="s">
        <v>745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739</v>
      </c>
      <c r="B116" t="s">
        <v>744</v>
      </c>
      <c r="C116" t="s">
        <v>746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740</v>
      </c>
      <c r="B117" t="s">
        <v>742</v>
      </c>
      <c r="C117" t="s">
        <v>747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741</v>
      </c>
      <c r="B118" t="s">
        <v>743</v>
      </c>
      <c r="C118" t="s">
        <v>743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749</v>
      </c>
      <c r="B119" t="s">
        <v>750</v>
      </c>
      <c r="C119" t="s">
        <v>751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752</v>
      </c>
      <c r="B120" t="s">
        <v>754</v>
      </c>
      <c r="C120" t="s">
        <v>760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753</v>
      </c>
      <c r="B121" t="s">
        <v>755</v>
      </c>
      <c r="C121" t="s">
        <v>761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759</v>
      </c>
      <c r="B122" t="s">
        <v>756</v>
      </c>
      <c r="C122" t="s">
        <v>762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757</v>
      </c>
      <c r="B123" t="s">
        <v>758</v>
      </c>
      <c r="C123" t="s">
        <v>763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767</v>
      </c>
      <c r="B124" t="s">
        <v>765</v>
      </c>
      <c r="C124" t="s">
        <v>772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782</v>
      </c>
      <c r="B125" t="s">
        <v>784</v>
      </c>
      <c r="C125" t="s">
        <v>786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783</v>
      </c>
      <c r="B126" t="s">
        <v>785</v>
      </c>
      <c r="C126" t="s">
        <v>785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768</v>
      </c>
      <c r="B127" t="s">
        <v>770</v>
      </c>
      <c r="C127" t="s">
        <v>770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769</v>
      </c>
      <c r="B128" t="s">
        <v>771</v>
      </c>
      <c r="C128" t="s">
        <v>773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774</v>
      </c>
      <c r="B129" t="s">
        <v>1628</v>
      </c>
      <c r="C129" t="s">
        <v>1629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3">
      <c r="A130" t="s">
        <v>776</v>
      </c>
      <c r="B130" t="s">
        <v>1630</v>
      </c>
      <c r="C130" t="s">
        <v>1631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3">
      <c r="A131" t="s">
        <v>775</v>
      </c>
      <c r="B131" t="s">
        <v>778</v>
      </c>
      <c r="C131" t="s">
        <v>780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777</v>
      </c>
      <c r="B132" t="s">
        <v>779</v>
      </c>
      <c r="C132" t="s">
        <v>781</v>
      </c>
      <c r="K132" t="str">
        <f t="shared" ref="K132:K163" si="6">IF(ISBLANK($A132),"",""""&amp;$A132&amp;""":"""&amp;B132&amp;""""&amp;IF(ISBLANK(A133),"}",","))</f>
        <v>"errOnlyOneInp":"Only one input can be connected per terminal",</v>
      </c>
      <c r="L132" t="str">
        <f t="shared" ref="L132:L163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828</v>
      </c>
      <c r="B133" t="s">
        <v>829</v>
      </c>
      <c r="C133" t="s">
        <v>830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788</v>
      </c>
      <c r="B134" t="s">
        <v>790</v>
      </c>
      <c r="C134" t="s">
        <v>791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1912</v>
      </c>
      <c r="B135" t="s">
        <v>1917</v>
      </c>
      <c r="C135" t="s">
        <v>1916</v>
      </c>
      <c r="K135" t="str">
        <f>IF(ISBLANK($A135),"",""""&amp;$A135&amp;""":"""&amp;B135&amp;""""&amp;IF(ISBLANK(A137),"}",","))</f>
        <v>"pPLink":"Privacy Policy",</v>
      </c>
      <c r="L135" t="str">
        <f>IF(ISBLANK($A135),"",""""&amp;$A135&amp;""":"""&amp;C135&amp;""""&amp;IF(ISBLANK(B137),"}",","))</f>
        <v>"pPLink":"Política de privacidad",</v>
      </c>
    </row>
    <row r="136" spans="1:12" x14ac:dyDescent="0.3">
      <c r="A136" t="s">
        <v>1913</v>
      </c>
      <c r="B136" t="s">
        <v>1915</v>
      </c>
      <c r="C136" t="s">
        <v>1914</v>
      </c>
      <c r="K136" t="str">
        <f t="shared" ref="K136:L136" si="8">IF(ISBLANK($A136),"",""""&amp;$A136&amp;""":"""&amp;B136&amp;""""&amp;IF(ISBLANK(A138),"}",","))</f>
        <v>"tNCLink":"Terms and Conditions",</v>
      </c>
      <c r="L136" t="str">
        <f t="shared" si="8"/>
        <v>"tNCLink":"Términos y condiciones",</v>
      </c>
    </row>
    <row r="137" spans="1:12" x14ac:dyDescent="0.3">
      <c r="A137" t="s">
        <v>787</v>
      </c>
      <c r="B137" t="s">
        <v>789</v>
      </c>
      <c r="C137" t="s">
        <v>792</v>
      </c>
      <c r="K137" t="str">
        <f t="shared" ref="K137:L137" si="9">IF(ISBLANK($A137),"",""""&amp;$A137&amp;""":"""&amp;B137&amp;""""&amp;IF(ISBLANK(A139),"}",","))</f>
        <v>"accept":"Accept",</v>
      </c>
      <c r="L137" t="str">
        <f t="shared" si="9"/>
        <v>"accept":"Aceptar",</v>
      </c>
    </row>
    <row r="138" spans="1:12" x14ac:dyDescent="0.3">
      <c r="A138" t="s">
        <v>814</v>
      </c>
      <c r="B138" t="s">
        <v>815</v>
      </c>
      <c r="C138" t="s">
        <v>816</v>
      </c>
      <c r="K138" t="str">
        <f t="shared" si="6"/>
        <v>"aNewVar":"Add a new variable",</v>
      </c>
      <c r="L138" t="str">
        <f t="shared" si="7"/>
        <v>"aNewVar":"Agregar una nueva variable",</v>
      </c>
    </row>
    <row r="139" spans="1:12" x14ac:dyDescent="0.3">
      <c r="A139" t="s">
        <v>817</v>
      </c>
      <c r="B139" t="s">
        <v>819</v>
      </c>
      <c r="C139" t="s">
        <v>821</v>
      </c>
      <c r="K139" t="str">
        <f t="shared" si="6"/>
        <v>"save":"Save",</v>
      </c>
      <c r="L139" t="str">
        <f t="shared" si="7"/>
        <v>"save":"Guardar",</v>
      </c>
    </row>
    <row r="140" spans="1:12" x14ac:dyDescent="0.3">
      <c r="A140" t="s">
        <v>818</v>
      </c>
      <c r="B140" t="s">
        <v>820</v>
      </c>
      <c r="C140" t="s">
        <v>822</v>
      </c>
      <c r="K140" t="str">
        <f t="shared" si="6"/>
        <v>"cancel":"Cancel",</v>
      </c>
      <c r="L140" t="str">
        <f t="shared" si="7"/>
        <v>"cancel":"Cancelar",</v>
      </c>
    </row>
    <row r="141" spans="1:12" x14ac:dyDescent="0.3">
      <c r="A141" t="s">
        <v>831</v>
      </c>
      <c r="B141" t="s">
        <v>98</v>
      </c>
      <c r="C141" t="s">
        <v>832</v>
      </c>
      <c r="K141" t="str">
        <f t="shared" si="6"/>
        <v>"label":"Label",</v>
      </c>
      <c r="L141" t="str">
        <f t="shared" si="7"/>
        <v>"label":"Etiqueta",</v>
      </c>
    </row>
    <row r="142" spans="1:12" x14ac:dyDescent="0.3">
      <c r="A142" t="s">
        <v>835</v>
      </c>
      <c r="B142" t="s">
        <v>833</v>
      </c>
      <c r="C142" t="s">
        <v>837</v>
      </c>
      <c r="K142" t="str">
        <f t="shared" si="6"/>
        <v>"noOfIns":"Input terminals count",</v>
      </c>
      <c r="L142" t="str">
        <f t="shared" si="7"/>
        <v>"noOfIns":"Conteo de terminales de entrada",</v>
      </c>
    </row>
    <row r="143" spans="1:12" x14ac:dyDescent="0.3">
      <c r="A143" t="s">
        <v>834</v>
      </c>
      <c r="B143" t="s">
        <v>836</v>
      </c>
      <c r="C143" t="s">
        <v>838</v>
      </c>
      <c r="K143" t="str">
        <f t="shared" si="6"/>
        <v>"noOfOuts":"Output terminals count",</v>
      </c>
      <c r="L143" t="str">
        <f t="shared" si="7"/>
        <v>"noOfOuts":"Los terminales de salida cuentan",</v>
      </c>
    </row>
    <row r="144" spans="1:12" x14ac:dyDescent="0.3">
      <c r="A144" t="s">
        <v>839</v>
      </c>
      <c r="B144" t="s">
        <v>840</v>
      </c>
      <c r="C144" t="s">
        <v>841</v>
      </c>
      <c r="K144" t="str">
        <f t="shared" si="6"/>
        <v>"preview":"Preview",</v>
      </c>
      <c r="L144" t="str">
        <f t="shared" si="7"/>
        <v>"preview":"Vista previa",</v>
      </c>
    </row>
    <row r="145" spans="1:12" x14ac:dyDescent="0.3">
      <c r="A145" t="s">
        <v>842</v>
      </c>
      <c r="B145" t="s">
        <v>94</v>
      </c>
      <c r="C145" t="s">
        <v>851</v>
      </c>
      <c r="K145" t="str">
        <f t="shared" si="6"/>
        <v>"params":"Parameters",</v>
      </c>
      <c r="L145" t="str">
        <f t="shared" si="7"/>
        <v>"params":"Parámetros",</v>
      </c>
    </row>
    <row r="146" spans="1:12" x14ac:dyDescent="0.3">
      <c r="A146" t="s">
        <v>843</v>
      </c>
      <c r="B146" t="s">
        <v>844</v>
      </c>
      <c r="C146" t="s">
        <v>852</v>
      </c>
      <c r="K146" t="str">
        <f t="shared" si="6"/>
        <v>"functionality":"Functionality",</v>
      </c>
      <c r="L146" t="str">
        <f t="shared" si="7"/>
        <v>"functionality":"Funcionalidad",</v>
      </c>
    </row>
    <row r="147" spans="1:12" x14ac:dyDescent="0.3">
      <c r="A147" t="s">
        <v>845</v>
      </c>
      <c r="B147" t="s">
        <v>847</v>
      </c>
      <c r="C147" t="s">
        <v>853</v>
      </c>
      <c r="K147" t="str">
        <f t="shared" si="6"/>
        <v>"aChanges":"Apply changes",</v>
      </c>
      <c r="L147" t="str">
        <f t="shared" si="7"/>
        <v>"aChanges":"Aplicar los cambios",</v>
      </c>
    </row>
    <row r="148" spans="1:12" x14ac:dyDescent="0.3">
      <c r="A148" t="s">
        <v>846</v>
      </c>
      <c r="B148" t="s">
        <v>850</v>
      </c>
      <c r="C148" t="s">
        <v>854</v>
      </c>
      <c r="K148" t="str">
        <f t="shared" si="6"/>
        <v>"rChanges":"Reset Changes",</v>
      </c>
      <c r="L148" t="str">
        <f t="shared" si="7"/>
        <v>"rChanges":"Restablecer cambios",</v>
      </c>
    </row>
    <row r="149" spans="1:12" x14ac:dyDescent="0.3">
      <c r="A149" t="s">
        <v>848</v>
      </c>
      <c r="B149" t="s">
        <v>849</v>
      </c>
      <c r="C149" t="s">
        <v>855</v>
      </c>
      <c r="K149" t="str">
        <f t="shared" si="6"/>
        <v>"orientation":"Orientation",</v>
      </c>
      <c r="L149" t="str">
        <f t="shared" si="7"/>
        <v>"orientation":"Orientación",</v>
      </c>
    </row>
    <row r="150" spans="1:12" x14ac:dyDescent="0.3">
      <c r="A150" t="s">
        <v>857</v>
      </c>
      <c r="B150" t="s">
        <v>856</v>
      </c>
      <c r="C150" t="s">
        <v>858</v>
      </c>
      <c r="K150" t="str">
        <f t="shared" si="6"/>
        <v>"showLabels":"Show  labels",</v>
      </c>
      <c r="L150" t="str">
        <f t="shared" si="7"/>
        <v>"showLabels":"Mostrar etiquetas",</v>
      </c>
    </row>
    <row r="151" spans="1:12" x14ac:dyDescent="0.3">
      <c r="A151" t="s">
        <v>97</v>
      </c>
      <c r="B151" t="s">
        <v>88</v>
      </c>
      <c r="C151" t="s">
        <v>859</v>
      </c>
      <c r="K151" t="str">
        <f t="shared" si="6"/>
        <v>"name":"Name",</v>
      </c>
      <c r="L151" t="str">
        <f t="shared" si="7"/>
        <v>"name":"Nombre",</v>
      </c>
    </row>
    <row r="152" spans="1:12" x14ac:dyDescent="0.3">
      <c r="A152" t="s">
        <v>860</v>
      </c>
      <c r="B152" t="s">
        <v>861</v>
      </c>
      <c r="C152" t="s">
        <v>864</v>
      </c>
      <c r="K152" t="str">
        <f t="shared" si="6"/>
        <v>"errUnablGrping":"Unable to group the selected items",</v>
      </c>
      <c r="L152" t="str">
        <f t="shared" si="7"/>
        <v>"errUnablGrping":"No se pueden agrupar los elementos seleccionados",</v>
      </c>
    </row>
    <row r="153" spans="1:12" x14ac:dyDescent="0.3">
      <c r="A153" t="s">
        <v>862</v>
      </c>
      <c r="B153" t="s">
        <v>863</v>
      </c>
      <c r="C153" t="s">
        <v>865</v>
      </c>
      <c r="K153" t="str">
        <f t="shared" si="6"/>
        <v>"subModel":"Sub model",</v>
      </c>
      <c r="L153" t="str">
        <f t="shared" si="7"/>
        <v>"subModel":"Submodelo",</v>
      </c>
    </row>
    <row r="154" spans="1:12" x14ac:dyDescent="0.3">
      <c r="A154" t="s">
        <v>888</v>
      </c>
      <c r="B154" t="s">
        <v>892</v>
      </c>
      <c r="C154" t="s">
        <v>893</v>
      </c>
      <c r="K154" t="str">
        <f t="shared" si="6"/>
        <v>"enterFileName":"Enter a filename to save",</v>
      </c>
      <c r="L154" t="str">
        <f t="shared" si="7"/>
        <v>"enterFileName":"Ingrese un nombre de archivo para guardar",</v>
      </c>
    </row>
    <row r="155" spans="1:12" x14ac:dyDescent="0.3">
      <c r="A155" t="s">
        <v>889</v>
      </c>
      <c r="B155" t="s">
        <v>890</v>
      </c>
      <c r="C155" t="s">
        <v>891</v>
      </c>
      <c r="K155" t="str">
        <f t="shared" si="6"/>
        <v>"myUmkModel":"myUyamakModel",</v>
      </c>
      <c r="L155" t="str">
        <f t="shared" si="7"/>
        <v>"myUmkModel":"miModeloDeUyamak",</v>
      </c>
    </row>
    <row r="156" spans="1:12" x14ac:dyDescent="0.3">
      <c r="A156" t="s">
        <v>926</v>
      </c>
      <c r="B156" t="s">
        <v>938</v>
      </c>
      <c r="C156" t="s">
        <v>940</v>
      </c>
      <c r="K156" t="str">
        <f t="shared" si="6"/>
        <v>"rRealTime":"Run at real-time",</v>
      </c>
      <c r="L156" t="str">
        <f t="shared" si="7"/>
        <v>"rRealTime":"Corre en tiempo real",</v>
      </c>
    </row>
    <row r="157" spans="1:12" x14ac:dyDescent="0.3">
      <c r="A157" t="s">
        <v>927</v>
      </c>
      <c r="B157" t="s">
        <v>929</v>
      </c>
      <c r="C157" t="s">
        <v>946</v>
      </c>
      <c r="K157" t="str">
        <f t="shared" si="6"/>
        <v>"endTime":"End time in seconds (negative for &amp;infin;)",</v>
      </c>
      <c r="L157" t="str">
        <f t="shared" si="7"/>
        <v>"endTime":"Tiempo de finalización en segundos (negativo para &amp;infin;)",</v>
      </c>
    </row>
    <row r="158" spans="1:12" x14ac:dyDescent="0.3">
      <c r="A158" t="s">
        <v>928</v>
      </c>
      <c r="B158" t="s">
        <v>939</v>
      </c>
      <c r="C158" t="s">
        <v>941</v>
      </c>
      <c r="K158" t="str">
        <f t="shared" si="6"/>
        <v>"stepSize":"Step size in milliseconds",</v>
      </c>
      <c r="L158" t="str">
        <f t="shared" si="7"/>
        <v>"stepSize":"Tamaño de paso en milisegundos",</v>
      </c>
    </row>
    <row r="159" spans="1:12" x14ac:dyDescent="0.3">
      <c r="A159" t="s">
        <v>930</v>
      </c>
      <c r="B159" t="s">
        <v>934</v>
      </c>
      <c r="C159" t="s">
        <v>942</v>
      </c>
      <c r="K159" t="str">
        <f t="shared" si="6"/>
        <v>"run":"Run simulation",</v>
      </c>
      <c r="L159" t="str">
        <f t="shared" si="7"/>
        <v>"run":"Ejecutar simulación",</v>
      </c>
    </row>
    <row r="160" spans="1:12" x14ac:dyDescent="0.3">
      <c r="A160" t="s">
        <v>931</v>
      </c>
      <c r="B160" t="s">
        <v>935</v>
      </c>
      <c r="C160" t="s">
        <v>943</v>
      </c>
      <c r="K160" t="str">
        <f t="shared" si="6"/>
        <v>"stop":"Stop simulation",</v>
      </c>
      <c r="L160" t="str">
        <f t="shared" si="7"/>
        <v>"stop":"Detener la simulación",</v>
      </c>
    </row>
    <row r="161" spans="1:12" x14ac:dyDescent="0.3">
      <c r="A161" t="s">
        <v>932</v>
      </c>
      <c r="B161" t="s">
        <v>936</v>
      </c>
      <c r="C161" t="s">
        <v>944</v>
      </c>
      <c r="K161" t="str">
        <f t="shared" si="6"/>
        <v>"pause":"Pause simulation",</v>
      </c>
      <c r="L161" t="str">
        <f t="shared" si="7"/>
        <v>"pause":"Pausa simulación",</v>
      </c>
    </row>
    <row r="162" spans="1:12" x14ac:dyDescent="0.3">
      <c r="A162" t="s">
        <v>933</v>
      </c>
      <c r="B162" t="s">
        <v>937</v>
      </c>
      <c r="C162" t="s">
        <v>945</v>
      </c>
      <c r="K162" t="str">
        <f t="shared" si="6"/>
        <v>"nSteps":"Next N-Steps to the simulation",</v>
      </c>
      <c r="L162" t="str">
        <f t="shared" si="7"/>
        <v>"nSteps":"N pasos siguientes a la simulación",</v>
      </c>
    </row>
    <row r="163" spans="1:12" x14ac:dyDescent="0.3">
      <c r="A163" t="s">
        <v>956</v>
      </c>
      <c r="B163" t="s">
        <v>957</v>
      </c>
      <c r="C163" t="s">
        <v>958</v>
      </c>
      <c r="K163" t="str">
        <f t="shared" si="6"/>
        <v>"confirmLoss":"This operation will close the present model.\nAny unsaved data will be lost.\n\nDo you want to proceed?",</v>
      </c>
      <c r="L163" t="str">
        <f t="shared" si="7"/>
        <v>"confirmLoss":"Esta operación cerrará el modelo actual.\nCualquier información no guardada se perderá.\n\nQuieres proceder?",</v>
      </c>
    </row>
    <row r="164" spans="1:12" x14ac:dyDescent="0.3">
      <c r="A164" t="s">
        <v>960</v>
      </c>
      <c r="B164" t="s">
        <v>961</v>
      </c>
      <c r="C164" t="s">
        <v>962</v>
      </c>
      <c r="K164" t="str">
        <f t="shared" ref="K164:K173" si="10">IF(ISBLANK($A164),"",""""&amp;$A164&amp;""":"""&amp;B164&amp;""""&amp;IF(ISBLANK(A165),"}",","))</f>
        <v>"errorGen":"Error: Unable to perform this action",</v>
      </c>
      <c r="L164" t="str">
        <f t="shared" ref="L164:L173" si="11">IF(ISBLANK($A164),"",""""&amp;$A164&amp;""":"""&amp;C164&amp;""""&amp;IF(ISBLANK(B165),"}",","))</f>
        <v>"errorGen":"Error: no se puede realizar esta acción",</v>
      </c>
    </row>
    <row r="165" spans="1:12" x14ac:dyDescent="0.3">
      <c r="A165" t="s">
        <v>971</v>
      </c>
      <c r="B165" t="s">
        <v>976</v>
      </c>
      <c r="C165" t="s">
        <v>977</v>
      </c>
      <c r="K165" t="str">
        <f t="shared" si="10"/>
        <v>"aLoop":"Error: Possible algebraic loop",</v>
      </c>
      <c r="L165" t="str">
        <f t="shared" si="11"/>
        <v>"aLoop":"Error: Posible lazo algebraico",</v>
      </c>
    </row>
    <row r="166" spans="1:12" x14ac:dyDescent="0.3">
      <c r="A166" t="s">
        <v>972</v>
      </c>
      <c r="B166" t="s">
        <v>973</v>
      </c>
      <c r="C166" t="s">
        <v>974</v>
      </c>
      <c r="K166" t="str">
        <f t="shared" si="10"/>
        <v>"showExeOrder":"Show execution order",</v>
      </c>
      <c r="L166" t="str">
        <f t="shared" si="11"/>
        <v>"showExeOrder":"Mostrar orden de ejecución",</v>
      </c>
    </row>
    <row r="167" spans="1:12" x14ac:dyDescent="0.3">
      <c r="A167" t="s">
        <v>978</v>
      </c>
      <c r="B167" t="s">
        <v>981</v>
      </c>
      <c r="C167" t="s">
        <v>984</v>
      </c>
      <c r="K167" t="str">
        <f t="shared" si="10"/>
        <v>"mDesign":"Design mode",</v>
      </c>
      <c r="L167" t="str">
        <f t="shared" si="11"/>
        <v>"mDesign":"Modo de diseño",</v>
      </c>
    </row>
    <row r="168" spans="1:12" x14ac:dyDescent="0.3">
      <c r="A168" t="s">
        <v>979</v>
      </c>
      <c r="B168" t="s">
        <v>982</v>
      </c>
      <c r="C168" t="s">
        <v>985</v>
      </c>
      <c r="K168" t="str">
        <f t="shared" si="10"/>
        <v>"mSim":"Simulating",</v>
      </c>
      <c r="L168" t="str">
        <f t="shared" si="11"/>
        <v>"mSim":"Simulando",</v>
      </c>
    </row>
    <row r="169" spans="1:12" x14ac:dyDescent="0.3">
      <c r="A169" t="s">
        <v>980</v>
      </c>
      <c r="B169" t="s">
        <v>983</v>
      </c>
      <c r="C169" t="s">
        <v>986</v>
      </c>
      <c r="K169" t="str">
        <f>IF(ISBLANK($A169),"",""""&amp;$A169&amp;""":"""&amp;B169&amp;""""&amp;IF(ISBLANK(A170),"}",","))</f>
        <v>"mSimPause":"Simulation paused",</v>
      </c>
      <c r="L169" t="str">
        <f>IF(ISBLANK($A169),"",""""&amp;$A169&amp;""":"""&amp;C169&amp;""""&amp;IF(ISBLANK(B170),"}",","))</f>
        <v>"mSimPause":"Simulación en pausa",</v>
      </c>
    </row>
    <row r="170" spans="1:12" x14ac:dyDescent="0.3">
      <c r="A170" t="s">
        <v>997</v>
      </c>
      <c r="B170" t="s">
        <v>992</v>
      </c>
      <c r="C170" t="s">
        <v>988</v>
      </c>
      <c r="K170" t="str">
        <f t="shared" si="10"/>
        <v>"k169":"Incompatible browser. Uyamak requires a modern browser to run the simulation.",</v>
      </c>
      <c r="L170" t="str">
        <f t="shared" si="11"/>
        <v>"k169":"Navegador incompatible. Uyanmak requiere un navegador moderno para ejecutar la simulación.",</v>
      </c>
    </row>
    <row r="171" spans="1:12" x14ac:dyDescent="0.3">
      <c r="A171" t="s">
        <v>998</v>
      </c>
      <c r="B171" t="s">
        <v>987</v>
      </c>
      <c r="C171" t="s">
        <v>989</v>
      </c>
      <c r="K171" t="str">
        <f t="shared" si="10"/>
        <v>"k170":"There is no model to simulate. Pull blocks from the library and place on the graph.",</v>
      </c>
      <c r="L171" t="str">
        <f t="shared" si="11"/>
        <v>"k170":"No hay modelo para simular. Extraiga bloques de la biblioteca y colóquelos en el gráfico.",</v>
      </c>
    </row>
    <row r="172" spans="1:12" x14ac:dyDescent="0.3">
      <c r="A172" t="s">
        <v>999</v>
      </c>
      <c r="B172" t="s">
        <v>990</v>
      </c>
      <c r="C172" t="s">
        <v>991</v>
      </c>
      <c r="K172" t="str">
        <f t="shared" si="10"/>
        <v>"k171":"Unable to ungroup the selected items",</v>
      </c>
      <c r="L172" t="str">
        <f t="shared" si="11"/>
        <v>"k171":"No se pueden desagrupar los elementos seleccionados",</v>
      </c>
    </row>
    <row r="173" spans="1:12" x14ac:dyDescent="0.3">
      <c r="A173" t="s">
        <v>1000</v>
      </c>
      <c r="B173" t="s">
        <v>993</v>
      </c>
      <c r="C173" t="s">
        <v>994</v>
      </c>
      <c r="K173" t="str">
        <f t="shared" si="10"/>
        <v>"k172":"Unable to decode the parameter value. Try updating the variables.",</v>
      </c>
      <c r="L173" t="str">
        <f t="shared" si="11"/>
        <v>"k172":"No se puede decodificar el valor del parámetro. Intenta actualizar las variables.",</v>
      </c>
    </row>
    <row r="174" spans="1:12" x14ac:dyDescent="0.3">
      <c r="A174" t="s">
        <v>1001</v>
      </c>
      <c r="B174" t="s">
        <v>995</v>
      </c>
      <c r="C174" t="s">
        <v>996</v>
      </c>
      <c r="K174" t="str">
        <f t="shared" ref="K174:K237" si="12">IF(ISBLANK($A174),"",""""&amp;$A174&amp;""":"""&amp;B174&amp;""""&amp;IF(ISBLANK(A175),"}",","))</f>
        <v>"k173":"Some parameters are incorrect. Please edit blocks with warning symbol.",</v>
      </c>
      <c r="L174" t="str">
        <f t="shared" ref="L174:L237" si="13">IF(ISBLANK($A174),"",""""&amp;$A174&amp;""":"""&amp;C174&amp;""""&amp;IF(ISBLANK(B175),"}",","))</f>
        <v>"k173":"Algunos parámetros son incorrectos. Edite los bloques con el símbolo de advertencia.",</v>
      </c>
    </row>
    <row r="175" spans="1:12" x14ac:dyDescent="0.3">
      <c r="A175" t="s">
        <v>1002</v>
      </c>
      <c r="B175" t="s">
        <v>1003</v>
      </c>
      <c r="C175" t="s">
        <v>1004</v>
      </c>
      <c r="K175" t="str">
        <f t="shared" si="12"/>
        <v>"simErr":"Simulation error",</v>
      </c>
      <c r="L175" t="str">
        <f t="shared" si="13"/>
        <v>"simErr":"Error de simulación",</v>
      </c>
    </row>
    <row r="176" spans="1:12" x14ac:dyDescent="0.3">
      <c r="A176" t="s">
        <v>1005</v>
      </c>
      <c r="B176" t="s">
        <v>1006</v>
      </c>
      <c r="C176" t="s">
        <v>1007</v>
      </c>
      <c r="K176" t="str">
        <f t="shared" si="12"/>
        <v>"chartLang":"en",</v>
      </c>
      <c r="L176" t="str">
        <f t="shared" si="13"/>
        <v>"chartLang":"es",</v>
      </c>
    </row>
    <row r="177" spans="1:12" x14ac:dyDescent="0.3">
      <c r="A177" t="s">
        <v>1010</v>
      </c>
      <c r="B177" t="s">
        <v>1008</v>
      </c>
      <c r="C177" t="s">
        <v>1009</v>
      </c>
      <c r="K177" t="str">
        <f t="shared" si="12"/>
        <v>"sOEvery":"Record output for every X samples",</v>
      </c>
      <c r="L177" t="str">
        <f t="shared" si="13"/>
        <v>"sOEvery":"Grabar salida para cada X muestras",</v>
      </c>
    </row>
    <row r="178" spans="1:12" x14ac:dyDescent="0.3">
      <c r="A178" t="s">
        <v>1011</v>
      </c>
      <c r="B178" t="s">
        <v>1012</v>
      </c>
      <c r="C178" t="s">
        <v>1013</v>
      </c>
      <c r="K178" t="str">
        <f t="shared" si="12"/>
        <v>"mHis":"History points in the memory per second",</v>
      </c>
      <c r="L178" t="str">
        <f t="shared" si="13"/>
        <v>"mHis":"Puntos de historia en la memoria por segundo",</v>
      </c>
    </row>
    <row r="179" spans="1:12" x14ac:dyDescent="0.3">
      <c r="A179" t="s">
        <v>1014</v>
      </c>
      <c r="B179" t="s">
        <v>1027</v>
      </c>
      <c r="C179" t="s">
        <v>1028</v>
      </c>
      <c r="K179" t="str">
        <f t="shared" si="12"/>
        <v>"hideGraphText":"Hide text inside the blocks",</v>
      </c>
      <c r="L179" t="str">
        <f t="shared" si="13"/>
        <v>"hideGraphText":"Ocultar texto dentro de los bloques",</v>
      </c>
    </row>
    <row r="180" spans="1:12" x14ac:dyDescent="0.3">
      <c r="A180" t="s">
        <v>1015</v>
      </c>
      <c r="B180" t="s">
        <v>1016</v>
      </c>
      <c r="C180" t="s">
        <v>1017</v>
      </c>
      <c r="K180" t="str">
        <f t="shared" si="12"/>
        <v>"errorParsing":"Unable to parse the input. If required, update your variables in the variable manager.",</v>
      </c>
      <c r="L180" t="str">
        <f t="shared" si="13"/>
        <v>"errorParsing":"No se puede analizar la entrada. Si es necesario, actualice sus variables en el administrador de variables.",</v>
      </c>
    </row>
    <row r="181" spans="1:12" x14ac:dyDescent="0.3">
      <c r="A181" t="s">
        <v>1018</v>
      </c>
      <c r="B181" t="s">
        <v>1019</v>
      </c>
      <c r="C181" t="s">
        <v>1020</v>
      </c>
      <c r="K181" t="str">
        <f t="shared" si="12"/>
        <v>"errParamEntry":"Parameter error",</v>
      </c>
      <c r="L181" t="str">
        <f t="shared" si="13"/>
        <v>"errParamEntry":"Error de parametro",</v>
      </c>
    </row>
    <row r="182" spans="1:12" x14ac:dyDescent="0.3">
      <c r="A182" t="s">
        <v>1021</v>
      </c>
      <c r="B182" t="s">
        <v>1023</v>
      </c>
      <c r="C182" t="s">
        <v>1025</v>
      </c>
      <c r="K182" t="str">
        <f t="shared" si="12"/>
        <v>"errDetails":"Unknown error. Please contact the support team if  it continous.",</v>
      </c>
      <c r="L182" t="str">
        <f t="shared" si="13"/>
        <v>"errDetails":"Error desconocido. Póngase en contacto con el equipo de soporte si es continuo.",</v>
      </c>
    </row>
    <row r="183" spans="1:12" x14ac:dyDescent="0.3">
      <c r="A183" t="s">
        <v>1022</v>
      </c>
      <c r="B183" t="s">
        <v>1024</v>
      </c>
      <c r="C183" t="s">
        <v>1026</v>
      </c>
      <c r="K183" t="str">
        <f t="shared" si="12"/>
        <v>"errCompat":"Compatibility error. We cannot proceed to save. Please a look at the functionality and correct your parameters.",</v>
      </c>
      <c r="L183" t="str">
        <f t="shared" si="13"/>
        <v>"errCompat":"Error de compatibilidad No podemos proceder a guardar. Observe la funcionalidad y corrija sus parámetros.",</v>
      </c>
    </row>
    <row r="184" spans="1:12" x14ac:dyDescent="0.3">
      <c r="A184" t="s">
        <v>1029</v>
      </c>
      <c r="B184" t="s">
        <v>1030</v>
      </c>
      <c r="C184" t="s">
        <v>1031</v>
      </c>
      <c r="K184" t="str">
        <f t="shared" si="12"/>
        <v>"snapToGrid":"Snap to grid",</v>
      </c>
      <c r="L184" t="str">
        <f t="shared" si="13"/>
        <v>"snapToGrid":"Encajar a la cuadricula",</v>
      </c>
    </row>
    <row r="185" spans="1:12" x14ac:dyDescent="0.3">
      <c r="A185" t="s">
        <v>1165</v>
      </c>
      <c r="B185" t="s">
        <v>1166</v>
      </c>
      <c r="C185" t="s">
        <v>1424</v>
      </c>
      <c r="K185" t="str">
        <f t="shared" si="12"/>
        <v>"locFMgr":"Local file manager",</v>
      </c>
      <c r="L185" t="str">
        <f t="shared" si="13"/>
        <v>"locFMgr":"Administrador de archivos locales",</v>
      </c>
    </row>
    <row r="186" spans="1:12" x14ac:dyDescent="0.3">
      <c r="A186" t="s">
        <v>1159</v>
      </c>
      <c r="B186" t="s">
        <v>137</v>
      </c>
      <c r="C186" t="s">
        <v>440</v>
      </c>
      <c r="K186" t="str">
        <f t="shared" si="12"/>
        <v>"saveToLMach":"Save to local machine",</v>
      </c>
      <c r="L186" t="str">
        <f t="shared" si="13"/>
        <v>"saveToLMach":"Guardar en máquina local",</v>
      </c>
    </row>
    <row r="187" spans="1:12" x14ac:dyDescent="0.3">
      <c r="A187" t="s">
        <v>1160</v>
      </c>
      <c r="B187" t="s">
        <v>138</v>
      </c>
      <c r="C187" t="s">
        <v>441</v>
      </c>
      <c r="K187" t="str">
        <f t="shared" si="12"/>
        <v>"loadFrmLMach":"Load from local machine",</v>
      </c>
      <c r="L187" t="str">
        <f t="shared" si="13"/>
        <v>"loadFrmLMach":"Cargar desde máquina local",</v>
      </c>
    </row>
    <row r="188" spans="1:12" x14ac:dyDescent="0.3">
      <c r="A188" t="s">
        <v>1168</v>
      </c>
      <c r="B188" t="s">
        <v>1169</v>
      </c>
      <c r="C188" t="s">
        <v>1174</v>
      </c>
      <c r="K188" t="str">
        <f t="shared" si="12"/>
        <v>"import":"Import",</v>
      </c>
      <c r="L188" t="str">
        <f t="shared" si="13"/>
        <v>"import":"Importar",</v>
      </c>
    </row>
    <row r="189" spans="1:12" x14ac:dyDescent="0.3">
      <c r="A189" t="s">
        <v>1170</v>
      </c>
      <c r="B189" t="s">
        <v>1167</v>
      </c>
      <c r="C189" t="s">
        <v>1175</v>
      </c>
      <c r="K189" t="str">
        <f t="shared" si="12"/>
        <v>"open":"Open",</v>
      </c>
      <c r="L189" t="str">
        <f t="shared" si="13"/>
        <v>"open":"Abierto",</v>
      </c>
    </row>
    <row r="190" spans="1:12" x14ac:dyDescent="0.3">
      <c r="A190" t="s">
        <v>1164</v>
      </c>
      <c r="B190" t="s">
        <v>1173</v>
      </c>
      <c r="C190" t="s">
        <v>1176</v>
      </c>
      <c r="K190" t="str">
        <f t="shared" si="12"/>
        <v>"model":"Uyamak model",</v>
      </c>
      <c r="L190" t="str">
        <f t="shared" si="13"/>
        <v>"model":"Modelo Uyamak",</v>
      </c>
    </row>
    <row r="191" spans="1:12" x14ac:dyDescent="0.3">
      <c r="A191" t="s">
        <v>1161</v>
      </c>
      <c r="B191" t="s">
        <v>785</v>
      </c>
      <c r="C191" t="s">
        <v>785</v>
      </c>
      <c r="K191" t="str">
        <f t="shared" si="12"/>
        <v>"vars":"Variables",</v>
      </c>
      <c r="L191" t="str">
        <f t="shared" si="13"/>
        <v>"vars":"Variables",</v>
      </c>
    </row>
    <row r="192" spans="1:12" x14ac:dyDescent="0.3">
      <c r="A192" t="s">
        <v>1163</v>
      </c>
      <c r="B192" t="s">
        <v>1171</v>
      </c>
      <c r="C192" t="s">
        <v>1177</v>
      </c>
      <c r="K192" t="str">
        <f t="shared" si="12"/>
        <v>"simSet":"Simulation settings",</v>
      </c>
      <c r="L192" t="str">
        <f t="shared" si="13"/>
        <v>"simSet":"Configuraciones de simulación",</v>
      </c>
    </row>
    <row r="193" spans="1:12" x14ac:dyDescent="0.3">
      <c r="A193" t="s">
        <v>1162</v>
      </c>
      <c r="B193" t="s">
        <v>1172</v>
      </c>
      <c r="C193" t="s">
        <v>1178</v>
      </c>
      <c r="K193" t="str">
        <f t="shared" si="12"/>
        <v>"guiSet":"Editor settings",</v>
      </c>
      <c r="L193" t="str">
        <f t="shared" si="13"/>
        <v>"guiSet":"Configuraciones del editor",</v>
      </c>
    </row>
    <row r="194" spans="1:12" x14ac:dyDescent="0.3">
      <c r="A194" t="s">
        <v>1184</v>
      </c>
      <c r="B194" t="s">
        <v>1185</v>
      </c>
      <c r="C194" t="s">
        <v>1186</v>
      </c>
      <c r="K194" t="str">
        <f t="shared" si="12"/>
        <v>"sFile":"Select a file by clicking here or you can drag and drop your file here.",</v>
      </c>
      <c r="L194" t="str">
        <f t="shared" si="13"/>
        <v>"sFile":"Seleccione un archivo haciendo clic aquí o puede arrastrar y soltar su archivo aquí.",</v>
      </c>
    </row>
    <row r="195" spans="1:12" x14ac:dyDescent="0.3">
      <c r="A195" t="s">
        <v>1192</v>
      </c>
      <c r="B195" t="s">
        <v>1188</v>
      </c>
      <c r="C195" t="s">
        <v>1189</v>
      </c>
      <c r="K195" t="str">
        <f t="shared" si="12"/>
        <v>"errFSize":"File is too big to open. Contact support for more information.",</v>
      </c>
      <c r="L195" t="str">
        <f t="shared" si="13"/>
        <v>"errFSize":"El archivo es demasiado grande para abrir. Póngase en contacto con el soporte para más información.",</v>
      </c>
    </row>
    <row r="196" spans="1:12" x14ac:dyDescent="0.3">
      <c r="A196" t="s">
        <v>1193</v>
      </c>
      <c r="B196" t="s">
        <v>1190</v>
      </c>
      <c r="C196" t="s">
        <v>1191</v>
      </c>
      <c r="K196" t="str">
        <f t="shared" si="12"/>
        <v>"errCrpt":"The selected file is empty or corrupted",</v>
      </c>
      <c r="L196" t="str">
        <f t="shared" si="13"/>
        <v>"errCrpt":"El archivo seleccionado está vacío o dañado.",</v>
      </c>
    </row>
    <row r="197" spans="1:12" x14ac:dyDescent="0.3">
      <c r="A197" t="s">
        <v>1425</v>
      </c>
      <c r="B197" t="s">
        <v>1425</v>
      </c>
      <c r="C197" t="s">
        <v>1426</v>
      </c>
      <c r="K197" t="str">
        <f t="shared" si="12"/>
        <v>"for":"for",</v>
      </c>
      <c r="L197" t="str">
        <f t="shared" si="13"/>
        <v>"for":"para",</v>
      </c>
    </row>
    <row r="198" spans="1:12" x14ac:dyDescent="0.3">
      <c r="A198" t="s">
        <v>1529</v>
      </c>
      <c r="B198" t="s">
        <v>1530</v>
      </c>
      <c r="C198" t="s">
        <v>1550</v>
      </c>
      <c r="K198" t="str">
        <f t="shared" si="12"/>
        <v>"intType":"Integration type",</v>
      </c>
      <c r="L198" t="str">
        <f t="shared" si="13"/>
        <v>"intType":"Tipo de integración",</v>
      </c>
    </row>
    <row r="199" spans="1:12" x14ac:dyDescent="0.3">
      <c r="A199" t="s">
        <v>1619</v>
      </c>
      <c r="B199" t="s">
        <v>1621</v>
      </c>
      <c r="C199" t="s">
        <v>1620</v>
      </c>
      <c r="K199" t="str">
        <f t="shared" si="12"/>
        <v>"intTs":"Integrals are updated every",</v>
      </c>
      <c r="L199" t="str">
        <f t="shared" si="13"/>
        <v>"intTs":"Se actualiza integrales cada",</v>
      </c>
    </row>
    <row r="200" spans="1:12" x14ac:dyDescent="0.3">
      <c r="A200" t="s">
        <v>1625</v>
      </c>
      <c r="B200" t="s">
        <v>1626</v>
      </c>
      <c r="C200" t="s">
        <v>1627</v>
      </c>
      <c r="K200" t="str">
        <f t="shared" si="12"/>
        <v>"wMode":"Wire mode",</v>
      </c>
      <c r="L200" t="str">
        <f t="shared" si="13"/>
        <v>"wMode":"Modo de cable",</v>
      </c>
    </row>
    <row r="201" spans="1:12" x14ac:dyDescent="0.3">
      <c r="A201" t="s">
        <v>1768</v>
      </c>
      <c r="B201" t="s">
        <v>1767</v>
      </c>
      <c r="C201" t="s">
        <v>1766</v>
      </c>
      <c r="K201" t="str">
        <f t="shared" si="12"/>
        <v>"etyCap":"Create blocks without a caption",</v>
      </c>
      <c r="L201" t="str">
        <f t="shared" si="13"/>
        <v>"etyCap":"Crear bloques sin capción",</v>
      </c>
    </row>
    <row r="202" spans="1:12" x14ac:dyDescent="0.3">
      <c r="A202" t="s">
        <v>1925</v>
      </c>
      <c r="B202" t="s">
        <v>1926</v>
      </c>
      <c r="C202" t="s">
        <v>1927</v>
      </c>
      <c r="K202" t="str">
        <f t="shared" si="12"/>
        <v>"maxTotalHistory":"Limit the total history",</v>
      </c>
      <c r="L202" t="str">
        <f t="shared" si="13"/>
        <v>"maxTotalHistory":"Limita el historial total",</v>
      </c>
    </row>
    <row r="203" spans="1:12" x14ac:dyDescent="0.3">
      <c r="A203" t="s">
        <v>1928</v>
      </c>
      <c r="B203" t="s">
        <v>1930</v>
      </c>
      <c r="C203" t="s">
        <v>1931</v>
      </c>
      <c r="K203" t="str">
        <f t="shared" si="12"/>
        <v>"waitPRLoad":"Wait for results to load (s)",</v>
      </c>
      <c r="L203" t="str">
        <f t="shared" si="13"/>
        <v>"waitPRLoad":"Espere a que se carguen los resultados (s)",</v>
      </c>
    </row>
    <row r="204" spans="1:12" x14ac:dyDescent="0.3">
      <c r="A204" t="s">
        <v>1929</v>
      </c>
      <c r="B204" t="s">
        <v>1932</v>
      </c>
      <c r="C204" t="s">
        <v>1933</v>
      </c>
      <c r="K204" t="str">
        <f t="shared" si="12"/>
        <v>"waitUpdGraphs":"Wait for updating graphs (ms)",</v>
      </c>
      <c r="L204" t="str">
        <f t="shared" si="13"/>
        <v>"waitUpdGraphs":"Espere a que se actualicen los gráficos (ms)",</v>
      </c>
    </row>
    <row r="205" spans="1:12" x14ac:dyDescent="0.3">
      <c r="A205" t="s">
        <v>1934</v>
      </c>
      <c r="B205" t="s">
        <v>1935</v>
      </c>
      <c r="C205" t="s">
        <v>1936</v>
      </c>
      <c r="K205" t="str">
        <f t="shared" si="12"/>
        <v>"enableAudio":"Enable audio",</v>
      </c>
      <c r="L205" t="str">
        <f t="shared" si="13"/>
        <v>"enableAudio":"Habilitar audio",</v>
      </c>
    </row>
    <row r="206" spans="1:12" x14ac:dyDescent="0.3">
      <c r="A206" t="s">
        <v>2221</v>
      </c>
      <c r="B206" t="s">
        <v>2222</v>
      </c>
      <c r="C206" t="s">
        <v>2223</v>
      </c>
      <c r="K206" t="str">
        <f t="shared" si="12"/>
        <v>"errMulTags":"You cannot connect From tag and To tag",</v>
      </c>
      <c r="L206" t="str">
        <f t="shared" si="13"/>
        <v>"errMulTags":"No se puede conectar la etiqueta De y la etiqueta A",</v>
      </c>
    </row>
    <row r="207" spans="1:12" x14ac:dyDescent="0.3">
      <c r="A207" t="s">
        <v>2224</v>
      </c>
      <c r="B207" t="s">
        <v>2225</v>
      </c>
      <c r="C207" t="s">
        <v>2232</v>
      </c>
      <c r="K207" t="str">
        <f t="shared" si="12"/>
        <v>"errRouting":"Error in routing",</v>
      </c>
      <c r="L207" t="str">
        <f t="shared" si="13"/>
        <v>"errRouting":"Error en el enrutamiento",</v>
      </c>
    </row>
    <row r="208" spans="1:12" x14ac:dyDescent="0.3">
      <c r="A208" t="s">
        <v>2226</v>
      </c>
      <c r="B208" t="s">
        <v>2227</v>
      </c>
      <c r="C208" t="s">
        <v>2233</v>
      </c>
      <c r="K208" t="str">
        <f t="shared" si="12"/>
        <v>"errRouteDef":"This route name is defined several times",</v>
      </c>
      <c r="L208" t="str">
        <f t="shared" si="13"/>
        <v>"errRouteDef":"Este nombre de ruta se define varias veces",</v>
      </c>
    </row>
    <row r="209" spans="1:12" x14ac:dyDescent="0.3">
      <c r="A209" t="s">
        <v>2228</v>
      </c>
      <c r="B209" t="s">
        <v>2229</v>
      </c>
      <c r="C209" t="s">
        <v>2234</v>
      </c>
      <c r="K209" t="str">
        <f t="shared" si="12"/>
        <v>"errRouteNotCon":"One or more tags are not connected",</v>
      </c>
      <c r="L209" t="str">
        <f t="shared" si="13"/>
        <v>"errRouteNotCon":"Una o más etiquetas no están conectadas",</v>
      </c>
    </row>
    <row r="210" spans="1:12" x14ac:dyDescent="0.3">
      <c r="A210" t="s">
        <v>2230</v>
      </c>
      <c r="B210" t="s">
        <v>2231</v>
      </c>
      <c r="C210" t="s">
        <v>2235</v>
      </c>
      <c r="K210" t="str">
        <f t="shared" si="12"/>
        <v>"errRouteNotFound":"This tag is not assigned to any signal"}</v>
      </c>
      <c r="L210" t="str">
        <f t="shared" si="13"/>
        <v>"errRouteNotFound":"Esta etiqueta no está asignada a ninguna señal."}</v>
      </c>
    </row>
    <row r="211" spans="1:12" x14ac:dyDescent="0.3">
      <c r="K211" t="str">
        <f t="shared" si="12"/>
        <v/>
      </c>
      <c r="L211" t="str">
        <f t="shared" si="13"/>
        <v/>
      </c>
    </row>
    <row r="212" spans="1:12" x14ac:dyDescent="0.3">
      <c r="K212" t="str">
        <f t="shared" si="12"/>
        <v/>
      </c>
      <c r="L212" t="str">
        <f t="shared" si="13"/>
        <v/>
      </c>
    </row>
    <row r="213" spans="1:12" x14ac:dyDescent="0.3">
      <c r="K213" t="str">
        <f t="shared" si="12"/>
        <v/>
      </c>
      <c r="L213" t="str">
        <f t="shared" si="13"/>
        <v/>
      </c>
    </row>
    <row r="214" spans="1:12" x14ac:dyDescent="0.3">
      <c r="K214" t="str">
        <f t="shared" si="12"/>
        <v/>
      </c>
      <c r="L214" t="str">
        <f t="shared" si="13"/>
        <v/>
      </c>
    </row>
    <row r="215" spans="1:12" x14ac:dyDescent="0.3">
      <c r="K215" t="str">
        <f t="shared" si="12"/>
        <v/>
      </c>
      <c r="L215" t="str">
        <f t="shared" si="13"/>
        <v/>
      </c>
    </row>
    <row r="216" spans="1:12" x14ac:dyDescent="0.3">
      <c r="K216" t="str">
        <f t="shared" si="12"/>
        <v/>
      </c>
      <c r="L216" t="str">
        <f t="shared" si="13"/>
        <v/>
      </c>
    </row>
    <row r="217" spans="1:12" x14ac:dyDescent="0.3">
      <c r="K217" t="str">
        <f t="shared" si="12"/>
        <v/>
      </c>
      <c r="L217" t="str">
        <f t="shared" si="13"/>
        <v/>
      </c>
    </row>
    <row r="218" spans="1:12" x14ac:dyDescent="0.3">
      <c r="K218" t="str">
        <f t="shared" si="12"/>
        <v/>
      </c>
      <c r="L218" t="str">
        <f t="shared" si="13"/>
        <v/>
      </c>
    </row>
    <row r="219" spans="1:12" x14ac:dyDescent="0.3">
      <c r="K219" t="str">
        <f t="shared" si="12"/>
        <v/>
      </c>
      <c r="L219" t="str">
        <f t="shared" si="13"/>
        <v/>
      </c>
    </row>
    <row r="220" spans="1:12" x14ac:dyDescent="0.3">
      <c r="K220" t="str">
        <f t="shared" si="12"/>
        <v/>
      </c>
      <c r="L220" t="str">
        <f t="shared" si="13"/>
        <v/>
      </c>
    </row>
    <row r="221" spans="1:12" x14ac:dyDescent="0.3">
      <c r="K221" t="str">
        <f t="shared" si="12"/>
        <v/>
      </c>
      <c r="L221" t="str">
        <f t="shared" si="13"/>
        <v/>
      </c>
    </row>
    <row r="222" spans="1:12" x14ac:dyDescent="0.3">
      <c r="K222" t="str">
        <f t="shared" si="12"/>
        <v/>
      </c>
      <c r="L222" t="str">
        <f t="shared" si="13"/>
        <v/>
      </c>
    </row>
    <row r="223" spans="1:12" x14ac:dyDescent="0.3">
      <c r="K223" t="str">
        <f t="shared" si="12"/>
        <v/>
      </c>
      <c r="L223" t="str">
        <f t="shared" si="13"/>
        <v/>
      </c>
    </row>
    <row r="224" spans="1:12" x14ac:dyDescent="0.3">
      <c r="K224" t="str">
        <f t="shared" si="12"/>
        <v/>
      </c>
      <c r="L224" t="str">
        <f t="shared" si="13"/>
        <v/>
      </c>
    </row>
    <row r="225" spans="11:12" x14ac:dyDescent="0.3">
      <c r="K225" t="str">
        <f t="shared" si="12"/>
        <v/>
      </c>
      <c r="L225" t="str">
        <f t="shared" si="13"/>
        <v/>
      </c>
    </row>
    <row r="226" spans="11:12" x14ac:dyDescent="0.3">
      <c r="K226" t="str">
        <f t="shared" si="12"/>
        <v/>
      </c>
      <c r="L226" t="str">
        <f t="shared" si="13"/>
        <v/>
      </c>
    </row>
    <row r="227" spans="11:12" x14ac:dyDescent="0.3">
      <c r="K227" t="str">
        <f t="shared" si="12"/>
        <v/>
      </c>
      <c r="L227" t="str">
        <f t="shared" si="13"/>
        <v/>
      </c>
    </row>
    <row r="228" spans="11:12" x14ac:dyDescent="0.3">
      <c r="K228" t="str">
        <f t="shared" si="12"/>
        <v/>
      </c>
      <c r="L228" t="str">
        <f t="shared" si="13"/>
        <v/>
      </c>
    </row>
    <row r="229" spans="11:12" x14ac:dyDescent="0.3">
      <c r="K229" t="str">
        <f t="shared" si="12"/>
        <v/>
      </c>
      <c r="L229" t="str">
        <f t="shared" si="13"/>
        <v/>
      </c>
    </row>
    <row r="230" spans="11:12" x14ac:dyDescent="0.3">
      <c r="K230" t="str">
        <f t="shared" si="12"/>
        <v/>
      </c>
      <c r="L230" t="str">
        <f t="shared" si="13"/>
        <v/>
      </c>
    </row>
    <row r="231" spans="11:12" x14ac:dyDescent="0.3">
      <c r="K231" t="str">
        <f t="shared" si="12"/>
        <v/>
      </c>
      <c r="L231" t="str">
        <f t="shared" si="13"/>
        <v/>
      </c>
    </row>
    <row r="232" spans="11:12" x14ac:dyDescent="0.3">
      <c r="K232" t="str">
        <f t="shared" si="12"/>
        <v/>
      </c>
      <c r="L232" t="str">
        <f t="shared" si="13"/>
        <v/>
      </c>
    </row>
    <row r="233" spans="11:12" x14ac:dyDescent="0.3">
      <c r="K233" t="str">
        <f t="shared" si="12"/>
        <v/>
      </c>
      <c r="L233" t="str">
        <f t="shared" si="13"/>
        <v/>
      </c>
    </row>
    <row r="234" spans="11:12" x14ac:dyDescent="0.3">
      <c r="K234" t="str">
        <f t="shared" si="12"/>
        <v/>
      </c>
      <c r="L234" t="str">
        <f t="shared" si="13"/>
        <v/>
      </c>
    </row>
    <row r="235" spans="11:12" x14ac:dyDescent="0.3">
      <c r="K235" t="str">
        <f t="shared" si="12"/>
        <v/>
      </c>
      <c r="L235" t="str">
        <f t="shared" si="13"/>
        <v/>
      </c>
    </row>
    <row r="236" spans="11:12" x14ac:dyDescent="0.3">
      <c r="K236" t="str">
        <f t="shared" si="12"/>
        <v/>
      </c>
      <c r="L236" t="str">
        <f t="shared" si="13"/>
        <v/>
      </c>
    </row>
    <row r="237" spans="11:12" x14ac:dyDescent="0.3">
      <c r="K237" t="str">
        <f t="shared" si="12"/>
        <v/>
      </c>
      <c r="L237" t="str">
        <f t="shared" si="13"/>
        <v/>
      </c>
    </row>
    <row r="238" spans="11:12" x14ac:dyDescent="0.3">
      <c r="K238" t="str">
        <f t="shared" ref="K238:K251" si="14">IF(ISBLANK($A238),"",""""&amp;$A238&amp;""":"""&amp;B238&amp;""""&amp;IF(ISBLANK(A239),"}",","))</f>
        <v/>
      </c>
      <c r="L238" t="str">
        <f t="shared" ref="L238:L251" si="15">IF(ISBLANK($A238),"",""""&amp;$A238&amp;""":"""&amp;C238&amp;""""&amp;IF(ISBLANK(B239),"}",","))</f>
        <v/>
      </c>
    </row>
    <row r="239" spans="11:12" x14ac:dyDescent="0.3">
      <c r="K239" t="str">
        <f t="shared" si="14"/>
        <v/>
      </c>
      <c r="L239" t="str">
        <f t="shared" si="15"/>
        <v/>
      </c>
    </row>
    <row r="240" spans="11:12" x14ac:dyDescent="0.3">
      <c r="K240" t="str">
        <f t="shared" si="14"/>
        <v/>
      </c>
      <c r="L240" t="str">
        <f t="shared" si="15"/>
        <v/>
      </c>
    </row>
    <row r="241" spans="11:12" x14ac:dyDescent="0.3">
      <c r="K241" t="str">
        <f t="shared" si="14"/>
        <v/>
      </c>
      <c r="L241" t="str">
        <f t="shared" si="15"/>
        <v/>
      </c>
    </row>
    <row r="242" spans="11:12" x14ac:dyDescent="0.3">
      <c r="K242" t="str">
        <f t="shared" si="14"/>
        <v/>
      </c>
      <c r="L242" t="str">
        <f t="shared" si="15"/>
        <v/>
      </c>
    </row>
    <row r="243" spans="11:12" x14ac:dyDescent="0.3">
      <c r="K243" t="str">
        <f t="shared" si="14"/>
        <v/>
      </c>
      <c r="L243" t="str">
        <f t="shared" si="15"/>
        <v/>
      </c>
    </row>
    <row r="244" spans="11:12" x14ac:dyDescent="0.3">
      <c r="K244" t="str">
        <f t="shared" si="14"/>
        <v/>
      </c>
      <c r="L244" t="str">
        <f t="shared" si="15"/>
        <v/>
      </c>
    </row>
    <row r="245" spans="11:12" x14ac:dyDescent="0.3">
      <c r="K245" t="str">
        <f t="shared" si="14"/>
        <v/>
      </c>
      <c r="L245" t="str">
        <f t="shared" si="15"/>
        <v/>
      </c>
    </row>
    <row r="246" spans="11:12" x14ac:dyDescent="0.3">
      <c r="K246" t="str">
        <f t="shared" si="14"/>
        <v/>
      </c>
      <c r="L246" t="str">
        <f t="shared" si="15"/>
        <v/>
      </c>
    </row>
    <row r="247" spans="11:12" x14ac:dyDescent="0.3">
      <c r="K247" t="str">
        <f t="shared" si="14"/>
        <v/>
      </c>
      <c r="L247" t="str">
        <f t="shared" si="15"/>
        <v/>
      </c>
    </row>
    <row r="248" spans="11:12" x14ac:dyDescent="0.3">
      <c r="K248" t="str">
        <f t="shared" si="14"/>
        <v/>
      </c>
      <c r="L248" t="str">
        <f t="shared" si="15"/>
        <v/>
      </c>
    </row>
    <row r="249" spans="11:12" x14ac:dyDescent="0.3">
      <c r="K249" t="str">
        <f t="shared" si="14"/>
        <v/>
      </c>
      <c r="L249" t="str">
        <f t="shared" si="15"/>
        <v/>
      </c>
    </row>
    <row r="250" spans="11:12" x14ac:dyDescent="0.3">
      <c r="K250" t="str">
        <f t="shared" si="14"/>
        <v/>
      </c>
      <c r="L250" t="str">
        <f t="shared" si="15"/>
        <v/>
      </c>
    </row>
    <row r="251" spans="11:12" x14ac:dyDescent="0.3">
      <c r="K251" t="str">
        <f t="shared" si="14"/>
        <v/>
      </c>
      <c r="L251" t="str">
        <f t="shared" si="15"/>
        <v/>
      </c>
    </row>
  </sheetData>
  <conditionalFormatting sqref="A1:A1048576">
    <cfRule type="duplicateValues" dxfId="11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opLeftCell="E1" zoomScaleNormal="100" workbookViewId="0">
      <selection activeCell="H9" sqref="H9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6.88671875" bestFit="1" customWidth="1"/>
    <col min="12" max="12" width="29.5546875" customWidth="1"/>
    <col min="13" max="13" width="21.44140625" bestFit="1" customWidth="1"/>
    <col min="17" max="17" width="31.33203125" customWidth="1"/>
  </cols>
  <sheetData>
    <row r="1" spans="1:20" x14ac:dyDescent="0.3">
      <c r="E1" s="26" t="s">
        <v>341</v>
      </c>
      <c r="F1" s="26"/>
      <c r="G1" s="26"/>
      <c r="H1" s="26"/>
      <c r="I1" s="26"/>
      <c r="J1" s="26"/>
      <c r="K1" s="26"/>
      <c r="M1" s="26" t="s">
        <v>329</v>
      </c>
      <c r="N1" s="26"/>
      <c r="O1" s="26" t="s">
        <v>330</v>
      </c>
      <c r="P1" s="26"/>
      <c r="T1" s="18" t="s">
        <v>1924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665</v>
      </c>
      <c r="K2" s="10" t="s">
        <v>681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474</v>
      </c>
    </row>
    <row r="4" spans="1:20" x14ac:dyDescent="0.3">
      <c r="A4">
        <v>2</v>
      </c>
      <c r="B4" t="b">
        <v>0</v>
      </c>
      <c r="C4" t="b">
        <v>1</v>
      </c>
      <c r="D4" t="s">
        <v>951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959</v>
      </c>
      <c r="M4" t="s">
        <v>952</v>
      </c>
      <c r="N4" t="s">
        <v>953</v>
      </c>
      <c r="O4" t="s">
        <v>954</v>
      </c>
      <c r="P4" t="s">
        <v>955</v>
      </c>
    </row>
    <row r="5" spans="1:20" x14ac:dyDescent="0.3">
      <c r="A5">
        <v>3</v>
      </c>
      <c r="B5" t="b">
        <v>0</v>
      </c>
      <c r="C5" t="b">
        <v>0</v>
      </c>
      <c r="D5" t="s">
        <v>1194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1667</v>
      </c>
      <c r="M5" t="s">
        <v>200</v>
      </c>
      <c r="N5" t="s">
        <v>199</v>
      </c>
      <c r="O5" t="s">
        <v>439</v>
      </c>
      <c r="P5" t="s">
        <v>475</v>
      </c>
    </row>
    <row r="6" spans="1:20" x14ac:dyDescent="0.3">
      <c r="A6">
        <v>4</v>
      </c>
      <c r="B6" t="b">
        <v>0</v>
      </c>
      <c r="C6" t="b">
        <v>1</v>
      </c>
      <c r="D6" t="s">
        <v>1179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1187</v>
      </c>
      <c r="M6" t="s">
        <v>1180</v>
      </c>
      <c r="N6" t="s">
        <v>1181</v>
      </c>
      <c r="O6" t="s">
        <v>1182</v>
      </c>
      <c r="P6" t="s">
        <v>1183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1667</v>
      </c>
      <c r="M7" t="s">
        <v>140</v>
      </c>
      <c r="N7" t="s">
        <v>193</v>
      </c>
      <c r="O7" t="s">
        <v>442</v>
      </c>
      <c r="P7" t="s">
        <v>476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1667</v>
      </c>
      <c r="M8" t="s">
        <v>139</v>
      </c>
      <c r="N8" t="s">
        <v>194</v>
      </c>
      <c r="O8" t="s">
        <v>443</v>
      </c>
      <c r="P8" t="s">
        <v>477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1667</v>
      </c>
      <c r="M9" t="s">
        <v>120</v>
      </c>
      <c r="N9" t="s">
        <v>195</v>
      </c>
      <c r="O9" t="s">
        <v>444</v>
      </c>
      <c r="P9" t="s">
        <v>478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479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867</v>
      </c>
      <c r="M11" t="s">
        <v>234</v>
      </c>
      <c r="N11" t="s">
        <v>235</v>
      </c>
      <c r="O11" t="s">
        <v>446</v>
      </c>
      <c r="P11" t="s">
        <v>480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866</v>
      </c>
      <c r="M12" t="s">
        <v>201</v>
      </c>
      <c r="N12" t="s">
        <v>203</v>
      </c>
      <c r="O12" t="s">
        <v>447</v>
      </c>
      <c r="P12" t="s">
        <v>481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1667</v>
      </c>
      <c r="M13" t="s">
        <v>202</v>
      </c>
      <c r="N13" t="s">
        <v>1156</v>
      </c>
      <c r="O13" t="s">
        <v>448</v>
      </c>
      <c r="P13" t="s">
        <v>482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766</v>
      </c>
      <c r="M14" t="s">
        <v>1155</v>
      </c>
      <c r="N14" t="s">
        <v>1157</v>
      </c>
      <c r="O14" t="s">
        <v>1156</v>
      </c>
      <c r="P14" t="s">
        <v>1158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868</v>
      </c>
      <c r="M15" t="s">
        <v>236</v>
      </c>
      <c r="N15" t="s">
        <v>205</v>
      </c>
      <c r="O15" t="s">
        <v>449</v>
      </c>
      <c r="P15" t="s">
        <v>483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869</v>
      </c>
      <c r="M16" t="s">
        <v>237</v>
      </c>
      <c r="N16" t="s">
        <v>206</v>
      </c>
      <c r="O16" t="s">
        <v>450</v>
      </c>
      <c r="P16" t="s">
        <v>484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485</v>
      </c>
    </row>
    <row r="18" spans="1:16" x14ac:dyDescent="0.3">
      <c r="A18">
        <v>16</v>
      </c>
      <c r="B18" t="b">
        <v>0</v>
      </c>
      <c r="C18" t="b">
        <v>1</v>
      </c>
      <c r="D18" t="s">
        <v>715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716</v>
      </c>
      <c r="M18" t="s">
        <v>683</v>
      </c>
      <c r="N18" t="s">
        <v>713</v>
      </c>
      <c r="O18" t="s">
        <v>684</v>
      </c>
      <c r="P18" t="s">
        <v>714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870</v>
      </c>
      <c r="M19" t="s">
        <v>268</v>
      </c>
      <c r="N19" t="s">
        <v>436</v>
      </c>
      <c r="O19" t="s">
        <v>452</v>
      </c>
      <c r="P19" t="s">
        <v>486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871</v>
      </c>
      <c r="M20" t="s">
        <v>269</v>
      </c>
      <c r="N20" t="s">
        <v>437</v>
      </c>
      <c r="O20" t="s">
        <v>453</v>
      </c>
      <c r="P20" t="s">
        <v>487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912</v>
      </c>
      <c r="M21" t="s">
        <v>124</v>
      </c>
      <c r="N21" t="s">
        <v>208</v>
      </c>
      <c r="O21" t="s">
        <v>454</v>
      </c>
      <c r="P21" t="s">
        <v>488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909</v>
      </c>
      <c r="M22" t="s">
        <v>125</v>
      </c>
      <c r="N22" t="s">
        <v>207</v>
      </c>
      <c r="O22" t="s">
        <v>455</v>
      </c>
      <c r="P22" t="s">
        <v>489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910</v>
      </c>
      <c r="M23" t="s">
        <v>126</v>
      </c>
      <c r="N23" t="s">
        <v>209</v>
      </c>
      <c r="O23" t="s">
        <v>456</v>
      </c>
      <c r="P23" t="s">
        <v>490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911</v>
      </c>
      <c r="M24" t="s">
        <v>164</v>
      </c>
      <c r="N24" t="s">
        <v>210</v>
      </c>
      <c r="O24" t="s">
        <v>457</v>
      </c>
      <c r="P24" t="s">
        <v>491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7" si="2">IF(E25,"CTRL_","")&amp;IF(F25,"ALT_","")&amp;IF(G25,"SHIFT_","")&amp;H25</f>
        <v>delete</v>
      </c>
      <c r="L25" t="s">
        <v>1651</v>
      </c>
      <c r="M25" t="s">
        <v>33</v>
      </c>
      <c r="N25" t="s">
        <v>211</v>
      </c>
      <c r="O25" t="s">
        <v>458</v>
      </c>
      <c r="P25" t="s">
        <v>492</v>
      </c>
    </row>
    <row r="26" spans="1:16" x14ac:dyDescent="0.3">
      <c r="A26">
        <v>24</v>
      </c>
      <c r="B26" t="b">
        <v>0</v>
      </c>
      <c r="C26" t="b">
        <v>1</v>
      </c>
      <c r="D26" t="s">
        <v>17</v>
      </c>
      <c r="E26" t="b">
        <v>1</v>
      </c>
      <c r="F26" s="25"/>
      <c r="G26" s="25"/>
      <c r="H26" s="25" t="s">
        <v>245</v>
      </c>
      <c r="I26" s="25">
        <f>IF(ISBLANK(H26), "", VLOOKUP(LOWER(H26), javascriptKeycodes!A:B, 2, FALSE))</f>
        <v>68</v>
      </c>
      <c r="J26" s="25" t="str">
        <f>IF(ISBLANK(H26), "", VLOOKUP(LOWER(H26), javascriptKeycodes!A:C, 3, FALSE))</f>
        <v>key_d</v>
      </c>
      <c r="K26" s="25" t="str">
        <f t="shared" ref="K26" si="3">IF(E26,"CTRL_","")&amp;IF(F26,"ALT_","")&amp;IF(G26,"SHIFT_","")&amp;H26</f>
        <v>CTRL_D</v>
      </c>
      <c r="L26" t="s">
        <v>1658</v>
      </c>
      <c r="M26" t="s">
        <v>1654</v>
      </c>
      <c r="N26" t="s">
        <v>1656</v>
      </c>
      <c r="O26" t="s">
        <v>1655</v>
      </c>
      <c r="P26" t="s">
        <v>1657</v>
      </c>
    </row>
    <row r="27" spans="1:16" x14ac:dyDescent="0.3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6"/>
      <c r="G27" s="6"/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si="2"/>
        <v>CTRL_Z</v>
      </c>
      <c r="L27" t="s">
        <v>1652</v>
      </c>
      <c r="M27" t="s">
        <v>143</v>
      </c>
      <c r="N27" t="s">
        <v>212</v>
      </c>
      <c r="O27" t="s">
        <v>459</v>
      </c>
      <c r="P27" t="s">
        <v>493</v>
      </c>
    </row>
    <row r="28" spans="1:16" x14ac:dyDescent="0.3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6"/>
      <c r="G28" s="7" t="b">
        <v>1</v>
      </c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ref="K28:K47" si="4">IF(E28,"CTRL_","")&amp;IF(F28,"ALT_","")&amp;IF(G28,"SHIFT_","")&amp;H28</f>
        <v>CTRL_SHIFT_Z</v>
      </c>
      <c r="L28" t="s">
        <v>1653</v>
      </c>
      <c r="M28" t="s">
        <v>144</v>
      </c>
      <c r="N28" t="s">
        <v>213</v>
      </c>
      <c r="O28" t="s">
        <v>460</v>
      </c>
      <c r="P28" t="s">
        <v>494</v>
      </c>
    </row>
    <row r="29" spans="1:16" x14ac:dyDescent="0.3">
      <c r="A29">
        <v>27</v>
      </c>
      <c r="B29" t="b">
        <v>1</v>
      </c>
      <c r="C29" t="b">
        <v>0</v>
      </c>
      <c r="D29" t="s">
        <v>894</v>
      </c>
      <c r="F29" s="20" t="b">
        <v>1</v>
      </c>
      <c r="G29" s="20"/>
      <c r="H29" s="20" t="s">
        <v>611</v>
      </c>
      <c r="I29" s="22">
        <f>IF(ISBLANK(H29), "", VLOOKUP(LOWER(H29), javascriptKeycodes!A:B, 2, FALSE))</f>
        <v>78</v>
      </c>
      <c r="J29" s="22" t="str">
        <f>IF(ISBLANK(H29), "", VLOOKUP(LOWER(H29), javascriptKeycodes!A:C, 3, FALSE))</f>
        <v>key_n</v>
      </c>
      <c r="K29" s="22" t="str">
        <f t="shared" si="4"/>
        <v>ALT_N</v>
      </c>
      <c r="M29" t="s">
        <v>895</v>
      </c>
      <c r="N29" t="s">
        <v>897</v>
      </c>
      <c r="O29" t="s">
        <v>896</v>
      </c>
      <c r="P29" t="s">
        <v>898</v>
      </c>
    </row>
    <row r="30" spans="1:16" x14ac:dyDescent="0.3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22">
        <f>IF(ISBLANK(H30), "", VLOOKUP(LOWER(H30), javascriptKeycodes!A:B, 2, FALSE))</f>
        <v>107</v>
      </c>
      <c r="J30" s="22" t="str">
        <f>IF(ISBLANK(H30), "", VLOOKUP(LOWER(H30), javascriptKeycodes!A:C, 3, FALSE))</f>
        <v>key_add</v>
      </c>
      <c r="K30" s="22" t="str">
        <f t="shared" si="4"/>
        <v>CTRL_add</v>
      </c>
      <c r="L30" t="s">
        <v>875</v>
      </c>
      <c r="M30" t="s">
        <v>129</v>
      </c>
      <c r="N30" t="s">
        <v>216</v>
      </c>
      <c r="O30" t="s">
        <v>462</v>
      </c>
      <c r="P30" t="s">
        <v>496</v>
      </c>
    </row>
    <row r="31" spans="1:16" x14ac:dyDescent="0.3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22">
        <f>IF(ISBLANK(H31), "", VLOOKUP(LOWER(H31), javascriptKeycodes!A:B, 2, FALSE))</f>
        <v>109</v>
      </c>
      <c r="J31" s="22" t="str">
        <f>IF(ISBLANK(H31), "", VLOOKUP(LOWER(H31), javascriptKeycodes!A:C, 3, FALSE))</f>
        <v>key_sub</v>
      </c>
      <c r="K31" s="22" t="str">
        <f t="shared" si="4"/>
        <v>CTRL_subtract</v>
      </c>
      <c r="L31" t="s">
        <v>874</v>
      </c>
      <c r="M31" t="s">
        <v>128</v>
      </c>
      <c r="N31" t="s">
        <v>217</v>
      </c>
      <c r="O31" t="s">
        <v>463</v>
      </c>
      <c r="P31" t="s">
        <v>497</v>
      </c>
    </row>
    <row r="32" spans="1:16" x14ac:dyDescent="0.3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666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4"/>
        <v>CTRL_K_0</v>
      </c>
      <c r="L32" t="s">
        <v>876</v>
      </c>
      <c r="M32" t="s">
        <v>131</v>
      </c>
      <c r="N32" t="s">
        <v>218</v>
      </c>
      <c r="O32" t="s">
        <v>464</v>
      </c>
      <c r="P32" t="s">
        <v>498</v>
      </c>
    </row>
    <row r="33" spans="1:16" x14ac:dyDescent="0.3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666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4"/>
        <v>CTRL_SHIFT_K_0</v>
      </c>
      <c r="L33" t="s">
        <v>877</v>
      </c>
      <c r="M33" t="s">
        <v>130</v>
      </c>
      <c r="N33" t="s">
        <v>219</v>
      </c>
      <c r="O33" t="s">
        <v>465</v>
      </c>
      <c r="P33" t="s">
        <v>499</v>
      </c>
    </row>
    <row r="34" spans="1:16" x14ac:dyDescent="0.3">
      <c r="A34">
        <v>32</v>
      </c>
      <c r="B34" t="b">
        <v>0</v>
      </c>
      <c r="C34" t="b">
        <v>0</v>
      </c>
      <c r="D34" t="s">
        <v>764</v>
      </c>
      <c r="E34" t="b">
        <v>1</v>
      </c>
      <c r="F34" s="6" t="b">
        <v>1</v>
      </c>
      <c r="G34" s="19" t="b">
        <v>1</v>
      </c>
      <c r="H34" s="6" t="s">
        <v>264</v>
      </c>
      <c r="I34" s="22">
        <f>IF(ISBLANK(H34), "", VLOOKUP(LOWER(H34), javascriptKeycodes!A:B, 2, FALSE))</f>
        <v>65</v>
      </c>
      <c r="J34" s="22" t="str">
        <f>IF(ISBLANK(H34), "", VLOOKUP(LOWER(H34), javascriptKeycodes!A:C, 3, FALSE))</f>
        <v>key_a</v>
      </c>
      <c r="K34" s="22" t="str">
        <f t="shared" si="4"/>
        <v>CTRL_ALT_SHIFT_A</v>
      </c>
      <c r="L34" t="s">
        <v>1667</v>
      </c>
      <c r="M34" t="s">
        <v>222</v>
      </c>
      <c r="N34" t="s">
        <v>223</v>
      </c>
      <c r="O34" t="s">
        <v>469</v>
      </c>
      <c r="P34" t="s">
        <v>503</v>
      </c>
    </row>
    <row r="35" spans="1:16" x14ac:dyDescent="0.3">
      <c r="A35">
        <v>33</v>
      </c>
      <c r="B35" t="b">
        <v>1</v>
      </c>
      <c r="C35" t="b">
        <v>0</v>
      </c>
      <c r="D35" t="s">
        <v>189</v>
      </c>
      <c r="F35" s="7" t="b">
        <v>1</v>
      </c>
      <c r="G35" s="6"/>
      <c r="H35" s="6" t="s">
        <v>257</v>
      </c>
      <c r="I35" s="22">
        <f>IF(ISBLANK(H35), "", VLOOKUP(LOWER(H35), javascriptKeycodes!A:B, 2, FALSE))</f>
        <v>86</v>
      </c>
      <c r="J35" s="22" t="str">
        <f>IF(ISBLANK(H35), "", VLOOKUP(LOWER(H35), javascriptKeycodes!A:C, 3, FALSE))</f>
        <v>key_v</v>
      </c>
      <c r="K35" s="22" t="str">
        <f t="shared" si="4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495</v>
      </c>
    </row>
    <row r="36" spans="1:16" x14ac:dyDescent="0.3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9" t="b">
        <v>1</v>
      </c>
      <c r="G36" s="9" t="b">
        <v>1</v>
      </c>
      <c r="H36" s="9" t="s">
        <v>261</v>
      </c>
      <c r="I36" s="22">
        <f>IF(ISBLANK(H36), "", VLOOKUP(LOWER(H36), javascriptKeycodes!A:B, 2, FALSE))</f>
        <v>70</v>
      </c>
      <c r="J36" s="22" t="str">
        <f>IF(ISBLANK(H36), "", VLOOKUP(LOWER(H36), javascriptKeycodes!A:C, 3, FALSE))</f>
        <v>key_f</v>
      </c>
      <c r="K36" s="22" t="str">
        <f t="shared" si="4"/>
        <v>CTRL_ALT_SHIFT_F</v>
      </c>
      <c r="L36" t="s">
        <v>680</v>
      </c>
      <c r="M36" t="s">
        <v>676</v>
      </c>
      <c r="N36" t="s">
        <v>677</v>
      </c>
      <c r="O36" t="s">
        <v>678</v>
      </c>
      <c r="P36" t="s">
        <v>679</v>
      </c>
    </row>
    <row r="37" spans="1:16" x14ac:dyDescent="0.3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6"/>
      <c r="G37" s="6"/>
      <c r="H37" s="6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4"/>
        <v>CTRL_M</v>
      </c>
      <c r="L37" t="s">
        <v>872</v>
      </c>
      <c r="M37" t="s">
        <v>145</v>
      </c>
      <c r="N37" t="s">
        <v>220</v>
      </c>
      <c r="O37" t="s">
        <v>466</v>
      </c>
      <c r="P37" t="s">
        <v>500</v>
      </c>
    </row>
    <row r="38" spans="1:16" x14ac:dyDescent="0.3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6"/>
      <c r="G38" s="7" t="b">
        <v>1</v>
      </c>
      <c r="H38" s="7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4"/>
        <v>CTRL_SHIFT_M</v>
      </c>
      <c r="L38" t="s">
        <v>873</v>
      </c>
      <c r="M38" t="s">
        <v>146</v>
      </c>
      <c r="N38" t="s">
        <v>221</v>
      </c>
      <c r="O38" t="s">
        <v>467</v>
      </c>
      <c r="P38" t="s">
        <v>501</v>
      </c>
    </row>
    <row r="39" spans="1:16" x14ac:dyDescent="0.3">
      <c r="A39">
        <v>37</v>
      </c>
      <c r="B39" t="b">
        <v>0</v>
      </c>
      <c r="C39" t="b">
        <v>0</v>
      </c>
      <c r="D39" t="s">
        <v>964</v>
      </c>
      <c r="E39" t="b">
        <v>1</v>
      </c>
      <c r="F39" s="6"/>
      <c r="G39" s="6"/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4"/>
        <v>CTRL_R</v>
      </c>
      <c r="L39" t="s">
        <v>887</v>
      </c>
      <c r="M39" t="s">
        <v>878</v>
      </c>
      <c r="N39" t="s">
        <v>879</v>
      </c>
      <c r="O39" t="s">
        <v>882</v>
      </c>
      <c r="P39" t="s">
        <v>884</v>
      </c>
    </row>
    <row r="40" spans="1:16" x14ac:dyDescent="0.3">
      <c r="A40">
        <v>38</v>
      </c>
      <c r="B40" t="b">
        <v>0</v>
      </c>
      <c r="C40" t="b">
        <v>1</v>
      </c>
      <c r="D40" t="s">
        <v>965</v>
      </c>
      <c r="E40" t="b">
        <v>1</v>
      </c>
      <c r="F40" s="6"/>
      <c r="G40" s="6" t="b">
        <v>1</v>
      </c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4"/>
        <v>CTRL_SHIFT_R</v>
      </c>
      <c r="L40" t="s">
        <v>886</v>
      </c>
      <c r="M40" t="s">
        <v>881</v>
      </c>
      <c r="N40" t="s">
        <v>880</v>
      </c>
      <c r="O40" t="s">
        <v>883</v>
      </c>
      <c r="P40" t="s">
        <v>885</v>
      </c>
    </row>
    <row r="41" spans="1:16" x14ac:dyDescent="0.3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20"/>
      <c r="G41" s="20"/>
      <c r="H41" s="20" t="s">
        <v>261</v>
      </c>
      <c r="I41" s="22">
        <f>IF(ISBLANK(H41), "", VLOOKUP(LOWER(H41), javascriptKeycodes!A:B, 2, FALSE))</f>
        <v>70</v>
      </c>
      <c r="J41" s="22" t="str">
        <f>IF(ISBLANK(H41), "", VLOOKUP(LOWER(H41), javascriptKeycodes!A:C, 3, FALSE))</f>
        <v>key_f</v>
      </c>
      <c r="K41" s="22" t="str">
        <f t="shared" si="4"/>
        <v>CTRL_F</v>
      </c>
      <c r="L41" t="s">
        <v>907</v>
      </c>
      <c r="M41" t="s">
        <v>899</v>
      </c>
      <c r="N41" t="s">
        <v>903</v>
      </c>
      <c r="O41" t="s">
        <v>901</v>
      </c>
      <c r="P41" t="s">
        <v>905</v>
      </c>
    </row>
    <row r="42" spans="1:16" x14ac:dyDescent="0.3">
      <c r="A42">
        <v>40</v>
      </c>
      <c r="B42" t="b">
        <v>0</v>
      </c>
      <c r="C42" t="b">
        <v>0</v>
      </c>
      <c r="D42" t="s">
        <v>975</v>
      </c>
      <c r="E42" t="b">
        <v>1</v>
      </c>
      <c r="F42" s="20"/>
      <c r="G42" s="20"/>
      <c r="H42" s="20" t="s">
        <v>265</v>
      </c>
      <c r="I42" s="22">
        <f>IF(ISBLANK(H42), "", VLOOKUP(LOWER(H42), javascriptKeycodes!A:B, 2, FALSE))</f>
        <v>66</v>
      </c>
      <c r="J42" s="22" t="str">
        <f>IF(ISBLANK(H42), "", VLOOKUP(LOWER(H42), javascriptKeycodes!A:C, 3, FALSE))</f>
        <v>key_b</v>
      </c>
      <c r="K42" s="22" t="str">
        <f t="shared" si="4"/>
        <v>CTRL_B</v>
      </c>
      <c r="L42" t="s">
        <v>908</v>
      </c>
      <c r="M42" t="s">
        <v>900</v>
      </c>
      <c r="N42" t="s">
        <v>904</v>
      </c>
      <c r="O42" t="s">
        <v>902</v>
      </c>
      <c r="P42" t="s">
        <v>906</v>
      </c>
    </row>
    <row r="43" spans="1:16" x14ac:dyDescent="0.3">
      <c r="A43">
        <v>41</v>
      </c>
      <c r="B43" t="b">
        <v>0</v>
      </c>
      <c r="C43" t="b">
        <v>0</v>
      </c>
      <c r="D43" t="s">
        <v>280</v>
      </c>
      <c r="F43" s="6"/>
      <c r="G43" s="6"/>
      <c r="H43" s="6"/>
      <c r="I43" s="22" t="str">
        <f>IF(ISBLANK(H43), "", VLOOKUP(LOWER(H43), javascriptKeycodes!A:B, 2, FALSE))</f>
        <v/>
      </c>
      <c r="J43" s="22" t="str">
        <f>IF(ISBLANK(H43), "", VLOOKUP(LOWER(H43), javascriptKeycodes!A:C, 3, FALSE))</f>
        <v/>
      </c>
      <c r="K43" s="22" t="str">
        <f t="shared" si="4"/>
        <v/>
      </c>
      <c r="L43" t="s">
        <v>963</v>
      </c>
      <c r="M43" t="s">
        <v>279</v>
      </c>
      <c r="N43" t="s">
        <v>281</v>
      </c>
      <c r="O43" t="s">
        <v>468</v>
      </c>
      <c r="P43" t="s">
        <v>502</v>
      </c>
    </row>
    <row r="44" spans="1:16" x14ac:dyDescent="0.3">
      <c r="A44">
        <v>42</v>
      </c>
      <c r="B44" t="b">
        <v>1</v>
      </c>
      <c r="C44" t="b">
        <v>0</v>
      </c>
      <c r="D44" t="s">
        <v>191</v>
      </c>
      <c r="F44" s="7" t="b">
        <v>1</v>
      </c>
      <c r="G44" s="6"/>
      <c r="H44" s="6" t="s">
        <v>267</v>
      </c>
      <c r="I44" s="22">
        <f>IF(ISBLANK(H44), "", VLOOKUP(LOWER(H44), javascriptKeycodes!A:B, 2, FALSE))</f>
        <v>72</v>
      </c>
      <c r="J44" s="22" t="str">
        <f>IF(ISBLANK(H44), "", VLOOKUP(LOWER(H44), javascriptKeycodes!A:C, 3, FALSE))</f>
        <v>key_h</v>
      </c>
      <c r="K44" s="22" t="str">
        <f t="shared" si="4"/>
        <v>ALT_H</v>
      </c>
      <c r="L44" t="s">
        <v>435</v>
      </c>
      <c r="M44" t="s">
        <v>147</v>
      </c>
      <c r="N44" t="s">
        <v>231</v>
      </c>
      <c r="O44" t="s">
        <v>470</v>
      </c>
      <c r="P44" t="s">
        <v>504</v>
      </c>
    </row>
    <row r="45" spans="1:16" x14ac:dyDescent="0.3">
      <c r="A45">
        <v>43</v>
      </c>
      <c r="B45" t="b">
        <v>0</v>
      </c>
      <c r="C45" t="b">
        <v>0</v>
      </c>
      <c r="D45" t="s">
        <v>183</v>
      </c>
      <c r="E45" t="b">
        <v>1</v>
      </c>
      <c r="F45" s="6"/>
      <c r="G45" s="6"/>
      <c r="H45" s="6" t="s">
        <v>267</v>
      </c>
      <c r="I45" s="22">
        <f>IF(ISBLANK(H45), "", VLOOKUP(LOWER(H45), javascriptKeycodes!A:B, 2, FALSE))</f>
        <v>72</v>
      </c>
      <c r="J45" s="22" t="str">
        <f>IF(ISBLANK(H45), "", VLOOKUP(LOWER(H45), javascriptKeycodes!A:C, 3, FALSE))</f>
        <v>key_h</v>
      </c>
      <c r="K45" s="22" t="str">
        <f t="shared" si="4"/>
        <v>CTRL_H</v>
      </c>
      <c r="L45" t="s">
        <v>1667</v>
      </c>
      <c r="M45" t="s">
        <v>148</v>
      </c>
      <c r="N45" t="s">
        <v>232</v>
      </c>
      <c r="O45" t="s">
        <v>471</v>
      </c>
      <c r="P45" t="s">
        <v>505</v>
      </c>
    </row>
    <row r="46" spans="1:16" x14ac:dyDescent="0.3">
      <c r="A46">
        <v>44</v>
      </c>
      <c r="B46" t="b">
        <v>0</v>
      </c>
      <c r="C46" t="b">
        <v>1</v>
      </c>
      <c r="D46" t="s">
        <v>186</v>
      </c>
      <c r="E46" t="b">
        <v>1</v>
      </c>
      <c r="F46" s="6"/>
      <c r="G46" s="6" t="b">
        <v>1</v>
      </c>
      <c r="H46" s="6" t="s">
        <v>267</v>
      </c>
      <c r="I46" s="22">
        <f>IF(ISBLANK(H46), "", VLOOKUP(LOWER(H46), javascriptKeycodes!A:B, 2, FALSE))</f>
        <v>72</v>
      </c>
      <c r="J46" s="22" t="str">
        <f>IF(ISBLANK(H46), "", VLOOKUP(LOWER(H46), javascriptKeycodes!A:C, 3, FALSE))</f>
        <v>key_h</v>
      </c>
      <c r="K46" s="22" t="str">
        <f t="shared" si="4"/>
        <v>CTRL_SHIFT_H</v>
      </c>
      <c r="L46" t="s">
        <v>1667</v>
      </c>
      <c r="M46" t="s">
        <v>184</v>
      </c>
      <c r="N46" t="s">
        <v>233</v>
      </c>
      <c r="O46" t="s">
        <v>472</v>
      </c>
      <c r="P46" t="s">
        <v>506</v>
      </c>
    </row>
    <row r="47" spans="1:16" x14ac:dyDescent="0.3">
      <c r="A47">
        <v>45</v>
      </c>
      <c r="B47" t="b">
        <v>0</v>
      </c>
      <c r="C47" t="b">
        <v>0</v>
      </c>
      <c r="D47" t="s">
        <v>185</v>
      </c>
      <c r="F47" s="6"/>
      <c r="G47" s="6"/>
      <c r="H47" s="6"/>
      <c r="I47" s="22" t="str">
        <f>IF(ISBLANK(H47), "", VLOOKUP(LOWER(H47), javascriptKeycodes!A:B, 2, FALSE))</f>
        <v/>
      </c>
      <c r="J47" s="22" t="str">
        <f>IF(ISBLANK(H47), "", VLOOKUP(LOWER(H47), javascriptKeycodes!A:C, 3, FALSE))</f>
        <v/>
      </c>
      <c r="K47" s="22" t="str">
        <f t="shared" si="4"/>
        <v/>
      </c>
      <c r="L47" t="s">
        <v>1667</v>
      </c>
      <c r="M47" t="s">
        <v>149</v>
      </c>
      <c r="N47" t="s">
        <v>233</v>
      </c>
      <c r="O47" t="s">
        <v>473</v>
      </c>
      <c r="P47" t="s">
        <v>506</v>
      </c>
    </row>
    <row r="48" spans="1:16" x14ac:dyDescent="0.3">
      <c r="A48">
        <v>46</v>
      </c>
      <c r="B48" t="b">
        <v>1</v>
      </c>
      <c r="C48" t="b">
        <v>0</v>
      </c>
      <c r="D48" t="s">
        <v>1733</v>
      </c>
      <c r="F48" s="7"/>
      <c r="G48" s="6"/>
      <c r="H48" s="6"/>
      <c r="I48" s="22" t="str">
        <f>IF(ISBLANK(H48), "", VLOOKUP(LOWER(H48), javascriptKeycodes!A:B, 2, FALSE))</f>
        <v/>
      </c>
      <c r="J48" s="22" t="str">
        <f>IF(ISBLANK(H48), "", VLOOKUP(LOWER(H48), javascriptKeycodes!A:C, 3, FALSE))</f>
        <v/>
      </c>
      <c r="K48" s="22" t="str">
        <f>IF(E48,"CTRL_","")&amp;IF(F48,"ALT_","")&amp;IF(G48,"SHIFT_","")&amp;H48</f>
        <v/>
      </c>
      <c r="M48" t="s">
        <v>1732</v>
      </c>
      <c r="N48" t="s">
        <v>1737</v>
      </c>
      <c r="O48" t="s">
        <v>1740</v>
      </c>
      <c r="P48" t="s">
        <v>1743</v>
      </c>
    </row>
    <row r="49" spans="1:17" x14ac:dyDescent="0.3">
      <c r="A49">
        <v>47</v>
      </c>
      <c r="B49" t="b">
        <v>0</v>
      </c>
      <c r="C49" t="b">
        <v>0</v>
      </c>
      <c r="D49" t="s">
        <v>1920</v>
      </c>
      <c r="F49" s="6"/>
      <c r="G49" s="6"/>
      <c r="H49" s="6"/>
      <c r="I49" s="22" t="str">
        <f>IF(ISBLANK(H49), "", VLOOKUP(LOWER(H49), javascriptKeycodes!A:B, 2, FALSE))</f>
        <v/>
      </c>
      <c r="J49" s="22" t="str">
        <f>IF(ISBLANK(H49), "", VLOOKUP(LOWER(H49), javascriptKeycodes!A:C, 3, FALSE))</f>
        <v/>
      </c>
      <c r="K49" s="22" t="str">
        <f>IF(E49,"CTRL_","")&amp;IF(F49,"ALT_","")&amp;IF(G49,"SHIFT_","")&amp;H49</f>
        <v/>
      </c>
      <c r="L49" t="s">
        <v>1923</v>
      </c>
      <c r="M49" t="s">
        <v>1918</v>
      </c>
      <c r="N49" t="s">
        <v>1921</v>
      </c>
      <c r="O49" t="s">
        <v>1742</v>
      </c>
      <c r="P49" t="s">
        <v>1919</v>
      </c>
      <c r="Q49" t="s">
        <v>1922</v>
      </c>
    </row>
    <row r="50" spans="1:17" x14ac:dyDescent="0.3">
      <c r="A50">
        <v>48</v>
      </c>
      <c r="B50" t="b">
        <v>0</v>
      </c>
      <c r="C50" t="b">
        <v>0</v>
      </c>
      <c r="D50" t="s">
        <v>1734</v>
      </c>
      <c r="F50" s="6"/>
      <c r="G50" s="6"/>
      <c r="H50" s="6"/>
      <c r="I50" s="22" t="str">
        <f>IF(ISBLANK(H50), "", VLOOKUP(LOWER(H50), javascriptKeycodes!A:B, 2, FALSE))</f>
        <v/>
      </c>
      <c r="J50" s="22" t="str">
        <f>IF(ISBLANK(H50), "", VLOOKUP(LOWER(H50), javascriptKeycodes!A:C, 3, FALSE))</f>
        <v/>
      </c>
      <c r="K50" s="22" t="str">
        <f>IF(E50,"CTRL_","")&amp;IF(F50,"ALT_","")&amp;IF(G50,"SHIFT_","")&amp;H50</f>
        <v/>
      </c>
      <c r="L50" t="s">
        <v>1746</v>
      </c>
      <c r="M50" t="s">
        <v>1735</v>
      </c>
      <c r="N50" t="s">
        <v>1738</v>
      </c>
      <c r="O50" t="s">
        <v>1742</v>
      </c>
      <c r="P50" t="s">
        <v>1744</v>
      </c>
    </row>
    <row r="51" spans="1:17" x14ac:dyDescent="0.3">
      <c r="A51">
        <v>49</v>
      </c>
      <c r="B51" t="b">
        <v>0</v>
      </c>
      <c r="C51" t="b">
        <v>0</v>
      </c>
      <c r="D51" t="s">
        <v>1748</v>
      </c>
      <c r="F51" s="6"/>
      <c r="G51" s="6"/>
      <c r="H51" s="6"/>
      <c r="I51" s="22" t="str">
        <f>IF(ISBLANK(H51), "", VLOOKUP(LOWER(H51), javascriptKeycodes!A:B, 2, FALSE))</f>
        <v/>
      </c>
      <c r="J51" s="22" t="str">
        <f>IF(ISBLANK(H51), "", VLOOKUP(LOWER(H51), javascriptKeycodes!A:C, 3, FALSE))</f>
        <v/>
      </c>
      <c r="K51" s="22" t="str">
        <f>IF(E51,"CTRL_","")&amp;IF(F51,"ALT_","")&amp;IF(G51,"SHIFT_","")&amp;H51</f>
        <v/>
      </c>
      <c r="L51" t="s">
        <v>1747</v>
      </c>
      <c r="M51" t="s">
        <v>1736</v>
      </c>
      <c r="N51" t="s">
        <v>1739</v>
      </c>
      <c r="O51" t="s">
        <v>1741</v>
      </c>
      <c r="P51" t="s">
        <v>1745</v>
      </c>
    </row>
    <row r="52" spans="1:17" x14ac:dyDescent="0.3">
      <c r="F52" s="6"/>
      <c r="G52" s="6"/>
      <c r="H52" s="6"/>
      <c r="I52" s="6"/>
      <c r="J52" s="7"/>
      <c r="K52" s="10"/>
    </row>
    <row r="53" spans="1:17" x14ac:dyDescent="0.3">
      <c r="F53" s="6"/>
      <c r="G53" s="6"/>
      <c r="H53" s="6"/>
      <c r="I53" s="6"/>
      <c r="J53" s="7"/>
      <c r="K53" s="10"/>
    </row>
  </sheetData>
  <mergeCells count="3">
    <mergeCell ref="M1:N1"/>
    <mergeCell ref="O1:P1"/>
    <mergeCell ref="E1:K1"/>
  </mergeCells>
  <conditionalFormatting sqref="G54:G1048576">
    <cfRule type="duplicateValues" dxfId="10" priority="4"/>
  </conditionalFormatting>
  <conditionalFormatting sqref="K1:K1048576">
    <cfRule type="duplicateValues" dxfId="9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6" width="8.88671875" style="11"/>
    <col min="7" max="7" width="17.77734375" style="11" customWidth="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665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876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877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874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875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947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948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949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950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IF(ISBLANK(menu!K27),"",menu!K27)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IF(ISBLANK(menu!K28),"",menu!K28)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IF(ISBLANK(menu!K35),"",menu!K35)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IF(ISBLANK(menu!K36),"",menu!K36)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IF(ISBLANK(menu!K37),"",menu!K37)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IF(ISBLANK(menu!K38),"",menu!K38)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IF(ISBLANK(menu!K39),"",menu!K39)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IF(ISBLANK(menu!K40),"",menu!K40)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IF(ISBLANK(menu!K43),"",menu!K43)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IF(ISBLANK(menu!K34),"",menu!K34)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IF(ISBLANK(menu!K48),"",menu!K48)</f>
        <v/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IF(ISBLANK(menu!K49),"",menu!K49)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IF(ISBLANK(menu!K50),"",menu!K50)</f>
        <v/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IF(ISBLANK(menu!K51),"",menu!K51)</f>
        <v/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IF(ISBLANK(menu!K44),"",menu!K44)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IF(ISBLANK(menu!K45),"",menu!K45)</f>
        <v>CTRL_H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IF(ISBLANK(menu!K46),"",menu!K46)</f>
        <v>CTRL_SHIFT_H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IF(ISBLANK(menu!K47),"",menu!K47)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IF(ISBLANK(menu!K52),"",menu!K52)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IF(ISBLANK(menu!K53),"",menu!K53)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IF(ISBLANK(menu!K54),"",menu!K54)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IF(ISBLANK(menu!K55),"",menu!K55)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IF(ISBLANK(menu!K56),"",menu!K56)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IF(ISBLANK(menu!K57),"",menu!K57)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IF(ISBLANK(menu!K58),"",menu!K58)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IF(ISBLANK(menu!K59),"",menu!K59)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IF(ISBLANK(menu!K60),"",menu!K60)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IF(ISBLANK(menu!K61),"",menu!K61)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IF(ISBLANK(menu!K62),"",menu!K62)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IF(ISBLANK(menu!K63),"",menu!K63)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IF(ISBLANK(menu!K64),"",menu!K64)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IF(ISBLANK(menu!K65),"",menu!K65)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IF(ISBLANK(menu!K66),"",menu!K66)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IF(ISBLANK(menu!K67),"",menu!K67)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IF(ISBLANK(menu!K68),"",menu!K68)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IF(ISBLANK(menu!K69),"",menu!K69)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IF(ISBLANK(menu!K70),"",menu!K70)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IF(ISBLANK(menu!K71),"",menu!K71)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IF(ISBLANK(menu!K72),"",menu!K72)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IF(ISBLANK(menu!K73),"",menu!K73)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IF(ISBLANK(menu!K74),"",menu!K74)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IF(ISBLANK(menu!K75),"",menu!K75)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IF(ISBLANK(menu!K76),"",menu!K76)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IF(ISBLANK(menu!K77),"",menu!K77)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IF(ISBLANK(menu!K78),"",menu!K78)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IF(ISBLANK(menu!K79),"",menu!K79)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IF(ISBLANK(menu!K80),"",menu!K80)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IF(ISBLANK(menu!K81),"",menu!K81)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IF(ISBLANK(menu!K82),"",menu!K82)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IF(ISBLANK(menu!K83),"",menu!K83)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IF(ISBLANK(menu!K84),"",menu!K84)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IF(ISBLANK(menu!K85),"",menu!K85)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IF(ISBLANK(menu!K86),"",menu!K86)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IF(ISBLANK(menu!K87),"",menu!K87)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IF(ISBLANK(menu!K88),"",menu!K88)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IF(ISBLANK(menu!K89),"",menu!K89)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IF(ISBLANK(menu!K90),"",menu!K90)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IF(ISBLANK(menu!K91),"",menu!K91)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IF(ISBLANK(menu!K92),"",menu!K92)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IF(ISBLANK(menu!K93),"",menu!K93)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IF(ISBLANK(menu!K94),"",menu!K94)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IF(ISBLANK(menu!K95),"",menu!K95)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IF(ISBLANK(menu!K96),"",menu!K96)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IF(ISBLANK(menu!K97),"",menu!K97)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IF(ISBLANK(menu!K98),"",menu!K98)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IF(ISBLANK(menu!K99),"",menu!K99)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IF(ISBLANK(menu!K100),"",menu!K100)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IF(ISBLANK(menu!K101),"",menu!K101)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IF(ISBLANK(menu!K102),"",menu!K102)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IF(ISBLANK(menu!K103),"",menu!K103)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IF(ISBLANK(menu!K104),"",menu!K104)</f>
        <v/>
      </c>
      <c r="M100" s="11" t="str">
        <f t="shared" si="3"/>
        <v/>
      </c>
    </row>
  </sheetData>
  <conditionalFormatting sqref="H1:I1048576">
    <cfRule type="duplicateValues" dxfId="8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507</v>
      </c>
    </row>
    <row r="2" spans="1:3" x14ac:dyDescent="0.3">
      <c r="A2" t="s">
        <v>347</v>
      </c>
      <c r="B2">
        <v>8</v>
      </c>
      <c r="C2" t="s">
        <v>508</v>
      </c>
    </row>
    <row r="3" spans="1:3" x14ac:dyDescent="0.3">
      <c r="A3" t="s">
        <v>348</v>
      </c>
      <c r="B3">
        <v>9</v>
      </c>
      <c r="C3" t="s">
        <v>509</v>
      </c>
    </row>
    <row r="4" spans="1:3" x14ac:dyDescent="0.3">
      <c r="A4" t="s">
        <v>349</v>
      </c>
      <c r="B4">
        <v>13</v>
      </c>
      <c r="C4" t="s">
        <v>510</v>
      </c>
    </row>
    <row r="5" spans="1:3" x14ac:dyDescent="0.3">
      <c r="A5" t="s">
        <v>350</v>
      </c>
      <c r="B5">
        <v>16</v>
      </c>
      <c r="C5" t="s">
        <v>511</v>
      </c>
    </row>
    <row r="6" spans="1:3" x14ac:dyDescent="0.3">
      <c r="A6" t="s">
        <v>351</v>
      </c>
      <c r="B6">
        <v>17</v>
      </c>
      <c r="C6" t="s">
        <v>512</v>
      </c>
    </row>
    <row r="7" spans="1:3" x14ac:dyDescent="0.3">
      <c r="A7" t="s">
        <v>352</v>
      </c>
      <c r="B7">
        <v>18</v>
      </c>
      <c r="C7" t="s">
        <v>513</v>
      </c>
    </row>
    <row r="8" spans="1:3" x14ac:dyDescent="0.3">
      <c r="A8" t="s">
        <v>353</v>
      </c>
      <c r="B8">
        <v>19</v>
      </c>
      <c r="C8" t="s">
        <v>514</v>
      </c>
    </row>
    <row r="9" spans="1:3" x14ac:dyDescent="0.3">
      <c r="A9" t="s">
        <v>354</v>
      </c>
      <c r="B9">
        <v>20</v>
      </c>
      <c r="C9" t="s">
        <v>515</v>
      </c>
    </row>
    <row r="10" spans="1:3" x14ac:dyDescent="0.3">
      <c r="A10" t="s">
        <v>355</v>
      </c>
      <c r="B10">
        <v>27</v>
      </c>
      <c r="C10" t="s">
        <v>516</v>
      </c>
    </row>
    <row r="11" spans="1:3" x14ac:dyDescent="0.3">
      <c r="A11" t="s">
        <v>356</v>
      </c>
      <c r="B11">
        <v>33</v>
      </c>
      <c r="C11" t="s">
        <v>517</v>
      </c>
    </row>
    <row r="12" spans="1:3" x14ac:dyDescent="0.3">
      <c r="A12" t="s">
        <v>357</v>
      </c>
      <c r="B12">
        <v>34</v>
      </c>
      <c r="C12" t="s">
        <v>518</v>
      </c>
    </row>
    <row r="13" spans="1:3" x14ac:dyDescent="0.3">
      <c r="A13" t="s">
        <v>358</v>
      </c>
      <c r="B13">
        <v>35</v>
      </c>
      <c r="C13" t="s">
        <v>519</v>
      </c>
    </row>
    <row r="14" spans="1:3" x14ac:dyDescent="0.3">
      <c r="A14" t="s">
        <v>359</v>
      </c>
      <c r="B14">
        <v>36</v>
      </c>
      <c r="C14" t="s">
        <v>520</v>
      </c>
    </row>
    <row r="15" spans="1:3" x14ac:dyDescent="0.3">
      <c r="A15" t="s">
        <v>360</v>
      </c>
      <c r="B15">
        <v>37</v>
      </c>
      <c r="C15" t="s">
        <v>521</v>
      </c>
    </row>
    <row r="16" spans="1:3" x14ac:dyDescent="0.3">
      <c r="A16" t="s">
        <v>361</v>
      </c>
      <c r="B16">
        <v>38</v>
      </c>
      <c r="C16" t="s">
        <v>522</v>
      </c>
    </row>
    <row r="17" spans="1:3" x14ac:dyDescent="0.3">
      <c r="A17" t="s">
        <v>362</v>
      </c>
      <c r="B17">
        <v>39</v>
      </c>
      <c r="C17" t="s">
        <v>523</v>
      </c>
    </row>
    <row r="18" spans="1:3" x14ac:dyDescent="0.3">
      <c r="A18" t="s">
        <v>363</v>
      </c>
      <c r="B18">
        <v>40</v>
      </c>
      <c r="C18" t="s">
        <v>524</v>
      </c>
    </row>
    <row r="19" spans="1:3" x14ac:dyDescent="0.3">
      <c r="A19" t="s">
        <v>364</v>
      </c>
      <c r="B19">
        <v>45</v>
      </c>
      <c r="C19" t="s">
        <v>525</v>
      </c>
    </row>
    <row r="20" spans="1:3" x14ac:dyDescent="0.3">
      <c r="A20" t="s">
        <v>7</v>
      </c>
      <c r="B20">
        <v>46</v>
      </c>
      <c r="C20" t="s">
        <v>526</v>
      </c>
    </row>
    <row r="21" spans="1:3" x14ac:dyDescent="0.3">
      <c r="A21" t="s">
        <v>666</v>
      </c>
      <c r="B21">
        <v>48</v>
      </c>
      <c r="C21" t="s">
        <v>527</v>
      </c>
    </row>
    <row r="22" spans="1:3" x14ac:dyDescent="0.3">
      <c r="A22" t="s">
        <v>667</v>
      </c>
      <c r="B22">
        <v>49</v>
      </c>
      <c r="C22" t="s">
        <v>528</v>
      </c>
    </row>
    <row r="23" spans="1:3" x14ac:dyDescent="0.3">
      <c r="A23" t="s">
        <v>668</v>
      </c>
      <c r="B23">
        <v>50</v>
      </c>
      <c r="C23" t="s">
        <v>529</v>
      </c>
    </row>
    <row r="24" spans="1:3" x14ac:dyDescent="0.3">
      <c r="A24" t="s">
        <v>669</v>
      </c>
      <c r="B24">
        <v>51</v>
      </c>
      <c r="C24" t="s">
        <v>530</v>
      </c>
    </row>
    <row r="25" spans="1:3" x14ac:dyDescent="0.3">
      <c r="A25" t="s">
        <v>670</v>
      </c>
      <c r="B25">
        <v>52</v>
      </c>
      <c r="C25" t="s">
        <v>531</v>
      </c>
    </row>
    <row r="26" spans="1:3" x14ac:dyDescent="0.3">
      <c r="A26" t="s">
        <v>671</v>
      </c>
      <c r="B26">
        <v>53</v>
      </c>
      <c r="C26" t="s">
        <v>532</v>
      </c>
    </row>
    <row r="27" spans="1:3" x14ac:dyDescent="0.3">
      <c r="A27" t="s">
        <v>672</v>
      </c>
      <c r="B27">
        <v>54</v>
      </c>
      <c r="C27" t="s">
        <v>533</v>
      </c>
    </row>
    <row r="28" spans="1:3" x14ac:dyDescent="0.3">
      <c r="A28" t="s">
        <v>673</v>
      </c>
      <c r="B28">
        <v>55</v>
      </c>
      <c r="C28" t="s">
        <v>534</v>
      </c>
    </row>
    <row r="29" spans="1:3" x14ac:dyDescent="0.3">
      <c r="A29" t="s">
        <v>674</v>
      </c>
      <c r="B29">
        <v>56</v>
      </c>
      <c r="C29" t="s">
        <v>535</v>
      </c>
    </row>
    <row r="30" spans="1:3" x14ac:dyDescent="0.3">
      <c r="A30" t="s">
        <v>675</v>
      </c>
      <c r="B30">
        <v>57</v>
      </c>
      <c r="C30" t="s">
        <v>536</v>
      </c>
    </row>
    <row r="31" spans="1:3" x14ac:dyDescent="0.3">
      <c r="A31" t="s">
        <v>365</v>
      </c>
      <c r="B31">
        <v>65</v>
      </c>
      <c r="C31" t="s">
        <v>537</v>
      </c>
    </row>
    <row r="32" spans="1:3" x14ac:dyDescent="0.3">
      <c r="A32" t="s">
        <v>366</v>
      </c>
      <c r="B32">
        <v>66</v>
      </c>
      <c r="C32" t="s">
        <v>538</v>
      </c>
    </row>
    <row r="33" spans="1:3" x14ac:dyDescent="0.3">
      <c r="A33" t="s">
        <v>367</v>
      </c>
      <c r="B33">
        <v>67</v>
      </c>
      <c r="C33" t="s">
        <v>539</v>
      </c>
    </row>
    <row r="34" spans="1:3" x14ac:dyDescent="0.3">
      <c r="A34" t="s">
        <v>368</v>
      </c>
      <c r="B34">
        <v>68</v>
      </c>
      <c r="C34" t="s">
        <v>540</v>
      </c>
    </row>
    <row r="35" spans="1:3" x14ac:dyDescent="0.3">
      <c r="A35" t="s">
        <v>370</v>
      </c>
      <c r="B35">
        <v>69</v>
      </c>
      <c r="C35" t="s">
        <v>541</v>
      </c>
    </row>
    <row r="36" spans="1:3" x14ac:dyDescent="0.3">
      <c r="A36" t="s">
        <v>371</v>
      </c>
      <c r="B36">
        <v>70</v>
      </c>
      <c r="C36" t="s">
        <v>542</v>
      </c>
    </row>
    <row r="37" spans="1:3" x14ac:dyDescent="0.3">
      <c r="A37" t="s">
        <v>372</v>
      </c>
      <c r="B37">
        <v>71</v>
      </c>
      <c r="C37" t="s">
        <v>543</v>
      </c>
    </row>
    <row r="38" spans="1:3" x14ac:dyDescent="0.3">
      <c r="A38" t="s">
        <v>373</v>
      </c>
      <c r="B38">
        <v>72</v>
      </c>
      <c r="C38" t="s">
        <v>544</v>
      </c>
    </row>
    <row r="39" spans="1:3" x14ac:dyDescent="0.3">
      <c r="A39" t="s">
        <v>374</v>
      </c>
      <c r="B39">
        <v>73</v>
      </c>
      <c r="C39" t="s">
        <v>545</v>
      </c>
    </row>
    <row r="40" spans="1:3" x14ac:dyDescent="0.3">
      <c r="A40" t="s">
        <v>375</v>
      </c>
      <c r="B40">
        <v>74</v>
      </c>
      <c r="C40" t="s">
        <v>546</v>
      </c>
    </row>
    <row r="41" spans="1:3" x14ac:dyDescent="0.3">
      <c r="A41" t="s">
        <v>376</v>
      </c>
      <c r="B41">
        <v>75</v>
      </c>
      <c r="C41" t="s">
        <v>547</v>
      </c>
    </row>
    <row r="42" spans="1:3" x14ac:dyDescent="0.3">
      <c r="A42" t="s">
        <v>377</v>
      </c>
      <c r="B42">
        <v>76</v>
      </c>
      <c r="C42" t="s">
        <v>548</v>
      </c>
    </row>
    <row r="43" spans="1:3" x14ac:dyDescent="0.3">
      <c r="A43" t="s">
        <v>378</v>
      </c>
      <c r="B43">
        <v>77</v>
      </c>
      <c r="C43" t="s">
        <v>549</v>
      </c>
    </row>
    <row r="44" spans="1:3" x14ac:dyDescent="0.3">
      <c r="A44" t="s">
        <v>379</v>
      </c>
      <c r="B44">
        <v>78</v>
      </c>
      <c r="C44" t="s">
        <v>550</v>
      </c>
    </row>
    <row r="45" spans="1:3" x14ac:dyDescent="0.3">
      <c r="A45" t="s">
        <v>380</v>
      </c>
      <c r="B45">
        <v>79</v>
      </c>
      <c r="C45" t="s">
        <v>551</v>
      </c>
    </row>
    <row r="46" spans="1:3" x14ac:dyDescent="0.3">
      <c r="A46" t="s">
        <v>381</v>
      </c>
      <c r="B46">
        <v>80</v>
      </c>
      <c r="C46" t="s">
        <v>552</v>
      </c>
    </row>
    <row r="47" spans="1:3" x14ac:dyDescent="0.3">
      <c r="A47" t="s">
        <v>382</v>
      </c>
      <c r="B47">
        <v>81</v>
      </c>
      <c r="C47" t="s">
        <v>553</v>
      </c>
    </row>
    <row r="48" spans="1:3" x14ac:dyDescent="0.3">
      <c r="A48" t="s">
        <v>383</v>
      </c>
      <c r="B48">
        <v>82</v>
      </c>
      <c r="C48" t="s">
        <v>554</v>
      </c>
    </row>
    <row r="49" spans="1:3" x14ac:dyDescent="0.3">
      <c r="A49" t="s">
        <v>384</v>
      </c>
      <c r="B49">
        <v>83</v>
      </c>
      <c r="C49" t="s">
        <v>555</v>
      </c>
    </row>
    <row r="50" spans="1:3" x14ac:dyDescent="0.3">
      <c r="A50" t="s">
        <v>385</v>
      </c>
      <c r="B50">
        <v>84</v>
      </c>
      <c r="C50" t="s">
        <v>556</v>
      </c>
    </row>
    <row r="51" spans="1:3" x14ac:dyDescent="0.3">
      <c r="A51" t="s">
        <v>386</v>
      </c>
      <c r="B51">
        <v>85</v>
      </c>
      <c r="C51" t="s">
        <v>557</v>
      </c>
    </row>
    <row r="52" spans="1:3" x14ac:dyDescent="0.3">
      <c r="A52" t="s">
        <v>387</v>
      </c>
      <c r="B52">
        <v>86</v>
      </c>
      <c r="C52" t="s">
        <v>558</v>
      </c>
    </row>
    <row r="53" spans="1:3" x14ac:dyDescent="0.3">
      <c r="A53" t="s">
        <v>388</v>
      </c>
      <c r="B53">
        <v>87</v>
      </c>
      <c r="C53" t="s">
        <v>559</v>
      </c>
    </row>
    <row r="54" spans="1:3" x14ac:dyDescent="0.3">
      <c r="A54" t="s">
        <v>37</v>
      </c>
      <c r="B54">
        <v>88</v>
      </c>
      <c r="C54" t="s">
        <v>560</v>
      </c>
    </row>
    <row r="55" spans="1:3" x14ac:dyDescent="0.3">
      <c r="A55" t="s">
        <v>38</v>
      </c>
      <c r="B55">
        <v>89</v>
      </c>
      <c r="C55" t="s">
        <v>561</v>
      </c>
    </row>
    <row r="56" spans="1:3" x14ac:dyDescent="0.3">
      <c r="A56" t="s">
        <v>389</v>
      </c>
      <c r="B56">
        <v>90</v>
      </c>
      <c r="C56" t="s">
        <v>562</v>
      </c>
    </row>
    <row r="57" spans="1:3" x14ac:dyDescent="0.3">
      <c r="A57" t="s">
        <v>390</v>
      </c>
      <c r="B57">
        <v>91</v>
      </c>
      <c r="C57" t="s">
        <v>563</v>
      </c>
    </row>
    <row r="58" spans="1:3" x14ac:dyDescent="0.3">
      <c r="A58" t="s">
        <v>391</v>
      </c>
      <c r="B58">
        <v>92</v>
      </c>
      <c r="C58" t="s">
        <v>564</v>
      </c>
    </row>
    <row r="59" spans="1:3" x14ac:dyDescent="0.3">
      <c r="A59" t="s">
        <v>392</v>
      </c>
      <c r="B59">
        <v>93</v>
      </c>
      <c r="C59" t="s">
        <v>565</v>
      </c>
    </row>
    <row r="60" spans="1:3" x14ac:dyDescent="0.3">
      <c r="A60" t="s">
        <v>393</v>
      </c>
      <c r="B60">
        <v>96</v>
      </c>
      <c r="C60" t="s">
        <v>566</v>
      </c>
    </row>
    <row r="61" spans="1:3" x14ac:dyDescent="0.3">
      <c r="A61" t="s">
        <v>394</v>
      </c>
      <c r="B61">
        <v>97</v>
      </c>
      <c r="C61" t="s">
        <v>567</v>
      </c>
    </row>
    <row r="62" spans="1:3" x14ac:dyDescent="0.3">
      <c r="A62" t="s">
        <v>395</v>
      </c>
      <c r="B62">
        <v>98</v>
      </c>
      <c r="C62" t="s">
        <v>568</v>
      </c>
    </row>
    <row r="63" spans="1:3" x14ac:dyDescent="0.3">
      <c r="A63" t="s">
        <v>396</v>
      </c>
      <c r="B63">
        <v>99</v>
      </c>
      <c r="C63" t="s">
        <v>569</v>
      </c>
    </row>
    <row r="64" spans="1:3" x14ac:dyDescent="0.3">
      <c r="A64" t="s">
        <v>397</v>
      </c>
      <c r="B64">
        <v>100</v>
      </c>
      <c r="C64" t="s">
        <v>570</v>
      </c>
    </row>
    <row r="65" spans="1:3" x14ac:dyDescent="0.3">
      <c r="A65" t="s">
        <v>398</v>
      </c>
      <c r="B65">
        <v>101</v>
      </c>
      <c r="C65" t="s">
        <v>571</v>
      </c>
    </row>
    <row r="66" spans="1:3" x14ac:dyDescent="0.3">
      <c r="A66" t="s">
        <v>399</v>
      </c>
      <c r="B66">
        <v>102</v>
      </c>
      <c r="C66" t="s">
        <v>572</v>
      </c>
    </row>
    <row r="67" spans="1:3" x14ac:dyDescent="0.3">
      <c r="A67" t="s">
        <v>400</v>
      </c>
      <c r="B67">
        <v>103</v>
      </c>
      <c r="C67" t="s">
        <v>573</v>
      </c>
    </row>
    <row r="68" spans="1:3" x14ac:dyDescent="0.3">
      <c r="A68" t="s">
        <v>401</v>
      </c>
      <c r="B68">
        <v>104</v>
      </c>
      <c r="C68" t="s">
        <v>574</v>
      </c>
    </row>
    <row r="69" spans="1:3" x14ac:dyDescent="0.3">
      <c r="A69" t="s">
        <v>402</v>
      </c>
      <c r="B69">
        <v>105</v>
      </c>
      <c r="C69" t="s">
        <v>575</v>
      </c>
    </row>
    <row r="70" spans="1:3" x14ac:dyDescent="0.3">
      <c r="A70" t="s">
        <v>403</v>
      </c>
      <c r="B70">
        <v>106</v>
      </c>
      <c r="C70" t="s">
        <v>576</v>
      </c>
    </row>
    <row r="71" spans="1:3" x14ac:dyDescent="0.3">
      <c r="A71" t="s">
        <v>404</v>
      </c>
      <c r="B71">
        <v>107</v>
      </c>
      <c r="C71" t="s">
        <v>577</v>
      </c>
    </row>
    <row r="72" spans="1:3" x14ac:dyDescent="0.3">
      <c r="A72" t="s">
        <v>405</v>
      </c>
      <c r="B72">
        <v>109</v>
      </c>
      <c r="C72" t="s">
        <v>578</v>
      </c>
    </row>
    <row r="73" spans="1:3" x14ac:dyDescent="0.3">
      <c r="A73" t="s">
        <v>406</v>
      </c>
      <c r="B73">
        <v>110</v>
      </c>
      <c r="C73" t="s">
        <v>579</v>
      </c>
    </row>
    <row r="74" spans="1:3" x14ac:dyDescent="0.3">
      <c r="A74" t="s">
        <v>407</v>
      </c>
      <c r="B74">
        <v>111</v>
      </c>
      <c r="C74" t="s">
        <v>580</v>
      </c>
    </row>
    <row r="75" spans="1:3" x14ac:dyDescent="0.3">
      <c r="A75" t="s">
        <v>408</v>
      </c>
      <c r="B75">
        <v>112</v>
      </c>
      <c r="C75" t="s">
        <v>581</v>
      </c>
    </row>
    <row r="76" spans="1:3" x14ac:dyDescent="0.3">
      <c r="A76" t="s">
        <v>409</v>
      </c>
      <c r="B76">
        <v>113</v>
      </c>
      <c r="C76" t="s">
        <v>582</v>
      </c>
    </row>
    <row r="77" spans="1:3" x14ac:dyDescent="0.3">
      <c r="A77" t="s">
        <v>410</v>
      </c>
      <c r="B77">
        <v>114</v>
      </c>
      <c r="C77" t="s">
        <v>583</v>
      </c>
    </row>
    <row r="78" spans="1:3" x14ac:dyDescent="0.3">
      <c r="A78" t="s">
        <v>411</v>
      </c>
      <c r="B78">
        <v>115</v>
      </c>
      <c r="C78" t="s">
        <v>584</v>
      </c>
    </row>
    <row r="79" spans="1:3" x14ac:dyDescent="0.3">
      <c r="A79" t="s">
        <v>412</v>
      </c>
      <c r="B79">
        <v>116</v>
      </c>
      <c r="C79" t="s">
        <v>585</v>
      </c>
    </row>
    <row r="80" spans="1:3" x14ac:dyDescent="0.3">
      <c r="A80" t="s">
        <v>413</v>
      </c>
      <c r="B80">
        <v>117</v>
      </c>
      <c r="C80" t="s">
        <v>586</v>
      </c>
    </row>
    <row r="81" spans="1:3" x14ac:dyDescent="0.3">
      <c r="A81" t="s">
        <v>414</v>
      </c>
      <c r="B81">
        <v>118</v>
      </c>
      <c r="C81" t="s">
        <v>587</v>
      </c>
    </row>
    <row r="82" spans="1:3" x14ac:dyDescent="0.3">
      <c r="A82" t="s">
        <v>415</v>
      </c>
      <c r="B82">
        <v>119</v>
      </c>
      <c r="C82" t="s">
        <v>588</v>
      </c>
    </row>
    <row r="83" spans="1:3" x14ac:dyDescent="0.3">
      <c r="A83" t="s">
        <v>416</v>
      </c>
      <c r="B83">
        <v>120</v>
      </c>
      <c r="C83" t="s">
        <v>589</v>
      </c>
    </row>
    <row r="84" spans="1:3" x14ac:dyDescent="0.3">
      <c r="A84" t="s">
        <v>417</v>
      </c>
      <c r="B84">
        <v>121</v>
      </c>
      <c r="C84" t="s">
        <v>590</v>
      </c>
    </row>
    <row r="85" spans="1:3" x14ac:dyDescent="0.3">
      <c r="A85" t="s">
        <v>418</v>
      </c>
      <c r="B85">
        <v>122</v>
      </c>
      <c r="C85" t="s">
        <v>591</v>
      </c>
    </row>
    <row r="86" spans="1:3" x14ac:dyDescent="0.3">
      <c r="A86" t="s">
        <v>419</v>
      </c>
      <c r="B86">
        <v>123</v>
      </c>
      <c r="C86" t="s">
        <v>592</v>
      </c>
    </row>
    <row r="87" spans="1:3" x14ac:dyDescent="0.3">
      <c r="A87" t="s">
        <v>420</v>
      </c>
      <c r="B87">
        <v>144</v>
      </c>
      <c r="C87" t="s">
        <v>593</v>
      </c>
    </row>
    <row r="88" spans="1:3" x14ac:dyDescent="0.3">
      <c r="A88" t="s">
        <v>421</v>
      </c>
      <c r="B88">
        <v>145</v>
      </c>
      <c r="C88" t="s">
        <v>594</v>
      </c>
    </row>
    <row r="89" spans="1:3" x14ac:dyDescent="0.3">
      <c r="A89" t="s">
        <v>422</v>
      </c>
      <c r="B89">
        <v>186</v>
      </c>
      <c r="C89" t="s">
        <v>595</v>
      </c>
    </row>
    <row r="90" spans="1:3" x14ac:dyDescent="0.3">
      <c r="A90" t="s">
        <v>423</v>
      </c>
      <c r="B90">
        <v>187</v>
      </c>
      <c r="C90" t="s">
        <v>596</v>
      </c>
    </row>
    <row r="91" spans="1:3" x14ac:dyDescent="0.3">
      <c r="A91" t="s">
        <v>424</v>
      </c>
      <c r="B91">
        <v>188</v>
      </c>
      <c r="C91" t="s">
        <v>643</v>
      </c>
    </row>
    <row r="92" spans="1:3" x14ac:dyDescent="0.3">
      <c r="A92" t="s">
        <v>425</v>
      </c>
      <c r="B92">
        <v>189</v>
      </c>
      <c r="C92" t="s">
        <v>647</v>
      </c>
    </row>
    <row r="93" spans="1:3" x14ac:dyDescent="0.3">
      <c r="A93" t="s">
        <v>426</v>
      </c>
      <c r="B93">
        <v>190</v>
      </c>
      <c r="C93" t="s">
        <v>648</v>
      </c>
    </row>
    <row r="94" spans="1:3" x14ac:dyDescent="0.3">
      <c r="A94" t="s">
        <v>427</v>
      </c>
      <c r="B94">
        <v>191</v>
      </c>
      <c r="C94" t="s">
        <v>597</v>
      </c>
    </row>
    <row r="95" spans="1:3" x14ac:dyDescent="0.3">
      <c r="A95" t="s">
        <v>428</v>
      </c>
      <c r="B95">
        <v>192</v>
      </c>
      <c r="C95" t="s">
        <v>598</v>
      </c>
    </row>
    <row r="96" spans="1:3" x14ac:dyDescent="0.3">
      <c r="A96" t="s">
        <v>429</v>
      </c>
      <c r="B96">
        <v>219</v>
      </c>
      <c r="C96" t="s">
        <v>599</v>
      </c>
    </row>
    <row r="97" spans="1:3" x14ac:dyDescent="0.3">
      <c r="A97" t="s">
        <v>430</v>
      </c>
      <c r="B97">
        <v>220</v>
      </c>
      <c r="C97" t="s">
        <v>600</v>
      </c>
    </row>
    <row r="98" spans="1:3" x14ac:dyDescent="0.3">
      <c r="A98" t="s">
        <v>431</v>
      </c>
      <c r="B98">
        <v>221</v>
      </c>
      <c r="C98" t="s">
        <v>601</v>
      </c>
    </row>
    <row r="99" spans="1:3" x14ac:dyDescent="0.3">
      <c r="A99" t="s">
        <v>432</v>
      </c>
      <c r="B99">
        <v>222</v>
      </c>
      <c r="C99" t="s">
        <v>602</v>
      </c>
    </row>
  </sheetData>
  <phoneticPr fontId="1" type="noConversion"/>
  <conditionalFormatting sqref="C2:C99">
    <cfRule type="duplicateValues" dxfId="7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4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7" t="s">
        <v>329</v>
      </c>
      <c r="D1" s="27"/>
      <c r="E1" s="27" t="s">
        <v>330</v>
      </c>
      <c r="F1" s="27"/>
      <c r="M1" s="17" t="s">
        <v>2218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1228</v>
      </c>
      <c r="C3" s="11" t="s">
        <v>46</v>
      </c>
      <c r="D3" s="11" t="s">
        <v>67</v>
      </c>
      <c r="E3" s="11" t="s">
        <v>700</v>
      </c>
      <c r="F3" s="11" t="s">
        <v>701</v>
      </c>
    </row>
    <row r="4" spans="1:13" x14ac:dyDescent="0.3">
      <c r="A4" s="11" t="s">
        <v>54</v>
      </c>
      <c r="B4" s="11" t="s">
        <v>1229</v>
      </c>
      <c r="C4" s="11" t="s">
        <v>53</v>
      </c>
      <c r="D4" s="11" t="s">
        <v>66</v>
      </c>
      <c r="E4" s="11" t="s">
        <v>702</v>
      </c>
      <c r="F4" s="11" t="s">
        <v>703</v>
      </c>
    </row>
    <row r="5" spans="1:13" x14ac:dyDescent="0.3">
      <c r="A5" s="11" t="s">
        <v>41</v>
      </c>
      <c r="B5" s="11" t="s">
        <v>1230</v>
      </c>
      <c r="C5" s="11" t="s">
        <v>47</v>
      </c>
      <c r="D5" s="11" t="s">
        <v>1226</v>
      </c>
      <c r="E5" s="11" t="s">
        <v>704</v>
      </c>
      <c r="F5" s="11" t="s">
        <v>1227</v>
      </c>
    </row>
    <row r="6" spans="1:13" x14ac:dyDescent="0.3">
      <c r="A6" s="11" t="s">
        <v>1427</v>
      </c>
      <c r="B6" s="11" t="s">
        <v>1429</v>
      </c>
      <c r="C6" s="11" t="s">
        <v>1428</v>
      </c>
      <c r="D6" s="11" t="s">
        <v>1431</v>
      </c>
      <c r="E6" s="11" t="s">
        <v>1430</v>
      </c>
      <c r="F6" s="11" t="s">
        <v>1432</v>
      </c>
    </row>
    <row r="7" spans="1:13" x14ac:dyDescent="0.3">
      <c r="A7" s="11" t="s">
        <v>1221</v>
      </c>
      <c r="B7" s="11" t="s">
        <v>1231</v>
      </c>
      <c r="C7" s="11" t="s">
        <v>1222</v>
      </c>
      <c r="D7" s="11" t="s">
        <v>1223</v>
      </c>
      <c r="E7" s="11" t="s">
        <v>1224</v>
      </c>
      <c r="F7" s="11" t="s">
        <v>1225</v>
      </c>
    </row>
    <row r="8" spans="1:13" x14ac:dyDescent="0.3">
      <c r="A8" s="11" t="s">
        <v>1248</v>
      </c>
      <c r="B8" s="11" t="s">
        <v>1234</v>
      </c>
      <c r="C8" s="11" t="s">
        <v>48</v>
      </c>
      <c r="D8" s="11" t="s">
        <v>69</v>
      </c>
      <c r="E8" s="11" t="s">
        <v>705</v>
      </c>
      <c r="F8" s="11" t="s">
        <v>706</v>
      </c>
    </row>
    <row r="9" spans="1:13" x14ac:dyDescent="0.3">
      <c r="A9" s="11" t="s">
        <v>2204</v>
      </c>
      <c r="B9" s="11" t="s">
        <v>2211</v>
      </c>
      <c r="C9" s="11" t="s">
        <v>2205</v>
      </c>
      <c r="D9" s="11" t="s">
        <v>2206</v>
      </c>
      <c r="E9" s="11" t="s">
        <v>2216</v>
      </c>
      <c r="F9" s="11" t="s">
        <v>2217</v>
      </c>
    </row>
    <row r="10" spans="1:13" x14ac:dyDescent="0.3">
      <c r="A10" s="11" t="s">
        <v>43</v>
      </c>
      <c r="B10" s="11" t="s">
        <v>1232</v>
      </c>
      <c r="C10" s="11" t="s">
        <v>49</v>
      </c>
      <c r="D10" s="11" t="s">
        <v>70</v>
      </c>
      <c r="E10" s="11" t="s">
        <v>707</v>
      </c>
      <c r="F10" s="11" t="s">
        <v>708</v>
      </c>
    </row>
    <row r="11" spans="1:13" x14ac:dyDescent="0.3">
      <c r="A11" s="11" t="s">
        <v>44</v>
      </c>
      <c r="B11" s="11" t="s">
        <v>1233</v>
      </c>
      <c r="C11" s="11" t="s">
        <v>50</v>
      </c>
      <c r="D11" s="11" t="s">
        <v>71</v>
      </c>
      <c r="E11" s="11" t="s">
        <v>709</v>
      </c>
      <c r="F11" s="11" t="s">
        <v>710</v>
      </c>
    </row>
    <row r="14" spans="1:13" x14ac:dyDescent="0.3">
      <c r="A14" s="11" t="s">
        <v>45</v>
      </c>
      <c r="B14" s="11" t="s">
        <v>1235</v>
      </c>
      <c r="C14" s="11" t="s">
        <v>51</v>
      </c>
      <c r="D14" s="11" t="s">
        <v>72</v>
      </c>
      <c r="E14" s="11" t="s">
        <v>711</v>
      </c>
      <c r="F14" s="11" t="s">
        <v>712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137"/>
  <sheetViews>
    <sheetView topLeftCell="B1" workbookViewId="0">
      <pane ySplit="2" topLeftCell="A3" activePane="bottomLeft" state="frozen"/>
      <selection pane="bottomLeft" activeCell="R7" sqref="R1:R1048576"/>
    </sheetView>
  </sheetViews>
  <sheetFormatPr defaultRowHeight="14.4" x14ac:dyDescent="0.3"/>
  <cols>
    <col min="1" max="1" width="22.109375" style="23" bestFit="1" customWidth="1"/>
    <col min="2" max="2" width="38.6640625" customWidth="1"/>
    <col min="18" max="18" width="8.88671875" style="18"/>
  </cols>
  <sheetData>
    <row r="1" spans="1:18" x14ac:dyDescent="0.3">
      <c r="I1" s="27" t="s">
        <v>329</v>
      </c>
      <c r="J1" s="27"/>
      <c r="K1" s="27" t="s">
        <v>330</v>
      </c>
      <c r="L1" s="27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726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  <c r="R2" s="18" t="s">
        <v>1618</v>
      </c>
    </row>
    <row r="3" spans="1:18" x14ac:dyDescent="0.3">
      <c r="A3" s="23" t="s">
        <v>823</v>
      </c>
      <c r="B3" t="s">
        <v>1782</v>
      </c>
      <c r="C3" t="s">
        <v>299</v>
      </c>
      <c r="D3" t="s">
        <v>724</v>
      </c>
      <c r="E3">
        <v>48</v>
      </c>
      <c r="F3">
        <v>48</v>
      </c>
      <c r="G3" t="s">
        <v>824</v>
      </c>
      <c r="H3" t="s">
        <v>40</v>
      </c>
      <c r="I3" t="s">
        <v>302</v>
      </c>
      <c r="J3" t="s">
        <v>825</v>
      </c>
      <c r="K3" t="s">
        <v>826</v>
      </c>
      <c r="L3" t="s">
        <v>827</v>
      </c>
      <c r="R3" s="18" t="s">
        <v>1848</v>
      </c>
    </row>
    <row r="4" spans="1:18" x14ac:dyDescent="0.3">
      <c r="A4" s="23" t="s">
        <v>1208</v>
      </c>
      <c r="B4" t="s">
        <v>1196</v>
      </c>
      <c r="E4">
        <v>48</v>
      </c>
      <c r="F4">
        <v>48</v>
      </c>
      <c r="H4" t="s">
        <v>40</v>
      </c>
      <c r="I4" t="s">
        <v>1200</v>
      </c>
      <c r="J4" t="s">
        <v>1204</v>
      </c>
      <c r="K4" t="s">
        <v>1422</v>
      </c>
      <c r="L4" t="s">
        <v>1206</v>
      </c>
      <c r="R4" s="18" t="s">
        <v>1636</v>
      </c>
    </row>
    <row r="5" spans="1:18" x14ac:dyDescent="0.3">
      <c r="A5" s="23" t="s">
        <v>1211</v>
      </c>
      <c r="B5" t="s">
        <v>1198</v>
      </c>
      <c r="E5">
        <v>48</v>
      </c>
      <c r="F5">
        <v>48</v>
      </c>
      <c r="H5" t="s">
        <v>40</v>
      </c>
      <c r="I5" t="s">
        <v>1203</v>
      </c>
      <c r="J5" t="s">
        <v>1216</v>
      </c>
      <c r="K5" t="s">
        <v>1421</v>
      </c>
      <c r="L5" t="s">
        <v>1217</v>
      </c>
      <c r="R5" s="18" t="s">
        <v>1637</v>
      </c>
    </row>
    <row r="6" spans="1:18" x14ac:dyDescent="0.3">
      <c r="A6" s="23" t="s">
        <v>1209</v>
      </c>
      <c r="B6" t="s">
        <v>1199</v>
      </c>
      <c r="E6">
        <v>48</v>
      </c>
      <c r="F6">
        <v>48</v>
      </c>
      <c r="H6" t="s">
        <v>40</v>
      </c>
      <c r="I6" t="s">
        <v>1201</v>
      </c>
      <c r="J6" t="s">
        <v>1205</v>
      </c>
      <c r="K6" t="s">
        <v>1423</v>
      </c>
      <c r="L6" t="s">
        <v>1207</v>
      </c>
      <c r="R6" s="18" t="s">
        <v>1638</v>
      </c>
    </row>
    <row r="7" spans="1:18" x14ac:dyDescent="0.3">
      <c r="A7" s="23" t="s">
        <v>1213</v>
      </c>
      <c r="B7" t="s">
        <v>1212</v>
      </c>
      <c r="E7">
        <v>48</v>
      </c>
      <c r="F7">
        <v>48</v>
      </c>
      <c r="H7" t="s">
        <v>40</v>
      </c>
      <c r="I7" t="s">
        <v>1214</v>
      </c>
      <c r="J7" t="s">
        <v>1219</v>
      </c>
      <c r="K7" t="s">
        <v>1214</v>
      </c>
      <c r="L7" t="s">
        <v>1220</v>
      </c>
      <c r="R7" s="18" t="s">
        <v>1639</v>
      </c>
    </row>
    <row r="8" spans="1:18" x14ac:dyDescent="0.3">
      <c r="A8" s="23" t="s">
        <v>1210</v>
      </c>
      <c r="B8" t="s">
        <v>1197</v>
      </c>
      <c r="E8">
        <v>48</v>
      </c>
      <c r="F8">
        <v>48</v>
      </c>
      <c r="H8" t="s">
        <v>40</v>
      </c>
      <c r="I8" t="s">
        <v>1202</v>
      </c>
      <c r="J8" t="s">
        <v>1215</v>
      </c>
      <c r="K8" t="s">
        <v>1420</v>
      </c>
      <c r="L8" t="s">
        <v>1218</v>
      </c>
      <c r="R8" s="18" t="s">
        <v>1640</v>
      </c>
    </row>
    <row r="9" spans="1:18" x14ac:dyDescent="0.3">
      <c r="A9" s="23" t="s">
        <v>1032</v>
      </c>
      <c r="B9" t="s">
        <v>1195</v>
      </c>
      <c r="C9" t="s">
        <v>299</v>
      </c>
      <c r="D9" t="s">
        <v>724</v>
      </c>
      <c r="E9">
        <v>48</v>
      </c>
      <c r="F9">
        <v>48</v>
      </c>
      <c r="G9" t="s">
        <v>1037</v>
      </c>
      <c r="H9" t="s">
        <v>40</v>
      </c>
      <c r="I9" t="s">
        <v>1033</v>
      </c>
      <c r="J9" t="s">
        <v>1034</v>
      </c>
      <c r="K9" t="s">
        <v>1035</v>
      </c>
      <c r="L9" t="s">
        <v>1036</v>
      </c>
      <c r="R9" s="18" t="s">
        <v>1633</v>
      </c>
    </row>
    <row r="10" spans="1:18" x14ac:dyDescent="0.3">
      <c r="A10" s="23" t="s">
        <v>1670</v>
      </c>
      <c r="B10" t="s">
        <v>1669</v>
      </c>
      <c r="E10">
        <v>48</v>
      </c>
      <c r="F10">
        <v>48</v>
      </c>
      <c r="H10" t="s">
        <v>40</v>
      </c>
      <c r="I10" t="s">
        <v>1671</v>
      </c>
      <c r="J10" t="s">
        <v>1673</v>
      </c>
      <c r="K10" t="s">
        <v>1672</v>
      </c>
      <c r="L10" t="s">
        <v>1674</v>
      </c>
      <c r="R10" s="18" t="s">
        <v>1675</v>
      </c>
    </row>
    <row r="11" spans="1:18" x14ac:dyDescent="0.3">
      <c r="A11" s="23" t="s">
        <v>1968</v>
      </c>
      <c r="B11" t="s">
        <v>1969</v>
      </c>
      <c r="E11">
        <v>48</v>
      </c>
      <c r="F11">
        <v>96</v>
      </c>
      <c r="H11" t="s">
        <v>40</v>
      </c>
      <c r="I11" t="s">
        <v>1970</v>
      </c>
      <c r="J11" t="s">
        <v>1973</v>
      </c>
      <c r="K11" t="s">
        <v>1971</v>
      </c>
      <c r="L11" t="s">
        <v>1972</v>
      </c>
      <c r="R11" s="18" t="s">
        <v>1974</v>
      </c>
    </row>
    <row r="12" spans="1:18" x14ac:dyDescent="0.3">
      <c r="A12" s="23" t="s">
        <v>2153</v>
      </c>
      <c r="B12" t="s">
        <v>2152</v>
      </c>
      <c r="E12">
        <v>48</v>
      </c>
      <c r="F12">
        <v>48</v>
      </c>
      <c r="H12" t="s">
        <v>40</v>
      </c>
      <c r="I12" t="s">
        <v>2154</v>
      </c>
      <c r="J12" t="s">
        <v>2156</v>
      </c>
      <c r="K12" t="s">
        <v>2157</v>
      </c>
      <c r="L12" t="s">
        <v>2155</v>
      </c>
      <c r="R12" s="18" t="s">
        <v>2177</v>
      </c>
    </row>
    <row r="13" spans="1:18" x14ac:dyDescent="0.3">
      <c r="A13" s="23" t="s">
        <v>2163</v>
      </c>
      <c r="B13" t="s">
        <v>2158</v>
      </c>
      <c r="E13">
        <v>48</v>
      </c>
      <c r="F13">
        <v>48</v>
      </c>
      <c r="H13" t="s">
        <v>40</v>
      </c>
      <c r="I13" t="s">
        <v>2159</v>
      </c>
      <c r="J13" t="s">
        <v>2161</v>
      </c>
      <c r="K13" t="s">
        <v>2160</v>
      </c>
      <c r="L13" t="s">
        <v>2162</v>
      </c>
      <c r="R13" s="18" t="s">
        <v>2178</v>
      </c>
    </row>
    <row r="14" spans="1:18" x14ac:dyDescent="0.3">
      <c r="A14" s="23" t="s">
        <v>2180</v>
      </c>
      <c r="B14" t="s">
        <v>2179</v>
      </c>
      <c r="E14">
        <v>72</v>
      </c>
      <c r="F14">
        <v>48</v>
      </c>
      <c r="H14" t="s">
        <v>40</v>
      </c>
      <c r="I14" t="s">
        <v>2181</v>
      </c>
      <c r="J14" t="s">
        <v>2183</v>
      </c>
      <c r="K14" t="s">
        <v>2182</v>
      </c>
      <c r="L14" t="s">
        <v>2184</v>
      </c>
      <c r="R14" s="18" t="s">
        <v>2185</v>
      </c>
    </row>
    <row r="15" spans="1:18" x14ac:dyDescent="0.3">
      <c r="A15" s="23" t="s">
        <v>966</v>
      </c>
      <c r="B15" t="s">
        <v>970</v>
      </c>
      <c r="C15" t="s">
        <v>299</v>
      </c>
      <c r="D15" t="s">
        <v>724</v>
      </c>
      <c r="E15">
        <v>48</v>
      </c>
      <c r="F15">
        <v>48</v>
      </c>
      <c r="G15" t="s">
        <v>35</v>
      </c>
      <c r="H15" t="s">
        <v>54</v>
      </c>
      <c r="I15" t="s">
        <v>309</v>
      </c>
      <c r="J15" t="s">
        <v>968</v>
      </c>
      <c r="K15" t="s">
        <v>967</v>
      </c>
      <c r="L15" t="s">
        <v>969</v>
      </c>
      <c r="R15" s="18" t="s">
        <v>1632</v>
      </c>
    </row>
    <row r="16" spans="1:18" x14ac:dyDescent="0.3">
      <c r="A16" s="23" t="s">
        <v>922</v>
      </c>
      <c r="B16" t="s">
        <v>1950</v>
      </c>
      <c r="C16" t="s">
        <v>299</v>
      </c>
      <c r="D16" t="s">
        <v>724</v>
      </c>
      <c r="E16">
        <v>96</v>
      </c>
      <c r="F16">
        <v>48</v>
      </c>
      <c r="G16" t="s">
        <v>923</v>
      </c>
      <c r="H16" t="s">
        <v>54</v>
      </c>
      <c r="I16" t="s">
        <v>924</v>
      </c>
      <c r="J16" t="s">
        <v>1662</v>
      </c>
      <c r="K16" t="s">
        <v>925</v>
      </c>
      <c r="L16" t="s">
        <v>1663</v>
      </c>
      <c r="R16" s="18" t="s">
        <v>1951</v>
      </c>
    </row>
    <row r="17" spans="1:18" x14ac:dyDescent="0.3">
      <c r="A17" s="23" t="s">
        <v>1659</v>
      </c>
      <c r="B17" t="s">
        <v>1666</v>
      </c>
      <c r="E17">
        <v>96</v>
      </c>
      <c r="F17">
        <v>72</v>
      </c>
      <c r="H17" t="s">
        <v>54</v>
      </c>
      <c r="I17" t="s">
        <v>1660</v>
      </c>
      <c r="J17" t="s">
        <v>1664</v>
      </c>
      <c r="K17" t="s">
        <v>1661</v>
      </c>
      <c r="L17" t="s">
        <v>1665</v>
      </c>
      <c r="R17" s="18" t="s">
        <v>1948</v>
      </c>
    </row>
    <row r="18" spans="1:18" x14ac:dyDescent="0.3">
      <c r="A18" s="23" t="s">
        <v>1676</v>
      </c>
      <c r="B18" t="s">
        <v>1783</v>
      </c>
      <c r="E18">
        <v>96</v>
      </c>
      <c r="F18">
        <v>168</v>
      </c>
      <c r="H18" t="s">
        <v>54</v>
      </c>
      <c r="I18" t="s">
        <v>1677</v>
      </c>
      <c r="J18" t="s">
        <v>1678</v>
      </c>
      <c r="K18" t="s">
        <v>1679</v>
      </c>
      <c r="L18" t="s">
        <v>1680</v>
      </c>
      <c r="R18" s="18" t="s">
        <v>1949</v>
      </c>
    </row>
    <row r="19" spans="1:18" x14ac:dyDescent="0.3">
      <c r="A19" s="23" t="s">
        <v>1937</v>
      </c>
      <c r="B19" t="s">
        <v>1942</v>
      </c>
      <c r="E19">
        <v>96</v>
      </c>
      <c r="F19">
        <v>120</v>
      </c>
      <c r="H19" t="s">
        <v>54</v>
      </c>
      <c r="I19" t="s">
        <v>1938</v>
      </c>
      <c r="J19" t="s">
        <v>1940</v>
      </c>
      <c r="K19" t="s">
        <v>1939</v>
      </c>
      <c r="L19" t="s">
        <v>1941</v>
      </c>
      <c r="R19" s="18" t="s">
        <v>1979</v>
      </c>
    </row>
    <row r="20" spans="1:18" x14ac:dyDescent="0.3">
      <c r="A20" s="23" t="s">
        <v>1943</v>
      </c>
      <c r="B20" t="s">
        <v>1982</v>
      </c>
      <c r="E20">
        <v>96</v>
      </c>
      <c r="F20">
        <v>120</v>
      </c>
      <c r="H20" t="s">
        <v>54</v>
      </c>
      <c r="I20" t="s">
        <v>1975</v>
      </c>
      <c r="J20" t="s">
        <v>1977</v>
      </c>
      <c r="K20" t="s">
        <v>1976</v>
      </c>
      <c r="L20" t="s">
        <v>1978</v>
      </c>
      <c r="R20" s="18" t="s">
        <v>1983</v>
      </c>
    </row>
    <row r="21" spans="1:18" x14ac:dyDescent="0.3">
      <c r="A21" s="23" t="s">
        <v>1980</v>
      </c>
      <c r="B21" t="s">
        <v>1981</v>
      </c>
      <c r="E21">
        <v>96</v>
      </c>
      <c r="F21">
        <v>120</v>
      </c>
      <c r="H21" t="s">
        <v>54</v>
      </c>
      <c r="I21" t="s">
        <v>1944</v>
      </c>
      <c r="J21" t="s">
        <v>1946</v>
      </c>
      <c r="K21" t="s">
        <v>1945</v>
      </c>
      <c r="L21" t="s">
        <v>1947</v>
      </c>
      <c r="R21" s="18" t="s">
        <v>1984</v>
      </c>
    </row>
    <row r="22" spans="1:18" x14ac:dyDescent="0.3">
      <c r="A22" s="23" t="s">
        <v>1129</v>
      </c>
      <c r="B22" t="s">
        <v>1784</v>
      </c>
      <c r="C22" t="s">
        <v>299</v>
      </c>
      <c r="D22" t="s">
        <v>724</v>
      </c>
      <c r="E22">
        <v>48</v>
      </c>
      <c r="F22">
        <v>48</v>
      </c>
      <c r="G22" t="s">
        <v>1130</v>
      </c>
      <c r="H22" t="s">
        <v>41</v>
      </c>
      <c r="I22" t="s">
        <v>1131</v>
      </c>
      <c r="J22" t="s">
        <v>1133</v>
      </c>
      <c r="K22" t="s">
        <v>1132</v>
      </c>
      <c r="L22" t="s">
        <v>1134</v>
      </c>
      <c r="R22" s="18" t="s">
        <v>1849</v>
      </c>
    </row>
    <row r="23" spans="1:18" x14ac:dyDescent="0.3">
      <c r="A23" s="23" t="s">
        <v>2014</v>
      </c>
      <c r="B23" t="s">
        <v>2019</v>
      </c>
      <c r="E23">
        <v>72</v>
      </c>
      <c r="F23">
        <v>48</v>
      </c>
      <c r="H23" t="s">
        <v>41</v>
      </c>
      <c r="I23" t="s">
        <v>2015</v>
      </c>
      <c r="J23" t="s">
        <v>2017</v>
      </c>
      <c r="K23" t="s">
        <v>2016</v>
      </c>
      <c r="L23" t="s">
        <v>2018</v>
      </c>
      <c r="R23" s="18" t="s">
        <v>2020</v>
      </c>
    </row>
    <row r="24" spans="1:18" x14ac:dyDescent="0.3">
      <c r="A24" s="23" t="s">
        <v>725</v>
      </c>
      <c r="B24" t="s">
        <v>730</v>
      </c>
      <c r="C24" t="s">
        <v>299</v>
      </c>
      <c r="D24" t="s">
        <v>724</v>
      </c>
      <c r="E24">
        <v>48</v>
      </c>
      <c r="F24">
        <v>48</v>
      </c>
      <c r="G24" t="s">
        <v>727</v>
      </c>
      <c r="H24" t="s">
        <v>41</v>
      </c>
      <c r="I24" t="s">
        <v>296</v>
      </c>
      <c r="J24" t="s">
        <v>731</v>
      </c>
      <c r="K24" t="s">
        <v>728</v>
      </c>
      <c r="L24" t="s">
        <v>729</v>
      </c>
      <c r="R24" s="18" t="s">
        <v>1726</v>
      </c>
    </row>
    <row r="25" spans="1:18" x14ac:dyDescent="0.3">
      <c r="A25" s="23" t="s">
        <v>1385</v>
      </c>
      <c r="B25" t="s">
        <v>1273</v>
      </c>
      <c r="E25">
        <v>48</v>
      </c>
      <c r="F25">
        <v>48</v>
      </c>
      <c r="H25" t="s">
        <v>41</v>
      </c>
      <c r="I25" t="s">
        <v>1274</v>
      </c>
      <c r="J25" t="s">
        <v>1282</v>
      </c>
      <c r="K25" t="s">
        <v>1329</v>
      </c>
      <c r="L25" t="s">
        <v>1352</v>
      </c>
      <c r="R25" s="18" t="s">
        <v>1649</v>
      </c>
    </row>
    <row r="26" spans="1:18" x14ac:dyDescent="0.3">
      <c r="A26" s="23" t="s">
        <v>1386</v>
      </c>
      <c r="B26" t="s">
        <v>1785</v>
      </c>
      <c r="E26">
        <v>48</v>
      </c>
      <c r="F26">
        <v>48</v>
      </c>
      <c r="H26" t="s">
        <v>41</v>
      </c>
      <c r="I26" t="s">
        <v>1275</v>
      </c>
      <c r="J26" t="s">
        <v>1283</v>
      </c>
      <c r="K26" t="s">
        <v>1330</v>
      </c>
      <c r="L26" t="s">
        <v>1353</v>
      </c>
      <c r="R26" s="18" t="s">
        <v>1850</v>
      </c>
    </row>
    <row r="27" spans="1:18" x14ac:dyDescent="0.3">
      <c r="A27" s="23" t="s">
        <v>1383</v>
      </c>
      <c r="B27" t="s">
        <v>1293</v>
      </c>
      <c r="E27">
        <v>48</v>
      </c>
      <c r="F27">
        <v>48</v>
      </c>
      <c r="H27" t="s">
        <v>41</v>
      </c>
      <c r="I27" t="s">
        <v>1271</v>
      </c>
      <c r="J27" t="s">
        <v>1295</v>
      </c>
      <c r="K27" t="s">
        <v>1327</v>
      </c>
      <c r="L27" t="s">
        <v>1350</v>
      </c>
      <c r="R27" s="18" t="s">
        <v>1648</v>
      </c>
    </row>
    <row r="28" spans="1:18" x14ac:dyDescent="0.3">
      <c r="A28" s="23" t="s">
        <v>1393</v>
      </c>
      <c r="B28" t="s">
        <v>1296</v>
      </c>
      <c r="E28">
        <v>48</v>
      </c>
      <c r="F28">
        <v>48</v>
      </c>
      <c r="H28" t="s">
        <v>41</v>
      </c>
      <c r="I28" t="s">
        <v>1297</v>
      </c>
      <c r="J28" t="s">
        <v>1294</v>
      </c>
      <c r="K28" t="s">
        <v>1336</v>
      </c>
      <c r="L28" t="s">
        <v>1360</v>
      </c>
      <c r="R28" s="18" t="s">
        <v>1650</v>
      </c>
    </row>
    <row r="29" spans="1:18" x14ac:dyDescent="0.3">
      <c r="A29" s="23" t="s">
        <v>1392</v>
      </c>
      <c r="B29" t="s">
        <v>1786</v>
      </c>
      <c r="E29">
        <v>48</v>
      </c>
      <c r="F29">
        <v>48</v>
      </c>
      <c r="H29" t="s">
        <v>41</v>
      </c>
      <c r="I29" t="s">
        <v>1292</v>
      </c>
      <c r="J29" t="s">
        <v>1291</v>
      </c>
      <c r="K29" t="s">
        <v>1725</v>
      </c>
      <c r="L29" t="s">
        <v>1359</v>
      </c>
      <c r="R29" s="18" t="s">
        <v>1851</v>
      </c>
    </row>
    <row r="30" spans="1:18" x14ac:dyDescent="0.3">
      <c r="A30" s="23" t="s">
        <v>1406</v>
      </c>
      <c r="B30" t="s">
        <v>1787</v>
      </c>
      <c r="E30">
        <v>48</v>
      </c>
      <c r="F30">
        <v>48</v>
      </c>
      <c r="H30" t="s">
        <v>41</v>
      </c>
      <c r="I30" t="s">
        <v>1306</v>
      </c>
      <c r="J30" t="s">
        <v>1321</v>
      </c>
      <c r="K30" t="s">
        <v>1344</v>
      </c>
      <c r="L30" t="s">
        <v>1373</v>
      </c>
      <c r="R30" s="18" t="s">
        <v>1852</v>
      </c>
    </row>
    <row r="31" spans="1:18" x14ac:dyDescent="0.3">
      <c r="A31" s="23" t="s">
        <v>1408</v>
      </c>
      <c r="B31" t="s">
        <v>1788</v>
      </c>
      <c r="E31">
        <v>48</v>
      </c>
      <c r="F31">
        <v>48</v>
      </c>
      <c r="H31" t="s">
        <v>41</v>
      </c>
      <c r="I31" t="s">
        <v>1304</v>
      </c>
      <c r="J31" t="s">
        <v>1323</v>
      </c>
      <c r="K31" t="s">
        <v>1346</v>
      </c>
      <c r="L31" t="s">
        <v>1375</v>
      </c>
      <c r="R31" s="18" t="s">
        <v>1853</v>
      </c>
    </row>
    <row r="32" spans="1:18" x14ac:dyDescent="0.3">
      <c r="A32" s="23" t="s">
        <v>1381</v>
      </c>
      <c r="B32" t="s">
        <v>2001</v>
      </c>
      <c r="E32">
        <v>48</v>
      </c>
      <c r="F32">
        <v>48</v>
      </c>
      <c r="H32" t="s">
        <v>41</v>
      </c>
      <c r="I32" t="s">
        <v>1269</v>
      </c>
      <c r="J32" t="s">
        <v>1279</v>
      </c>
      <c r="K32" t="s">
        <v>1325</v>
      </c>
      <c r="L32" t="s">
        <v>1348</v>
      </c>
      <c r="R32" s="18" t="s">
        <v>2009</v>
      </c>
    </row>
    <row r="33" spans="1:18" x14ac:dyDescent="0.3">
      <c r="A33" s="23" t="s">
        <v>1985</v>
      </c>
      <c r="B33" t="s">
        <v>2002</v>
      </c>
      <c r="E33">
        <v>96</v>
      </c>
      <c r="F33">
        <v>48</v>
      </c>
      <c r="H33" t="s">
        <v>41</v>
      </c>
      <c r="I33" t="s">
        <v>1988</v>
      </c>
      <c r="J33" t="s">
        <v>1993</v>
      </c>
      <c r="K33" t="s">
        <v>1991</v>
      </c>
      <c r="L33" t="s">
        <v>1996</v>
      </c>
      <c r="R33" s="18" t="s">
        <v>2010</v>
      </c>
    </row>
    <row r="34" spans="1:18" x14ac:dyDescent="0.3">
      <c r="A34" s="23" t="s">
        <v>1986</v>
      </c>
      <c r="B34" t="s">
        <v>2003</v>
      </c>
      <c r="E34">
        <v>96</v>
      </c>
      <c r="F34">
        <v>48</v>
      </c>
      <c r="H34" t="s">
        <v>41</v>
      </c>
      <c r="I34" t="s">
        <v>1989</v>
      </c>
      <c r="J34" t="s">
        <v>1994</v>
      </c>
      <c r="K34" t="s">
        <v>1989</v>
      </c>
      <c r="L34" t="s">
        <v>1997</v>
      </c>
      <c r="R34" s="18" t="s">
        <v>2011</v>
      </c>
    </row>
    <row r="35" spans="1:18" x14ac:dyDescent="0.3">
      <c r="A35" s="23" t="s">
        <v>1987</v>
      </c>
      <c r="B35" t="s">
        <v>2004</v>
      </c>
      <c r="E35">
        <v>96</v>
      </c>
      <c r="F35">
        <v>48</v>
      </c>
      <c r="H35" t="s">
        <v>41</v>
      </c>
      <c r="I35" t="s">
        <v>1990</v>
      </c>
      <c r="J35" t="s">
        <v>1995</v>
      </c>
      <c r="K35" t="s">
        <v>1992</v>
      </c>
      <c r="L35" t="s">
        <v>1998</v>
      </c>
      <c r="R35" s="18" t="s">
        <v>2012</v>
      </c>
    </row>
    <row r="36" spans="1:18" x14ac:dyDescent="0.3">
      <c r="A36" s="23" t="s">
        <v>2000</v>
      </c>
      <c r="B36" t="s">
        <v>1999</v>
      </c>
      <c r="E36">
        <v>96</v>
      </c>
      <c r="F36">
        <v>48</v>
      </c>
      <c r="H36" t="s">
        <v>41</v>
      </c>
      <c r="I36" t="s">
        <v>2007</v>
      </c>
      <c r="J36" t="s">
        <v>2005</v>
      </c>
      <c r="K36" t="s">
        <v>2008</v>
      </c>
      <c r="L36" t="s">
        <v>2006</v>
      </c>
      <c r="R36" s="18" t="s">
        <v>2013</v>
      </c>
    </row>
    <row r="37" spans="1:18" x14ac:dyDescent="0.3">
      <c r="A37" s="23" t="s">
        <v>1409</v>
      </c>
      <c r="B37" t="s">
        <v>1789</v>
      </c>
      <c r="E37">
        <v>48</v>
      </c>
      <c r="F37">
        <v>48</v>
      </c>
      <c r="H37" t="s">
        <v>41</v>
      </c>
      <c r="I37" t="s">
        <v>1203</v>
      </c>
      <c r="J37" t="s">
        <v>1324</v>
      </c>
      <c r="K37" t="s">
        <v>1347</v>
      </c>
      <c r="L37" t="s">
        <v>1376</v>
      </c>
      <c r="R37" s="18" t="s">
        <v>1854</v>
      </c>
    </row>
    <row r="38" spans="1:18" x14ac:dyDescent="0.3">
      <c r="A38" s="23" t="s">
        <v>1407</v>
      </c>
      <c r="B38" t="s">
        <v>1790</v>
      </c>
      <c r="E38">
        <v>48</v>
      </c>
      <c r="F38">
        <v>48</v>
      </c>
      <c r="H38" t="s">
        <v>41</v>
      </c>
      <c r="I38" t="s">
        <v>1305</v>
      </c>
      <c r="J38" t="s">
        <v>1322</v>
      </c>
      <c r="K38" t="s">
        <v>1345</v>
      </c>
      <c r="L38" t="s">
        <v>1374</v>
      </c>
      <c r="R38" s="18" t="s">
        <v>1855</v>
      </c>
    </row>
    <row r="39" spans="1:18" x14ac:dyDescent="0.3">
      <c r="A39" s="23" t="s">
        <v>1384</v>
      </c>
      <c r="B39" t="s">
        <v>1791</v>
      </c>
      <c r="E39">
        <v>48</v>
      </c>
      <c r="F39">
        <v>48</v>
      </c>
      <c r="H39" t="s">
        <v>41</v>
      </c>
      <c r="I39" t="s">
        <v>1272</v>
      </c>
      <c r="J39" t="s">
        <v>1281</v>
      </c>
      <c r="K39" t="s">
        <v>1328</v>
      </c>
      <c r="L39" t="s">
        <v>1351</v>
      </c>
      <c r="R39" s="18" t="s">
        <v>1856</v>
      </c>
    </row>
    <row r="40" spans="1:18" x14ac:dyDescent="0.3">
      <c r="A40" s="23" t="s">
        <v>1382</v>
      </c>
      <c r="B40" t="s">
        <v>1792</v>
      </c>
      <c r="E40">
        <v>48</v>
      </c>
      <c r="F40">
        <v>48</v>
      </c>
      <c r="H40" t="s">
        <v>41</v>
      </c>
      <c r="I40" t="s">
        <v>1270</v>
      </c>
      <c r="J40" t="s">
        <v>1280</v>
      </c>
      <c r="K40" t="s">
        <v>1326</v>
      </c>
      <c r="L40" t="s">
        <v>1349</v>
      </c>
      <c r="R40" s="18" t="s">
        <v>1857</v>
      </c>
    </row>
    <row r="41" spans="1:18" x14ac:dyDescent="0.3">
      <c r="A41" s="23" t="s">
        <v>1387</v>
      </c>
      <c r="B41" t="s">
        <v>1793</v>
      </c>
      <c r="E41">
        <v>48</v>
      </c>
      <c r="F41">
        <v>48</v>
      </c>
      <c r="H41" t="s">
        <v>41</v>
      </c>
      <c r="I41" t="s">
        <v>1277</v>
      </c>
      <c r="J41" t="s">
        <v>1284</v>
      </c>
      <c r="K41" t="s">
        <v>1331</v>
      </c>
      <c r="L41" t="s">
        <v>1354</v>
      </c>
      <c r="R41" s="18" t="s">
        <v>1858</v>
      </c>
    </row>
    <row r="42" spans="1:18" x14ac:dyDescent="0.3">
      <c r="A42" s="23" t="s">
        <v>1396</v>
      </c>
      <c r="B42" t="s">
        <v>1794</v>
      </c>
      <c r="E42">
        <v>48</v>
      </c>
      <c r="F42">
        <v>48</v>
      </c>
      <c r="H42" t="s">
        <v>41</v>
      </c>
      <c r="I42" t="s">
        <v>1302</v>
      </c>
      <c r="J42" t="s">
        <v>1303</v>
      </c>
      <c r="K42" t="s">
        <v>1338</v>
      </c>
      <c r="L42" t="s">
        <v>1363</v>
      </c>
      <c r="R42" s="18" t="s">
        <v>1859</v>
      </c>
    </row>
    <row r="43" spans="1:18" x14ac:dyDescent="0.3">
      <c r="A43" s="23" t="s">
        <v>1395</v>
      </c>
      <c r="B43" t="s">
        <v>1795</v>
      </c>
      <c r="E43">
        <v>48</v>
      </c>
      <c r="F43">
        <v>48</v>
      </c>
      <c r="H43" t="s">
        <v>41</v>
      </c>
      <c r="I43" t="s">
        <v>1300</v>
      </c>
      <c r="J43" t="s">
        <v>1301</v>
      </c>
      <c r="K43" t="s">
        <v>1337</v>
      </c>
      <c r="L43" t="s">
        <v>1362</v>
      </c>
      <c r="R43" s="18" t="s">
        <v>1860</v>
      </c>
    </row>
    <row r="44" spans="1:18" x14ac:dyDescent="0.3">
      <c r="A44" s="23" t="s">
        <v>1388</v>
      </c>
      <c r="B44" t="s">
        <v>1796</v>
      </c>
      <c r="E44">
        <v>48</v>
      </c>
      <c r="F44">
        <v>48</v>
      </c>
      <c r="H44" t="s">
        <v>41</v>
      </c>
      <c r="I44" t="s">
        <v>1276</v>
      </c>
      <c r="J44" t="s">
        <v>1286</v>
      </c>
      <c r="K44" t="s">
        <v>1332</v>
      </c>
      <c r="L44" t="s">
        <v>1355</v>
      </c>
      <c r="R44" s="18" t="s">
        <v>1861</v>
      </c>
    </row>
    <row r="45" spans="1:18" x14ac:dyDescent="0.3">
      <c r="A45" s="23" t="s">
        <v>1389</v>
      </c>
      <c r="B45" t="s">
        <v>1797</v>
      </c>
      <c r="E45">
        <v>48</v>
      </c>
      <c r="F45">
        <v>48</v>
      </c>
      <c r="H45" t="s">
        <v>41</v>
      </c>
      <c r="I45" t="s">
        <v>1287</v>
      </c>
      <c r="J45" t="s">
        <v>1285</v>
      </c>
      <c r="K45" t="s">
        <v>1333</v>
      </c>
      <c r="L45" t="s">
        <v>1356</v>
      </c>
      <c r="R45" s="18" t="s">
        <v>1862</v>
      </c>
    </row>
    <row r="46" spans="1:18" x14ac:dyDescent="0.3">
      <c r="A46" s="23" t="s">
        <v>1390</v>
      </c>
      <c r="B46" t="s">
        <v>1798</v>
      </c>
      <c r="E46">
        <v>48</v>
      </c>
      <c r="F46">
        <v>48</v>
      </c>
      <c r="H46" t="s">
        <v>41</v>
      </c>
      <c r="I46" t="s">
        <v>1278</v>
      </c>
      <c r="J46" t="s">
        <v>1288</v>
      </c>
      <c r="K46" t="s">
        <v>1334</v>
      </c>
      <c r="L46" t="s">
        <v>1357</v>
      </c>
      <c r="R46" s="18" t="s">
        <v>1863</v>
      </c>
    </row>
    <row r="47" spans="1:18" x14ac:dyDescent="0.3">
      <c r="A47" s="23" t="s">
        <v>1391</v>
      </c>
      <c r="B47" t="s">
        <v>1799</v>
      </c>
      <c r="E47">
        <v>48</v>
      </c>
      <c r="F47">
        <v>48</v>
      </c>
      <c r="H47" t="s">
        <v>41</v>
      </c>
      <c r="I47" t="s">
        <v>1289</v>
      </c>
      <c r="J47" t="s">
        <v>1290</v>
      </c>
      <c r="K47" t="s">
        <v>1335</v>
      </c>
      <c r="L47" t="s">
        <v>1358</v>
      </c>
      <c r="R47" s="18" t="s">
        <v>1864</v>
      </c>
    </row>
    <row r="48" spans="1:18" x14ac:dyDescent="0.3">
      <c r="A48" s="23" t="s">
        <v>1401</v>
      </c>
      <c r="B48" t="s">
        <v>1800</v>
      </c>
      <c r="E48">
        <v>48</v>
      </c>
      <c r="F48">
        <v>48</v>
      </c>
      <c r="H48" t="s">
        <v>41</v>
      </c>
      <c r="I48" t="s">
        <v>1310</v>
      </c>
      <c r="J48" t="s">
        <v>1380</v>
      </c>
      <c r="K48" t="s">
        <v>1310</v>
      </c>
      <c r="L48" t="s">
        <v>1368</v>
      </c>
      <c r="R48" s="18" t="s">
        <v>1865</v>
      </c>
    </row>
    <row r="49" spans="1:18" x14ac:dyDescent="0.3">
      <c r="A49" s="23" t="s">
        <v>1402</v>
      </c>
      <c r="B49" t="s">
        <v>1801</v>
      </c>
      <c r="E49">
        <v>48</v>
      </c>
      <c r="F49">
        <v>48</v>
      </c>
      <c r="H49" t="s">
        <v>41</v>
      </c>
      <c r="I49" t="s">
        <v>1309</v>
      </c>
      <c r="J49" t="s">
        <v>1316</v>
      </c>
      <c r="K49" t="s">
        <v>1342</v>
      </c>
      <c r="L49" t="s">
        <v>1369</v>
      </c>
      <c r="R49" s="18" t="s">
        <v>1866</v>
      </c>
    </row>
    <row r="50" spans="1:18" x14ac:dyDescent="0.3">
      <c r="A50" s="23" t="s">
        <v>1399</v>
      </c>
      <c r="B50" t="s">
        <v>1802</v>
      </c>
      <c r="E50">
        <v>48</v>
      </c>
      <c r="F50">
        <v>48</v>
      </c>
      <c r="H50" t="s">
        <v>41</v>
      </c>
      <c r="I50" t="s">
        <v>1311</v>
      </c>
      <c r="J50" t="s">
        <v>1378</v>
      </c>
      <c r="K50" t="s">
        <v>1340</v>
      </c>
      <c r="L50" t="s">
        <v>1366</v>
      </c>
      <c r="R50" s="18" t="s">
        <v>1867</v>
      </c>
    </row>
    <row r="51" spans="1:18" x14ac:dyDescent="0.3">
      <c r="A51" s="23" t="s">
        <v>1400</v>
      </c>
      <c r="B51" t="s">
        <v>1803</v>
      </c>
      <c r="E51">
        <v>48</v>
      </c>
      <c r="F51">
        <v>48</v>
      </c>
      <c r="H51" t="s">
        <v>41</v>
      </c>
      <c r="I51" t="s">
        <v>1314</v>
      </c>
      <c r="J51" t="s">
        <v>1379</v>
      </c>
      <c r="K51" t="s">
        <v>1341</v>
      </c>
      <c r="L51" t="s">
        <v>1367</v>
      </c>
      <c r="R51" s="18" t="s">
        <v>1868</v>
      </c>
    </row>
    <row r="52" spans="1:18" x14ac:dyDescent="0.3">
      <c r="A52" s="23" t="s">
        <v>1398</v>
      </c>
      <c r="B52" t="s">
        <v>1804</v>
      </c>
      <c r="E52">
        <v>48</v>
      </c>
      <c r="F52">
        <v>48</v>
      </c>
      <c r="H52" t="s">
        <v>41</v>
      </c>
      <c r="I52" t="s">
        <v>1312</v>
      </c>
      <c r="J52" t="s">
        <v>1377</v>
      </c>
      <c r="K52" t="s">
        <v>1339</v>
      </c>
      <c r="L52" t="s">
        <v>1365</v>
      </c>
      <c r="R52" s="18" t="s">
        <v>1869</v>
      </c>
    </row>
    <row r="53" spans="1:18" x14ac:dyDescent="0.3">
      <c r="A53" s="23" t="s">
        <v>1415</v>
      </c>
      <c r="B53" t="s">
        <v>1805</v>
      </c>
      <c r="E53">
        <v>96</v>
      </c>
      <c r="F53">
        <v>48</v>
      </c>
      <c r="H53" t="s">
        <v>41</v>
      </c>
      <c r="I53" t="s">
        <v>1417</v>
      </c>
      <c r="J53" t="s">
        <v>1416</v>
      </c>
      <c r="K53" t="s">
        <v>1418</v>
      </c>
      <c r="L53" t="s">
        <v>1419</v>
      </c>
      <c r="R53" s="18" t="s">
        <v>1870</v>
      </c>
    </row>
    <row r="54" spans="1:18" x14ac:dyDescent="0.3">
      <c r="A54" s="23" t="s">
        <v>1397</v>
      </c>
      <c r="B54" t="s">
        <v>1806</v>
      </c>
      <c r="E54">
        <v>48</v>
      </c>
      <c r="F54">
        <v>48</v>
      </c>
      <c r="H54" t="s">
        <v>41</v>
      </c>
      <c r="I54" t="s">
        <v>1313</v>
      </c>
      <c r="J54" t="s">
        <v>1315</v>
      </c>
      <c r="K54" t="s">
        <v>1313</v>
      </c>
      <c r="L54" t="s">
        <v>1364</v>
      </c>
      <c r="R54" s="18" t="s">
        <v>1871</v>
      </c>
    </row>
    <row r="55" spans="1:18" x14ac:dyDescent="0.3">
      <c r="A55" s="23" t="s">
        <v>1394</v>
      </c>
      <c r="B55" t="s">
        <v>1807</v>
      </c>
      <c r="E55">
        <v>48</v>
      </c>
      <c r="F55">
        <v>48</v>
      </c>
      <c r="H55" t="s">
        <v>41</v>
      </c>
      <c r="I55" t="s">
        <v>1298</v>
      </c>
      <c r="J55" t="s">
        <v>1299</v>
      </c>
      <c r="K55" t="s">
        <v>1298</v>
      </c>
      <c r="L55" t="s">
        <v>1361</v>
      </c>
      <c r="R55" s="18" t="s">
        <v>1872</v>
      </c>
    </row>
    <row r="56" spans="1:18" x14ac:dyDescent="0.3">
      <c r="A56" s="23" t="s">
        <v>1414</v>
      </c>
      <c r="B56" t="s">
        <v>1808</v>
      </c>
      <c r="E56">
        <v>48</v>
      </c>
      <c r="F56">
        <v>48</v>
      </c>
      <c r="H56" t="s">
        <v>41</v>
      </c>
      <c r="I56" t="s">
        <v>1412</v>
      </c>
      <c r="J56" t="s">
        <v>1410</v>
      </c>
      <c r="K56" t="s">
        <v>1411</v>
      </c>
      <c r="L56" t="s">
        <v>1413</v>
      </c>
      <c r="R56" s="18" t="s">
        <v>1873</v>
      </c>
    </row>
    <row r="57" spans="1:18" x14ac:dyDescent="0.3">
      <c r="A57" s="23" t="s">
        <v>1404</v>
      </c>
      <c r="B57" t="s">
        <v>1809</v>
      </c>
      <c r="E57">
        <v>48</v>
      </c>
      <c r="F57">
        <v>48</v>
      </c>
      <c r="H57" t="s">
        <v>41</v>
      </c>
      <c r="I57" t="s">
        <v>1307</v>
      </c>
      <c r="J57" t="s">
        <v>1319</v>
      </c>
      <c r="K57" t="s">
        <v>1307</v>
      </c>
      <c r="L57" t="s">
        <v>1371</v>
      </c>
      <c r="R57" s="18" t="s">
        <v>1874</v>
      </c>
    </row>
    <row r="58" spans="1:18" x14ac:dyDescent="0.3">
      <c r="A58" s="23" t="s">
        <v>1405</v>
      </c>
      <c r="B58" t="s">
        <v>1810</v>
      </c>
      <c r="E58">
        <v>48</v>
      </c>
      <c r="F58">
        <v>48</v>
      </c>
      <c r="H58" t="s">
        <v>41</v>
      </c>
      <c r="I58" t="s">
        <v>1308</v>
      </c>
      <c r="J58" t="s">
        <v>1320</v>
      </c>
      <c r="K58" t="s">
        <v>1308</v>
      </c>
      <c r="L58" t="s">
        <v>1372</v>
      </c>
      <c r="R58" s="18" t="s">
        <v>1875</v>
      </c>
    </row>
    <row r="59" spans="1:18" x14ac:dyDescent="0.3">
      <c r="A59" s="23" t="s">
        <v>1403</v>
      </c>
      <c r="B59" t="s">
        <v>1811</v>
      </c>
      <c r="E59">
        <v>48</v>
      </c>
      <c r="F59">
        <v>48</v>
      </c>
      <c r="H59" t="s">
        <v>41</v>
      </c>
      <c r="I59" t="s">
        <v>1318</v>
      </c>
      <c r="J59" t="s">
        <v>1317</v>
      </c>
      <c r="K59" t="s">
        <v>1343</v>
      </c>
      <c r="L59" t="s">
        <v>1370</v>
      </c>
      <c r="R59" s="18" t="s">
        <v>1876</v>
      </c>
    </row>
    <row r="60" spans="1:18" x14ac:dyDescent="0.3">
      <c r="A60" s="23" t="s">
        <v>1501</v>
      </c>
      <c r="B60" t="s">
        <v>1812</v>
      </c>
      <c r="E60">
        <v>48</v>
      </c>
      <c r="F60">
        <v>48</v>
      </c>
      <c r="H60" t="s">
        <v>1427</v>
      </c>
      <c r="I60" t="s">
        <v>1453</v>
      </c>
      <c r="J60" t="s">
        <v>1477</v>
      </c>
      <c r="K60" t="s">
        <v>1453</v>
      </c>
      <c r="L60" t="s">
        <v>1525</v>
      </c>
      <c r="R60" s="18" t="s">
        <v>1877</v>
      </c>
    </row>
    <row r="61" spans="1:18" x14ac:dyDescent="0.3">
      <c r="A61" s="23" t="s">
        <v>1493</v>
      </c>
      <c r="B61" t="s">
        <v>1813</v>
      </c>
      <c r="E61">
        <v>48</v>
      </c>
      <c r="F61">
        <v>48</v>
      </c>
      <c r="H61" t="s">
        <v>1427</v>
      </c>
      <c r="I61" t="s">
        <v>1445</v>
      </c>
      <c r="J61" t="s">
        <v>1469</v>
      </c>
      <c r="K61" t="s">
        <v>1445</v>
      </c>
      <c r="L61" t="s">
        <v>1517</v>
      </c>
      <c r="R61" s="18" t="s">
        <v>1878</v>
      </c>
    </row>
    <row r="62" spans="1:18" x14ac:dyDescent="0.3">
      <c r="A62" s="23" t="s">
        <v>1503</v>
      </c>
      <c r="B62" t="s">
        <v>1814</v>
      </c>
      <c r="E62">
        <v>48</v>
      </c>
      <c r="F62">
        <v>48</v>
      </c>
      <c r="H62" t="s">
        <v>1427</v>
      </c>
      <c r="I62" t="s">
        <v>1455</v>
      </c>
      <c r="J62" t="s">
        <v>1479</v>
      </c>
      <c r="K62" t="s">
        <v>1455</v>
      </c>
      <c r="L62" t="s">
        <v>1527</v>
      </c>
      <c r="R62" s="18" t="s">
        <v>1879</v>
      </c>
    </row>
    <row r="63" spans="1:18" x14ac:dyDescent="0.3">
      <c r="A63" s="23" t="s">
        <v>1497</v>
      </c>
      <c r="B63" t="s">
        <v>1815</v>
      </c>
      <c r="E63">
        <v>48</v>
      </c>
      <c r="F63">
        <v>48</v>
      </c>
      <c r="H63" t="s">
        <v>1427</v>
      </c>
      <c r="I63" t="s">
        <v>1450</v>
      </c>
      <c r="J63" t="s">
        <v>1473</v>
      </c>
      <c r="K63" t="s">
        <v>1450</v>
      </c>
      <c r="L63" t="s">
        <v>1521</v>
      </c>
      <c r="R63" s="18" t="s">
        <v>1880</v>
      </c>
    </row>
    <row r="64" spans="1:18" x14ac:dyDescent="0.3">
      <c r="A64" s="23" t="s">
        <v>1499</v>
      </c>
      <c r="B64" t="s">
        <v>1816</v>
      </c>
      <c r="E64">
        <v>48</v>
      </c>
      <c r="F64">
        <v>48</v>
      </c>
      <c r="H64" t="s">
        <v>1427</v>
      </c>
      <c r="I64" t="s">
        <v>1451</v>
      </c>
      <c r="J64" t="s">
        <v>1475</v>
      </c>
      <c r="K64" t="s">
        <v>1451</v>
      </c>
      <c r="L64" t="s">
        <v>1523</v>
      </c>
      <c r="R64" s="18" t="s">
        <v>1881</v>
      </c>
    </row>
    <row r="65" spans="1:18" x14ac:dyDescent="0.3">
      <c r="A65" s="23" t="s">
        <v>1495</v>
      </c>
      <c r="B65" t="s">
        <v>1817</v>
      </c>
      <c r="E65">
        <v>48</v>
      </c>
      <c r="F65">
        <v>48</v>
      </c>
      <c r="H65" t="s">
        <v>1427</v>
      </c>
      <c r="I65" t="s">
        <v>1447</v>
      </c>
      <c r="J65" t="s">
        <v>1471</v>
      </c>
      <c r="K65" t="s">
        <v>1447</v>
      </c>
      <c r="L65" t="s">
        <v>1519</v>
      </c>
      <c r="R65" s="18" t="s">
        <v>1882</v>
      </c>
    </row>
    <row r="66" spans="1:18" x14ac:dyDescent="0.3">
      <c r="A66" s="23" t="s">
        <v>1489</v>
      </c>
      <c r="B66" t="s">
        <v>1818</v>
      </c>
      <c r="E66">
        <v>48</v>
      </c>
      <c r="F66">
        <v>48</v>
      </c>
      <c r="H66" t="s">
        <v>1427</v>
      </c>
      <c r="I66" t="s">
        <v>1441</v>
      </c>
      <c r="J66" t="s">
        <v>1465</v>
      </c>
      <c r="K66" t="s">
        <v>1441</v>
      </c>
      <c r="L66" t="s">
        <v>1513</v>
      </c>
      <c r="R66" s="18" t="s">
        <v>1883</v>
      </c>
    </row>
    <row r="67" spans="1:18" x14ac:dyDescent="0.3">
      <c r="A67" s="23" t="s">
        <v>1481</v>
      </c>
      <c r="B67" t="s">
        <v>1819</v>
      </c>
      <c r="E67">
        <v>48</v>
      </c>
      <c r="F67">
        <v>48</v>
      </c>
      <c r="H67" t="s">
        <v>1427</v>
      </c>
      <c r="I67" t="s">
        <v>1433</v>
      </c>
      <c r="J67" t="s">
        <v>1458</v>
      </c>
      <c r="K67" t="s">
        <v>1433</v>
      </c>
      <c r="L67" t="s">
        <v>1505</v>
      </c>
      <c r="R67" s="18" t="s">
        <v>1884</v>
      </c>
    </row>
    <row r="68" spans="1:18" x14ac:dyDescent="0.3">
      <c r="A68" s="23" t="s">
        <v>1491</v>
      </c>
      <c r="B68" t="s">
        <v>1820</v>
      </c>
      <c r="E68">
        <v>48</v>
      </c>
      <c r="F68">
        <v>48</v>
      </c>
      <c r="H68" t="s">
        <v>1427</v>
      </c>
      <c r="I68" t="s">
        <v>1443</v>
      </c>
      <c r="J68" t="s">
        <v>1467</v>
      </c>
      <c r="K68" t="s">
        <v>1443</v>
      </c>
      <c r="L68" t="s">
        <v>1515</v>
      </c>
      <c r="R68" s="18" t="s">
        <v>1885</v>
      </c>
    </row>
    <row r="69" spans="1:18" x14ac:dyDescent="0.3">
      <c r="A69" s="23" t="s">
        <v>1485</v>
      </c>
      <c r="B69" t="s">
        <v>1821</v>
      </c>
      <c r="E69">
        <v>48</v>
      </c>
      <c r="F69">
        <v>48</v>
      </c>
      <c r="H69" t="s">
        <v>1427</v>
      </c>
      <c r="I69" t="s">
        <v>1437</v>
      </c>
      <c r="J69" t="s">
        <v>1457</v>
      </c>
      <c r="K69" t="s">
        <v>1437</v>
      </c>
      <c r="L69" t="s">
        <v>1509</v>
      </c>
      <c r="R69" s="18" t="s">
        <v>1886</v>
      </c>
    </row>
    <row r="70" spans="1:18" x14ac:dyDescent="0.3">
      <c r="A70" s="23" t="s">
        <v>1487</v>
      </c>
      <c r="B70" t="s">
        <v>1822</v>
      </c>
      <c r="E70">
        <v>48</v>
      </c>
      <c r="F70">
        <v>48</v>
      </c>
      <c r="H70" t="s">
        <v>1427</v>
      </c>
      <c r="I70" t="s">
        <v>1439</v>
      </c>
      <c r="J70" t="s">
        <v>1463</v>
      </c>
      <c r="K70" t="s">
        <v>1439</v>
      </c>
      <c r="L70" t="s">
        <v>1511</v>
      </c>
      <c r="R70" s="18" t="s">
        <v>1887</v>
      </c>
    </row>
    <row r="71" spans="1:18" x14ac:dyDescent="0.3">
      <c r="A71" s="23" t="s">
        <v>1483</v>
      </c>
      <c r="B71" t="s">
        <v>1823</v>
      </c>
      <c r="E71">
        <v>48</v>
      </c>
      <c r="F71">
        <v>48</v>
      </c>
      <c r="H71" t="s">
        <v>1427</v>
      </c>
      <c r="I71" t="s">
        <v>1435</v>
      </c>
      <c r="J71" t="s">
        <v>1460</v>
      </c>
      <c r="K71" t="s">
        <v>1435</v>
      </c>
      <c r="L71" t="s">
        <v>1507</v>
      </c>
      <c r="R71" s="18" t="s">
        <v>1888</v>
      </c>
    </row>
    <row r="72" spans="1:18" x14ac:dyDescent="0.3">
      <c r="A72" s="23" t="s">
        <v>1502</v>
      </c>
      <c r="B72" t="s">
        <v>1824</v>
      </c>
      <c r="E72">
        <v>48</v>
      </c>
      <c r="F72">
        <v>48</v>
      </c>
      <c r="H72" t="s">
        <v>1427</v>
      </c>
      <c r="I72" t="s">
        <v>1454</v>
      </c>
      <c r="J72" t="s">
        <v>1478</v>
      </c>
      <c r="K72" t="s">
        <v>1454</v>
      </c>
      <c r="L72" t="s">
        <v>1526</v>
      </c>
      <c r="R72" s="18" t="s">
        <v>1889</v>
      </c>
    </row>
    <row r="73" spans="1:18" x14ac:dyDescent="0.3">
      <c r="A73" s="23" t="s">
        <v>1494</v>
      </c>
      <c r="B73" t="s">
        <v>1825</v>
      </c>
      <c r="E73">
        <v>48</v>
      </c>
      <c r="F73">
        <v>48</v>
      </c>
      <c r="H73" t="s">
        <v>1427</v>
      </c>
      <c r="I73" t="s">
        <v>1446</v>
      </c>
      <c r="J73" t="s">
        <v>1470</v>
      </c>
      <c r="K73" t="s">
        <v>1446</v>
      </c>
      <c r="L73" t="s">
        <v>1518</v>
      </c>
      <c r="R73" s="18" t="s">
        <v>1890</v>
      </c>
    </row>
    <row r="74" spans="1:18" x14ac:dyDescent="0.3">
      <c r="A74" s="23" t="s">
        <v>1504</v>
      </c>
      <c r="B74" t="s">
        <v>1826</v>
      </c>
      <c r="E74">
        <v>48</v>
      </c>
      <c r="F74">
        <v>48</v>
      </c>
      <c r="H74" t="s">
        <v>1427</v>
      </c>
      <c r="I74" t="s">
        <v>1456</v>
      </c>
      <c r="J74" t="s">
        <v>1480</v>
      </c>
      <c r="K74" t="s">
        <v>1456</v>
      </c>
      <c r="L74" t="s">
        <v>1528</v>
      </c>
      <c r="R74" s="18" t="s">
        <v>1891</v>
      </c>
    </row>
    <row r="75" spans="1:18" x14ac:dyDescent="0.3">
      <c r="A75" s="23" t="s">
        <v>1498</v>
      </c>
      <c r="B75" t="s">
        <v>1827</v>
      </c>
      <c r="E75">
        <v>48</v>
      </c>
      <c r="F75">
        <v>48</v>
      </c>
      <c r="H75" t="s">
        <v>1427</v>
      </c>
      <c r="I75" t="s">
        <v>1449</v>
      </c>
      <c r="J75" t="s">
        <v>1474</v>
      </c>
      <c r="K75" t="s">
        <v>1449</v>
      </c>
      <c r="L75" t="s">
        <v>1522</v>
      </c>
      <c r="R75" s="18" t="s">
        <v>1892</v>
      </c>
    </row>
    <row r="76" spans="1:18" x14ac:dyDescent="0.3">
      <c r="A76" s="23" t="s">
        <v>1500</v>
      </c>
      <c r="B76" t="s">
        <v>1828</v>
      </c>
      <c r="E76">
        <v>48</v>
      </c>
      <c r="F76">
        <v>48</v>
      </c>
      <c r="H76" t="s">
        <v>1427</v>
      </c>
      <c r="I76" t="s">
        <v>1452</v>
      </c>
      <c r="J76" t="s">
        <v>1476</v>
      </c>
      <c r="K76" t="s">
        <v>1452</v>
      </c>
      <c r="L76" t="s">
        <v>1524</v>
      </c>
      <c r="R76" s="18" t="s">
        <v>1893</v>
      </c>
    </row>
    <row r="77" spans="1:18" x14ac:dyDescent="0.3">
      <c r="A77" s="23" t="s">
        <v>1496</v>
      </c>
      <c r="B77" t="s">
        <v>1829</v>
      </c>
      <c r="E77">
        <v>48</v>
      </c>
      <c r="F77">
        <v>48</v>
      </c>
      <c r="H77" t="s">
        <v>1427</v>
      </c>
      <c r="I77" t="s">
        <v>1448</v>
      </c>
      <c r="J77" t="s">
        <v>1472</v>
      </c>
      <c r="K77" t="s">
        <v>1448</v>
      </c>
      <c r="L77" t="s">
        <v>1520</v>
      </c>
      <c r="R77" s="18" t="s">
        <v>1894</v>
      </c>
    </row>
    <row r="78" spans="1:18" x14ac:dyDescent="0.3">
      <c r="A78" s="23" t="s">
        <v>1490</v>
      </c>
      <c r="B78" t="s">
        <v>1830</v>
      </c>
      <c r="E78">
        <v>48</v>
      </c>
      <c r="F78">
        <v>48</v>
      </c>
      <c r="H78" t="s">
        <v>1427</v>
      </c>
      <c r="I78" t="s">
        <v>1442</v>
      </c>
      <c r="J78" t="s">
        <v>1466</v>
      </c>
      <c r="K78" t="s">
        <v>1442</v>
      </c>
      <c r="L78" t="s">
        <v>1514</v>
      </c>
      <c r="R78" s="18" t="s">
        <v>1895</v>
      </c>
    </row>
    <row r="79" spans="1:18" x14ac:dyDescent="0.3">
      <c r="A79" s="23" t="s">
        <v>1482</v>
      </c>
      <c r="B79" t="s">
        <v>1831</v>
      </c>
      <c r="E79">
        <v>48</v>
      </c>
      <c r="F79">
        <v>48</v>
      </c>
      <c r="H79" t="s">
        <v>1427</v>
      </c>
      <c r="I79" t="s">
        <v>1434</v>
      </c>
      <c r="J79" t="s">
        <v>1459</v>
      </c>
      <c r="K79" t="s">
        <v>1434</v>
      </c>
      <c r="L79" t="s">
        <v>1506</v>
      </c>
      <c r="R79" s="18" t="s">
        <v>1896</v>
      </c>
    </row>
    <row r="80" spans="1:18" x14ac:dyDescent="0.3">
      <c r="A80" s="23" t="s">
        <v>1492</v>
      </c>
      <c r="B80" t="s">
        <v>1832</v>
      </c>
      <c r="E80">
        <v>48</v>
      </c>
      <c r="F80">
        <v>48</v>
      </c>
      <c r="H80" t="s">
        <v>1427</v>
      </c>
      <c r="I80" t="s">
        <v>1444</v>
      </c>
      <c r="J80" t="s">
        <v>1468</v>
      </c>
      <c r="K80" t="s">
        <v>1444</v>
      </c>
      <c r="L80" t="s">
        <v>1516</v>
      </c>
      <c r="R80" s="18" t="s">
        <v>1897</v>
      </c>
    </row>
    <row r="81" spans="1:18" x14ac:dyDescent="0.3">
      <c r="A81" s="23" t="s">
        <v>1486</v>
      </c>
      <c r="B81" t="s">
        <v>1833</v>
      </c>
      <c r="E81">
        <v>48</v>
      </c>
      <c r="F81">
        <v>48</v>
      </c>
      <c r="H81" t="s">
        <v>1427</v>
      </c>
      <c r="I81" t="s">
        <v>1438</v>
      </c>
      <c r="J81" t="s">
        <v>1462</v>
      </c>
      <c r="K81" t="s">
        <v>1438</v>
      </c>
      <c r="L81" t="s">
        <v>1510</v>
      </c>
      <c r="R81" s="18" t="s">
        <v>1898</v>
      </c>
    </row>
    <row r="82" spans="1:18" x14ac:dyDescent="0.3">
      <c r="A82" s="23" t="s">
        <v>1488</v>
      </c>
      <c r="B82" t="s">
        <v>1834</v>
      </c>
      <c r="E82">
        <v>48</v>
      </c>
      <c r="F82">
        <v>48</v>
      </c>
      <c r="H82" t="s">
        <v>1427</v>
      </c>
      <c r="I82" t="s">
        <v>1440</v>
      </c>
      <c r="J82" t="s">
        <v>1464</v>
      </c>
      <c r="K82" t="s">
        <v>1440</v>
      </c>
      <c r="L82" t="s">
        <v>1512</v>
      </c>
      <c r="R82" s="18" t="s">
        <v>1899</v>
      </c>
    </row>
    <row r="83" spans="1:18" x14ac:dyDescent="0.3">
      <c r="A83" s="23" t="s">
        <v>1484</v>
      </c>
      <c r="B83" t="s">
        <v>1835</v>
      </c>
      <c r="E83">
        <v>48</v>
      </c>
      <c r="F83">
        <v>48</v>
      </c>
      <c r="H83" t="s">
        <v>1427</v>
      </c>
      <c r="I83" t="s">
        <v>1436</v>
      </c>
      <c r="J83" t="s">
        <v>1461</v>
      </c>
      <c r="K83" t="s">
        <v>1436</v>
      </c>
      <c r="L83" t="s">
        <v>1508</v>
      </c>
      <c r="R83" s="18" t="s">
        <v>1900</v>
      </c>
    </row>
    <row r="84" spans="1:18" x14ac:dyDescent="0.3">
      <c r="A84" s="23" t="s">
        <v>1668</v>
      </c>
      <c r="B84" t="s">
        <v>1836</v>
      </c>
      <c r="E84">
        <v>48</v>
      </c>
      <c r="F84">
        <v>48</v>
      </c>
      <c r="H84" t="s">
        <v>1221</v>
      </c>
      <c r="I84" t="s">
        <v>1681</v>
      </c>
      <c r="J84" t="s">
        <v>1683</v>
      </c>
      <c r="K84" t="s">
        <v>1682</v>
      </c>
      <c r="L84" t="s">
        <v>1684</v>
      </c>
      <c r="R84" s="18" t="s">
        <v>1901</v>
      </c>
    </row>
    <row r="85" spans="1:18" x14ac:dyDescent="0.3">
      <c r="A85" s="23" t="s">
        <v>1953</v>
      </c>
      <c r="B85" t="s">
        <v>1952</v>
      </c>
      <c r="E85">
        <v>48</v>
      </c>
      <c r="F85">
        <v>48</v>
      </c>
      <c r="H85" t="s">
        <v>1221</v>
      </c>
      <c r="I85" t="s">
        <v>2100</v>
      </c>
      <c r="J85" t="s">
        <v>1960</v>
      </c>
      <c r="K85" t="s">
        <v>2100</v>
      </c>
      <c r="L85" t="s">
        <v>1961</v>
      </c>
      <c r="R85" s="18" t="s">
        <v>2122</v>
      </c>
    </row>
    <row r="86" spans="1:18" x14ac:dyDescent="0.3">
      <c r="A86" s="23" t="s">
        <v>1954</v>
      </c>
      <c r="B86" t="s">
        <v>1957</v>
      </c>
      <c r="E86">
        <v>48</v>
      </c>
      <c r="F86">
        <v>48</v>
      </c>
      <c r="H86" t="s">
        <v>1221</v>
      </c>
      <c r="I86" t="s">
        <v>2101</v>
      </c>
      <c r="J86" t="s">
        <v>1962</v>
      </c>
      <c r="K86" t="s">
        <v>2101</v>
      </c>
      <c r="L86" t="s">
        <v>1963</v>
      </c>
      <c r="R86" s="18" t="s">
        <v>2123</v>
      </c>
    </row>
    <row r="87" spans="1:18" x14ac:dyDescent="0.3">
      <c r="A87" s="23" t="s">
        <v>1955</v>
      </c>
      <c r="B87" t="s">
        <v>1959</v>
      </c>
      <c r="E87">
        <v>48</v>
      </c>
      <c r="F87">
        <v>48</v>
      </c>
      <c r="H87" t="s">
        <v>1221</v>
      </c>
      <c r="I87" t="s">
        <v>2102</v>
      </c>
      <c r="J87" t="s">
        <v>1964</v>
      </c>
      <c r="K87" t="s">
        <v>2102</v>
      </c>
      <c r="L87" t="s">
        <v>1965</v>
      </c>
      <c r="R87" s="18" t="s">
        <v>2124</v>
      </c>
    </row>
    <row r="88" spans="1:18" x14ac:dyDescent="0.3">
      <c r="A88" s="23" t="s">
        <v>1956</v>
      </c>
      <c r="B88" t="s">
        <v>1958</v>
      </c>
      <c r="E88">
        <v>48</v>
      </c>
      <c r="F88">
        <v>48</v>
      </c>
      <c r="H88" t="s">
        <v>1221</v>
      </c>
      <c r="I88" t="s">
        <v>2103</v>
      </c>
      <c r="J88" t="s">
        <v>1966</v>
      </c>
      <c r="K88" t="s">
        <v>2103</v>
      </c>
      <c r="L88" t="s">
        <v>1967</v>
      </c>
      <c r="R88" s="18" t="s">
        <v>2125</v>
      </c>
    </row>
    <row r="89" spans="1:18" x14ac:dyDescent="0.3">
      <c r="A89" s="23" t="s">
        <v>1704</v>
      </c>
      <c r="B89" t="s">
        <v>1837</v>
      </c>
      <c r="E89">
        <v>48</v>
      </c>
      <c r="F89">
        <v>48</v>
      </c>
      <c r="H89" t="s">
        <v>1221</v>
      </c>
      <c r="I89" t="s">
        <v>1705</v>
      </c>
      <c r="J89" t="s">
        <v>1710</v>
      </c>
      <c r="K89" t="s">
        <v>2113</v>
      </c>
      <c r="L89" t="s">
        <v>1706</v>
      </c>
      <c r="R89" s="18" t="s">
        <v>2126</v>
      </c>
    </row>
    <row r="90" spans="1:18" x14ac:dyDescent="0.3">
      <c r="A90" s="23" t="s">
        <v>2092</v>
      </c>
      <c r="B90" t="s">
        <v>2094</v>
      </c>
      <c r="E90">
        <v>48</v>
      </c>
      <c r="F90">
        <v>48</v>
      </c>
      <c r="H90" t="s">
        <v>1221</v>
      </c>
      <c r="I90" t="s">
        <v>2104</v>
      </c>
      <c r="J90" t="s">
        <v>2108</v>
      </c>
      <c r="K90" t="s">
        <v>2112</v>
      </c>
      <c r="L90" t="s">
        <v>2117</v>
      </c>
      <c r="R90" s="18" t="s">
        <v>2127</v>
      </c>
    </row>
    <row r="91" spans="1:18" x14ac:dyDescent="0.3">
      <c r="A91" s="23" t="s">
        <v>2093</v>
      </c>
      <c r="B91" t="s">
        <v>2096</v>
      </c>
      <c r="E91">
        <v>48</v>
      </c>
      <c r="F91">
        <v>48</v>
      </c>
      <c r="H91" t="s">
        <v>1221</v>
      </c>
      <c r="I91" t="s">
        <v>2105</v>
      </c>
      <c r="J91" t="s">
        <v>2109</v>
      </c>
      <c r="K91" t="s">
        <v>2114</v>
      </c>
      <c r="L91" t="s">
        <v>2118</v>
      </c>
      <c r="R91" s="18" t="s">
        <v>2128</v>
      </c>
    </row>
    <row r="92" spans="1:18" x14ac:dyDescent="0.3">
      <c r="A92" s="23" t="s">
        <v>2095</v>
      </c>
      <c r="B92" t="s">
        <v>2097</v>
      </c>
      <c r="E92">
        <v>48</v>
      </c>
      <c r="F92">
        <v>48</v>
      </c>
      <c r="H92" t="s">
        <v>1221</v>
      </c>
      <c r="I92" t="s">
        <v>2106</v>
      </c>
      <c r="J92" t="s">
        <v>2110</v>
      </c>
      <c r="K92" t="s">
        <v>2115</v>
      </c>
      <c r="L92" t="s">
        <v>2119</v>
      </c>
      <c r="R92" s="18" t="s">
        <v>2129</v>
      </c>
    </row>
    <row r="93" spans="1:18" x14ac:dyDescent="0.3">
      <c r="A93" s="23" t="s">
        <v>2098</v>
      </c>
      <c r="B93" t="s">
        <v>2099</v>
      </c>
      <c r="E93">
        <v>48</v>
      </c>
      <c r="F93">
        <v>48</v>
      </c>
      <c r="H93" t="s">
        <v>1221</v>
      </c>
      <c r="I93" t="s">
        <v>2107</v>
      </c>
      <c r="J93" t="s">
        <v>2111</v>
      </c>
      <c r="K93" t="s">
        <v>2116</v>
      </c>
      <c r="L93" t="s">
        <v>2120</v>
      </c>
      <c r="R93" s="18" t="s">
        <v>2130</v>
      </c>
    </row>
    <row r="94" spans="1:18" x14ac:dyDescent="0.3">
      <c r="A94" s="23" t="s">
        <v>1719</v>
      </c>
      <c r="B94" t="s">
        <v>1838</v>
      </c>
      <c r="E94">
        <v>48</v>
      </c>
      <c r="F94">
        <v>48</v>
      </c>
      <c r="H94" t="s">
        <v>1221</v>
      </c>
      <c r="I94" t="s">
        <v>1720</v>
      </c>
      <c r="J94" t="s">
        <v>1722</v>
      </c>
      <c r="K94" t="s">
        <v>1721</v>
      </c>
      <c r="L94" t="s">
        <v>1723</v>
      </c>
      <c r="R94" s="18" t="s">
        <v>1902</v>
      </c>
    </row>
    <row r="95" spans="1:18" x14ac:dyDescent="0.3">
      <c r="A95" s="23" t="s">
        <v>1691</v>
      </c>
      <c r="B95" t="s">
        <v>1839</v>
      </c>
      <c r="E95">
        <v>48</v>
      </c>
      <c r="F95">
        <v>48</v>
      </c>
      <c r="H95" t="s">
        <v>1221</v>
      </c>
      <c r="I95" t="s">
        <v>1685</v>
      </c>
      <c r="J95" t="s">
        <v>1687</v>
      </c>
      <c r="K95" t="s">
        <v>1686</v>
      </c>
      <c r="L95" t="s">
        <v>1688</v>
      </c>
      <c r="R95" s="18" t="s">
        <v>1903</v>
      </c>
    </row>
    <row r="96" spans="1:18" x14ac:dyDescent="0.3">
      <c r="A96" s="23" t="s">
        <v>1707</v>
      </c>
      <c r="B96" t="s">
        <v>1840</v>
      </c>
      <c r="E96">
        <v>48</v>
      </c>
      <c r="F96">
        <v>48</v>
      </c>
      <c r="H96" t="s">
        <v>1221</v>
      </c>
      <c r="I96" t="s">
        <v>1708</v>
      </c>
      <c r="J96" t="s">
        <v>1711</v>
      </c>
      <c r="K96" t="s">
        <v>1709</v>
      </c>
      <c r="L96" t="s">
        <v>1712</v>
      </c>
      <c r="R96" s="18" t="s">
        <v>1904</v>
      </c>
    </row>
    <row r="97" spans="1:18" x14ac:dyDescent="0.3">
      <c r="A97" s="23" t="s">
        <v>1715</v>
      </c>
      <c r="B97" t="s">
        <v>1714</v>
      </c>
      <c r="E97">
        <v>48</v>
      </c>
      <c r="F97">
        <v>48</v>
      </c>
      <c r="H97" t="s">
        <v>1221</v>
      </c>
      <c r="I97" t="s">
        <v>1713</v>
      </c>
      <c r="J97" t="s">
        <v>1717</v>
      </c>
      <c r="K97" t="s">
        <v>1716</v>
      </c>
      <c r="L97" t="s">
        <v>1718</v>
      </c>
      <c r="R97" s="18" t="s">
        <v>1724</v>
      </c>
    </row>
    <row r="98" spans="1:18" x14ac:dyDescent="0.3">
      <c r="A98" s="23" t="s">
        <v>1139</v>
      </c>
      <c r="B98" t="s">
        <v>1150</v>
      </c>
      <c r="D98" t="s">
        <v>724</v>
      </c>
      <c r="E98">
        <v>48</v>
      </c>
      <c r="F98">
        <v>48</v>
      </c>
      <c r="H98" t="s">
        <v>1221</v>
      </c>
      <c r="I98" t="s">
        <v>1141</v>
      </c>
      <c r="J98" t="s">
        <v>1145</v>
      </c>
      <c r="K98" t="s">
        <v>1143</v>
      </c>
      <c r="L98" t="s">
        <v>1147</v>
      </c>
      <c r="R98" s="18" t="s">
        <v>1634</v>
      </c>
    </row>
    <row r="99" spans="1:18" x14ac:dyDescent="0.3">
      <c r="A99" s="23" t="s">
        <v>1140</v>
      </c>
      <c r="B99" t="s">
        <v>1149</v>
      </c>
      <c r="D99" t="s">
        <v>724</v>
      </c>
      <c r="E99">
        <v>48</v>
      </c>
      <c r="F99">
        <v>48</v>
      </c>
      <c r="H99" t="s">
        <v>1221</v>
      </c>
      <c r="I99" t="s">
        <v>1142</v>
      </c>
      <c r="J99" t="s">
        <v>1146</v>
      </c>
      <c r="K99" t="s">
        <v>1144</v>
      </c>
      <c r="L99" t="s">
        <v>1148</v>
      </c>
      <c r="R99" s="18" t="s">
        <v>1635</v>
      </c>
    </row>
    <row r="100" spans="1:18" x14ac:dyDescent="0.3">
      <c r="A100" s="23" t="s">
        <v>1692</v>
      </c>
      <c r="B100" t="s">
        <v>1689</v>
      </c>
      <c r="E100">
        <v>48</v>
      </c>
      <c r="F100">
        <v>48</v>
      </c>
      <c r="H100" t="s">
        <v>1221</v>
      </c>
      <c r="I100" t="s">
        <v>1694</v>
      </c>
      <c r="J100" t="s">
        <v>1698</v>
      </c>
      <c r="K100" t="s">
        <v>1696</v>
      </c>
      <c r="L100" t="s">
        <v>1699</v>
      </c>
      <c r="R100" s="18" t="s">
        <v>1702</v>
      </c>
    </row>
    <row r="101" spans="1:18" x14ac:dyDescent="0.3">
      <c r="A101" s="23" t="s">
        <v>1693</v>
      </c>
      <c r="B101" t="s">
        <v>1690</v>
      </c>
      <c r="E101">
        <v>48</v>
      </c>
      <c r="F101">
        <v>48</v>
      </c>
      <c r="H101" t="s">
        <v>1221</v>
      </c>
      <c r="I101" t="s">
        <v>1695</v>
      </c>
      <c r="J101" t="s">
        <v>1700</v>
      </c>
      <c r="K101" t="s">
        <v>1697</v>
      </c>
      <c r="L101" t="s">
        <v>1701</v>
      </c>
      <c r="R101" s="18" t="s">
        <v>1703</v>
      </c>
    </row>
    <row r="102" spans="1:18" x14ac:dyDescent="0.3">
      <c r="A102" s="23" t="s">
        <v>2022</v>
      </c>
      <c r="B102" t="s">
        <v>2021</v>
      </c>
      <c r="E102">
        <v>144</v>
      </c>
      <c r="F102">
        <v>48</v>
      </c>
      <c r="H102" t="s">
        <v>1221</v>
      </c>
      <c r="I102" t="s">
        <v>296</v>
      </c>
      <c r="J102" t="s">
        <v>2059</v>
      </c>
      <c r="K102" t="s">
        <v>728</v>
      </c>
      <c r="L102" t="s">
        <v>2061</v>
      </c>
      <c r="R102" s="18" t="s">
        <v>2143</v>
      </c>
    </row>
    <row r="103" spans="1:18" x14ac:dyDescent="0.3">
      <c r="A103" s="23" t="s">
        <v>2025</v>
      </c>
      <c r="B103" t="s">
        <v>2023</v>
      </c>
      <c r="E103">
        <v>144</v>
      </c>
      <c r="F103">
        <v>48</v>
      </c>
      <c r="H103" t="s">
        <v>1221</v>
      </c>
      <c r="I103" t="s">
        <v>2043</v>
      </c>
      <c r="J103" t="s">
        <v>2060</v>
      </c>
      <c r="K103" t="s">
        <v>2053</v>
      </c>
      <c r="L103" t="s">
        <v>2072</v>
      </c>
      <c r="R103" s="18" t="s">
        <v>2144</v>
      </c>
    </row>
    <row r="104" spans="1:18" x14ac:dyDescent="0.3">
      <c r="A104" s="23" t="s">
        <v>2027</v>
      </c>
      <c r="B104" t="s">
        <v>2024</v>
      </c>
      <c r="E104">
        <v>120</v>
      </c>
      <c r="F104">
        <v>48</v>
      </c>
      <c r="H104" t="s">
        <v>1221</v>
      </c>
      <c r="I104" t="s">
        <v>2044</v>
      </c>
      <c r="J104" t="s">
        <v>2062</v>
      </c>
      <c r="K104" t="s">
        <v>2044</v>
      </c>
      <c r="L104" t="s">
        <v>2073</v>
      </c>
      <c r="R104" s="18" t="s">
        <v>2145</v>
      </c>
    </row>
    <row r="105" spans="1:18" x14ac:dyDescent="0.3">
      <c r="A105" s="23" t="s">
        <v>2028</v>
      </c>
      <c r="B105" t="s">
        <v>2026</v>
      </c>
      <c r="E105">
        <v>120</v>
      </c>
      <c r="F105">
        <v>48</v>
      </c>
      <c r="H105" t="s">
        <v>1221</v>
      </c>
      <c r="I105" t="s">
        <v>2045</v>
      </c>
      <c r="J105" t="s">
        <v>2063</v>
      </c>
      <c r="K105" t="s">
        <v>2045</v>
      </c>
      <c r="L105" t="s">
        <v>2074</v>
      </c>
      <c r="R105" s="18" t="s">
        <v>2146</v>
      </c>
    </row>
    <row r="106" spans="1:18" x14ac:dyDescent="0.3">
      <c r="A106" s="23" t="s">
        <v>2030</v>
      </c>
      <c r="B106" t="s">
        <v>2029</v>
      </c>
      <c r="E106">
        <v>48</v>
      </c>
      <c r="F106">
        <v>48</v>
      </c>
      <c r="H106" t="s">
        <v>1221</v>
      </c>
      <c r="I106" t="s">
        <v>2046</v>
      </c>
      <c r="J106" t="s">
        <v>2064</v>
      </c>
      <c r="K106" t="s">
        <v>2058</v>
      </c>
      <c r="L106" t="s">
        <v>2075</v>
      </c>
      <c r="R106" s="18" t="s">
        <v>2082</v>
      </c>
    </row>
    <row r="107" spans="1:18" x14ac:dyDescent="0.3">
      <c r="A107" s="23" t="s">
        <v>2032</v>
      </c>
      <c r="B107" t="s">
        <v>2031</v>
      </c>
      <c r="E107">
        <v>96</v>
      </c>
      <c r="F107">
        <v>48</v>
      </c>
      <c r="H107" t="s">
        <v>1221</v>
      </c>
      <c r="I107" t="s">
        <v>2047</v>
      </c>
      <c r="J107" t="s">
        <v>2065</v>
      </c>
      <c r="K107" t="s">
        <v>2054</v>
      </c>
      <c r="L107" t="s">
        <v>2076</v>
      </c>
      <c r="R107" s="18" t="s">
        <v>2147</v>
      </c>
    </row>
    <row r="108" spans="1:18" x14ac:dyDescent="0.3">
      <c r="A108" s="23" t="s">
        <v>2034</v>
      </c>
      <c r="B108" t="s">
        <v>2033</v>
      </c>
      <c r="E108">
        <v>48</v>
      </c>
      <c r="F108">
        <v>48</v>
      </c>
      <c r="H108" t="s">
        <v>1221</v>
      </c>
      <c r="I108" t="s">
        <v>2048</v>
      </c>
      <c r="J108" t="s">
        <v>2066</v>
      </c>
      <c r="K108" t="s">
        <v>2055</v>
      </c>
      <c r="L108" t="s">
        <v>2077</v>
      </c>
      <c r="R108" s="18" t="s">
        <v>2083</v>
      </c>
    </row>
    <row r="109" spans="1:18" x14ac:dyDescent="0.3">
      <c r="A109" s="23" t="s">
        <v>2036</v>
      </c>
      <c r="B109" t="s">
        <v>2035</v>
      </c>
      <c r="E109">
        <v>48</v>
      </c>
      <c r="F109">
        <v>48</v>
      </c>
      <c r="H109" t="s">
        <v>1221</v>
      </c>
      <c r="I109" t="s">
        <v>2051</v>
      </c>
      <c r="J109" t="s">
        <v>2067</v>
      </c>
      <c r="K109" t="s">
        <v>2056</v>
      </c>
      <c r="L109" t="s">
        <v>2078</v>
      </c>
      <c r="R109" s="18" t="s">
        <v>2084</v>
      </c>
    </row>
    <row r="110" spans="1:18" x14ac:dyDescent="0.3">
      <c r="A110" s="23" t="s">
        <v>2038</v>
      </c>
      <c r="B110" t="s">
        <v>2037</v>
      </c>
      <c r="E110">
        <v>48</v>
      </c>
      <c r="F110">
        <v>48</v>
      </c>
      <c r="H110" t="s">
        <v>1221</v>
      </c>
      <c r="I110" t="s">
        <v>2049</v>
      </c>
      <c r="J110" t="s">
        <v>2068</v>
      </c>
      <c r="K110" t="s">
        <v>2069</v>
      </c>
      <c r="L110" t="s">
        <v>2079</v>
      </c>
      <c r="R110" s="18" t="s">
        <v>2085</v>
      </c>
    </row>
    <row r="111" spans="1:18" x14ac:dyDescent="0.3">
      <c r="A111" s="23" t="s">
        <v>2042</v>
      </c>
      <c r="B111" t="s">
        <v>2041</v>
      </c>
      <c r="E111">
        <v>72</v>
      </c>
      <c r="F111">
        <v>48</v>
      </c>
      <c r="H111" t="s">
        <v>1221</v>
      </c>
      <c r="I111" t="s">
        <v>2052</v>
      </c>
      <c r="J111" t="s">
        <v>2070</v>
      </c>
      <c r="K111" t="s">
        <v>2052</v>
      </c>
      <c r="L111" t="s">
        <v>2081</v>
      </c>
      <c r="R111" s="18" t="s">
        <v>2148</v>
      </c>
    </row>
    <row r="112" spans="1:18" x14ac:dyDescent="0.3">
      <c r="A112" s="23" t="s">
        <v>2087</v>
      </c>
      <c r="B112" t="s">
        <v>2088</v>
      </c>
      <c r="E112">
        <v>72</v>
      </c>
      <c r="F112">
        <v>48</v>
      </c>
      <c r="H112" t="s">
        <v>1221</v>
      </c>
      <c r="I112" t="s">
        <v>2089</v>
      </c>
      <c r="J112" t="s">
        <v>2090</v>
      </c>
      <c r="K112" t="s">
        <v>2089</v>
      </c>
      <c r="L112" t="s">
        <v>2090</v>
      </c>
      <c r="R112" s="18" t="s">
        <v>2149</v>
      </c>
    </row>
    <row r="113" spans="1:18" x14ac:dyDescent="0.3">
      <c r="A113" s="23" t="s">
        <v>2040</v>
      </c>
      <c r="B113" t="s">
        <v>2039</v>
      </c>
      <c r="E113">
        <v>48</v>
      </c>
      <c r="F113">
        <v>48</v>
      </c>
      <c r="H113" t="s">
        <v>1221</v>
      </c>
      <c r="I113" t="s">
        <v>2050</v>
      </c>
      <c r="J113" t="s">
        <v>2071</v>
      </c>
      <c r="K113" t="s">
        <v>2057</v>
      </c>
      <c r="L113" t="s">
        <v>2080</v>
      </c>
      <c r="R113" s="18" t="s">
        <v>2086</v>
      </c>
    </row>
    <row r="114" spans="1:18" x14ac:dyDescent="0.3">
      <c r="A114" s="23" t="s">
        <v>2121</v>
      </c>
      <c r="B114" t="s">
        <v>2132</v>
      </c>
      <c r="E114">
        <v>72</v>
      </c>
      <c r="F114">
        <v>48</v>
      </c>
      <c r="H114" t="s">
        <v>1221</v>
      </c>
      <c r="I114" t="s">
        <v>2136</v>
      </c>
      <c r="J114" t="s">
        <v>2137</v>
      </c>
      <c r="K114" t="s">
        <v>2135</v>
      </c>
      <c r="L114" t="s">
        <v>2138</v>
      </c>
      <c r="R114" s="18" t="s">
        <v>2150</v>
      </c>
    </row>
    <row r="115" spans="1:18" x14ac:dyDescent="0.3">
      <c r="A115" s="23" t="s">
        <v>2133</v>
      </c>
      <c r="B115" t="s">
        <v>2134</v>
      </c>
      <c r="E115">
        <v>72</v>
      </c>
      <c r="F115">
        <v>48</v>
      </c>
      <c r="H115" t="s">
        <v>1221</v>
      </c>
      <c r="I115" t="s">
        <v>2139</v>
      </c>
      <c r="J115" t="s">
        <v>2141</v>
      </c>
      <c r="K115" t="s">
        <v>2140</v>
      </c>
      <c r="L115" t="s">
        <v>2142</v>
      </c>
      <c r="R115" s="18" t="s">
        <v>2151</v>
      </c>
    </row>
    <row r="116" spans="1:18" x14ac:dyDescent="0.3">
      <c r="A116" s="23" t="s">
        <v>1266</v>
      </c>
      <c r="B116" t="s">
        <v>1254</v>
      </c>
      <c r="E116">
        <v>48</v>
      </c>
      <c r="F116">
        <v>48</v>
      </c>
      <c r="H116" t="s">
        <v>1248</v>
      </c>
      <c r="I116" t="s">
        <v>1256</v>
      </c>
      <c r="J116" t="s">
        <v>1263</v>
      </c>
      <c r="K116" t="s">
        <v>1256</v>
      </c>
      <c r="L116" t="s">
        <v>2091</v>
      </c>
      <c r="R116" s="18" t="s">
        <v>2131</v>
      </c>
    </row>
    <row r="117" spans="1:18" x14ac:dyDescent="0.3">
      <c r="A117" s="23" t="s">
        <v>1238</v>
      </c>
      <c r="B117" t="s">
        <v>1249</v>
      </c>
      <c r="E117">
        <v>48</v>
      </c>
      <c r="F117">
        <v>48</v>
      </c>
      <c r="H117" t="s">
        <v>1248</v>
      </c>
      <c r="I117" t="s">
        <v>1242</v>
      </c>
      <c r="J117" t="s">
        <v>1242</v>
      </c>
      <c r="K117" t="s">
        <v>1246</v>
      </c>
      <c r="L117" t="s">
        <v>1246</v>
      </c>
      <c r="R117" s="18" t="s">
        <v>1641</v>
      </c>
    </row>
    <row r="118" spans="1:18" x14ac:dyDescent="0.3">
      <c r="A118" s="23" t="s">
        <v>1237</v>
      </c>
      <c r="B118" t="s">
        <v>1250</v>
      </c>
      <c r="E118">
        <v>48</v>
      </c>
      <c r="F118">
        <v>48</v>
      </c>
      <c r="H118" t="s">
        <v>1248</v>
      </c>
      <c r="I118" t="s">
        <v>1240</v>
      </c>
      <c r="J118" t="s">
        <v>1240</v>
      </c>
      <c r="K118" t="s">
        <v>1244</v>
      </c>
      <c r="L118" t="s">
        <v>1244</v>
      </c>
      <c r="R118" s="18" t="s">
        <v>1642</v>
      </c>
    </row>
    <row r="119" spans="1:18" x14ac:dyDescent="0.3">
      <c r="A119" s="23" t="s">
        <v>1264</v>
      </c>
      <c r="B119" t="s">
        <v>1251</v>
      </c>
      <c r="E119">
        <v>48</v>
      </c>
      <c r="F119">
        <v>48</v>
      </c>
      <c r="H119" t="s">
        <v>1248</v>
      </c>
      <c r="I119" t="s">
        <v>1258</v>
      </c>
      <c r="J119" t="s">
        <v>1258</v>
      </c>
      <c r="K119" t="s">
        <v>1260</v>
      </c>
      <c r="L119" t="s">
        <v>1260</v>
      </c>
      <c r="R119" s="18" t="s">
        <v>1643</v>
      </c>
    </row>
    <row r="120" spans="1:18" x14ac:dyDescent="0.3">
      <c r="A120" s="23" t="s">
        <v>1236</v>
      </c>
      <c r="B120" t="s">
        <v>1253</v>
      </c>
      <c r="E120">
        <v>48</v>
      </c>
      <c r="F120">
        <v>48</v>
      </c>
      <c r="H120" t="s">
        <v>1248</v>
      </c>
      <c r="I120" t="s">
        <v>1241</v>
      </c>
      <c r="J120" t="s">
        <v>1241</v>
      </c>
      <c r="K120" t="s">
        <v>1245</v>
      </c>
      <c r="L120" t="s">
        <v>1245</v>
      </c>
      <c r="R120" s="18" t="s">
        <v>1644</v>
      </c>
    </row>
    <row r="121" spans="1:18" x14ac:dyDescent="0.3">
      <c r="A121" s="23" t="s">
        <v>1265</v>
      </c>
      <c r="B121" t="s">
        <v>1252</v>
      </c>
      <c r="E121">
        <v>48</v>
      </c>
      <c r="F121">
        <v>48</v>
      </c>
      <c r="H121" t="s">
        <v>1248</v>
      </c>
      <c r="I121" t="s">
        <v>1259</v>
      </c>
      <c r="J121" t="s">
        <v>1259</v>
      </c>
      <c r="K121" t="s">
        <v>1261</v>
      </c>
      <c r="L121" t="s">
        <v>1261</v>
      </c>
      <c r="R121" s="18" t="s">
        <v>1645</v>
      </c>
    </row>
    <row r="122" spans="1:18" x14ac:dyDescent="0.3">
      <c r="A122" s="23" t="s">
        <v>1239</v>
      </c>
      <c r="B122" t="s">
        <v>1268</v>
      </c>
      <c r="E122">
        <v>48</v>
      </c>
      <c r="F122">
        <v>48</v>
      </c>
      <c r="H122" t="s">
        <v>1248</v>
      </c>
      <c r="I122" t="s">
        <v>1243</v>
      </c>
      <c r="J122" t="s">
        <v>1243</v>
      </c>
      <c r="K122" t="s">
        <v>1247</v>
      </c>
      <c r="L122" t="s">
        <v>1247</v>
      </c>
      <c r="R122" s="18" t="s">
        <v>1646</v>
      </c>
    </row>
    <row r="123" spans="1:18" x14ac:dyDescent="0.3">
      <c r="A123" s="23" t="s">
        <v>1267</v>
      </c>
      <c r="B123" t="s">
        <v>1255</v>
      </c>
      <c r="E123">
        <v>48</v>
      </c>
      <c r="F123">
        <v>48</v>
      </c>
      <c r="H123" t="s">
        <v>1248</v>
      </c>
      <c r="I123" t="s">
        <v>1257</v>
      </c>
      <c r="J123" t="s">
        <v>1257</v>
      </c>
      <c r="K123" t="s">
        <v>1262</v>
      </c>
      <c r="L123" t="s">
        <v>1262</v>
      </c>
      <c r="R123" s="18" t="s">
        <v>1647</v>
      </c>
    </row>
    <row r="124" spans="1:18" x14ac:dyDescent="0.3">
      <c r="A124" s="23" t="s">
        <v>2165</v>
      </c>
      <c r="B124" t="s">
        <v>2164</v>
      </c>
      <c r="E124">
        <v>72</v>
      </c>
      <c r="F124">
        <v>72</v>
      </c>
      <c r="H124" t="s">
        <v>1248</v>
      </c>
      <c r="I124" t="s">
        <v>2175</v>
      </c>
      <c r="J124" t="s">
        <v>2169</v>
      </c>
      <c r="K124" t="s">
        <v>2176</v>
      </c>
      <c r="L124" t="s">
        <v>2170</v>
      </c>
      <c r="R124" s="18" t="s">
        <v>2197</v>
      </c>
    </row>
    <row r="125" spans="1:18" x14ac:dyDescent="0.3">
      <c r="A125" s="23" t="s">
        <v>2168</v>
      </c>
      <c r="B125" t="s">
        <v>2166</v>
      </c>
      <c r="E125">
        <v>72</v>
      </c>
      <c r="F125">
        <v>48</v>
      </c>
      <c r="H125" t="s">
        <v>1248</v>
      </c>
      <c r="I125" t="s">
        <v>2171</v>
      </c>
      <c r="J125" t="s">
        <v>2173</v>
      </c>
      <c r="K125" t="s">
        <v>2172</v>
      </c>
      <c r="L125" t="s">
        <v>2174</v>
      </c>
      <c r="R125" s="18" t="s">
        <v>2198</v>
      </c>
    </row>
    <row r="126" spans="1:18" x14ac:dyDescent="0.3">
      <c r="A126" s="23" t="s">
        <v>2167</v>
      </c>
      <c r="B126" t="s">
        <v>2186</v>
      </c>
      <c r="E126">
        <v>48</v>
      </c>
      <c r="F126">
        <v>48</v>
      </c>
      <c r="H126" t="s">
        <v>1248</v>
      </c>
      <c r="I126" t="s">
        <v>2189</v>
      </c>
      <c r="J126" t="s">
        <v>2191</v>
      </c>
      <c r="K126" t="s">
        <v>2190</v>
      </c>
      <c r="L126" t="s">
        <v>2192</v>
      </c>
      <c r="R126" s="18" t="s">
        <v>2199</v>
      </c>
    </row>
    <row r="127" spans="1:18" x14ac:dyDescent="0.3">
      <c r="A127" s="23" t="s">
        <v>2187</v>
      </c>
      <c r="B127" t="s">
        <v>2188</v>
      </c>
      <c r="E127">
        <v>48</v>
      </c>
      <c r="F127">
        <v>48</v>
      </c>
      <c r="H127" t="s">
        <v>1248</v>
      </c>
      <c r="I127" t="s">
        <v>2193</v>
      </c>
      <c r="J127" t="s">
        <v>2195</v>
      </c>
      <c r="K127" t="s">
        <v>2194</v>
      </c>
      <c r="L127" t="s">
        <v>2196</v>
      </c>
      <c r="R127" s="18" t="s">
        <v>2200</v>
      </c>
    </row>
    <row r="128" spans="1:18" x14ac:dyDescent="0.3">
      <c r="A128" s="23" t="s">
        <v>1727</v>
      </c>
      <c r="B128" t="s">
        <v>1841</v>
      </c>
      <c r="E128">
        <v>48</v>
      </c>
      <c r="F128">
        <v>48</v>
      </c>
      <c r="H128" t="s">
        <v>43</v>
      </c>
      <c r="I128" t="s">
        <v>1728</v>
      </c>
      <c r="J128" t="s">
        <v>1730</v>
      </c>
      <c r="K128" t="s">
        <v>1729</v>
      </c>
      <c r="L128" t="s">
        <v>1731</v>
      </c>
      <c r="R128" s="18" t="s">
        <v>1905</v>
      </c>
    </row>
    <row r="129" spans="1:18" x14ac:dyDescent="0.3">
      <c r="A129" s="23" t="s">
        <v>1135</v>
      </c>
      <c r="B129" t="s">
        <v>1842</v>
      </c>
      <c r="C129" t="s">
        <v>299</v>
      </c>
      <c r="D129" t="s">
        <v>724</v>
      </c>
      <c r="E129">
        <v>48</v>
      </c>
      <c r="F129">
        <v>48</v>
      </c>
      <c r="H129" t="s">
        <v>43</v>
      </c>
      <c r="I129" t="s">
        <v>1136</v>
      </c>
      <c r="J129" t="s">
        <v>1137</v>
      </c>
      <c r="K129" t="s">
        <v>1136</v>
      </c>
      <c r="L129" t="s">
        <v>1138</v>
      </c>
      <c r="R129" s="18" t="s">
        <v>1906</v>
      </c>
    </row>
    <row r="130" spans="1:18" x14ac:dyDescent="0.3">
      <c r="A130" s="23" t="s">
        <v>1596</v>
      </c>
      <c r="B130" t="s">
        <v>1843</v>
      </c>
      <c r="E130">
        <v>48</v>
      </c>
      <c r="F130">
        <v>48</v>
      </c>
      <c r="H130" t="s">
        <v>43</v>
      </c>
      <c r="I130" t="s">
        <v>1592</v>
      </c>
      <c r="J130" t="s">
        <v>1594</v>
      </c>
      <c r="K130" t="s">
        <v>1593</v>
      </c>
      <c r="L130" t="s">
        <v>1595</v>
      </c>
      <c r="R130" s="18" t="s">
        <v>1907</v>
      </c>
    </row>
    <row r="131" spans="1:18" x14ac:dyDescent="0.3">
      <c r="A131" s="23" t="s">
        <v>1605</v>
      </c>
      <c r="B131" t="s">
        <v>1844</v>
      </c>
      <c r="E131">
        <v>192</v>
      </c>
      <c r="F131">
        <v>48</v>
      </c>
      <c r="H131" t="s">
        <v>43</v>
      </c>
      <c r="I131" t="s">
        <v>1597</v>
      </c>
      <c r="J131" t="s">
        <v>1602</v>
      </c>
      <c r="K131" t="s">
        <v>1600</v>
      </c>
      <c r="L131" t="s">
        <v>1603</v>
      </c>
      <c r="R131" s="18" t="s">
        <v>1908</v>
      </c>
    </row>
    <row r="132" spans="1:18" x14ac:dyDescent="0.3">
      <c r="A132" s="23" t="s">
        <v>1606</v>
      </c>
      <c r="B132" t="s">
        <v>1845</v>
      </c>
      <c r="E132">
        <v>288</v>
      </c>
      <c r="F132">
        <v>96</v>
      </c>
      <c r="H132" t="s">
        <v>43</v>
      </c>
      <c r="I132" t="s">
        <v>1599</v>
      </c>
      <c r="J132" t="s">
        <v>1598</v>
      </c>
      <c r="K132" t="s">
        <v>1601</v>
      </c>
      <c r="L132" t="s">
        <v>1604</v>
      </c>
      <c r="R132" s="18" t="s">
        <v>1909</v>
      </c>
    </row>
    <row r="133" spans="1:18" x14ac:dyDescent="0.3">
      <c r="A133" s="23" t="s">
        <v>1615</v>
      </c>
      <c r="B133" t="s">
        <v>1846</v>
      </c>
      <c r="E133">
        <v>48</v>
      </c>
      <c r="F133">
        <v>48</v>
      </c>
      <c r="H133" t="s">
        <v>44</v>
      </c>
      <c r="I133" t="s">
        <v>1607</v>
      </c>
      <c r="J133" t="s">
        <v>1611</v>
      </c>
      <c r="K133" t="s">
        <v>1609</v>
      </c>
      <c r="L133" t="s">
        <v>1613</v>
      </c>
      <c r="R133" s="18" t="s">
        <v>1910</v>
      </c>
    </row>
    <row r="134" spans="1:18" x14ac:dyDescent="0.3">
      <c r="A134" s="23" t="s">
        <v>1616</v>
      </c>
      <c r="B134" t="s">
        <v>1847</v>
      </c>
      <c r="E134">
        <v>48</v>
      </c>
      <c r="F134">
        <v>48</v>
      </c>
      <c r="H134" t="s">
        <v>44</v>
      </c>
      <c r="I134" t="s">
        <v>1608</v>
      </c>
      <c r="J134" t="s">
        <v>1612</v>
      </c>
      <c r="K134" t="s">
        <v>1610</v>
      </c>
      <c r="L134" t="s">
        <v>1614</v>
      </c>
      <c r="R134" s="18" t="s">
        <v>1911</v>
      </c>
    </row>
    <row r="135" spans="1:18" x14ac:dyDescent="0.3">
      <c r="A135" s="23" t="s">
        <v>2202</v>
      </c>
      <c r="B135" t="s">
        <v>2212</v>
      </c>
      <c r="E135">
        <v>48</v>
      </c>
      <c r="F135">
        <v>24</v>
      </c>
      <c r="H135" t="s">
        <v>2204</v>
      </c>
      <c r="I135" t="s">
        <v>2207</v>
      </c>
      <c r="J135" t="s">
        <v>2214</v>
      </c>
      <c r="K135" t="s">
        <v>2215</v>
      </c>
      <c r="L135" t="s">
        <v>2209</v>
      </c>
      <c r="R135" s="18" t="s">
        <v>2219</v>
      </c>
    </row>
    <row r="136" spans="1:18" x14ac:dyDescent="0.3">
      <c r="A136" s="23" t="s">
        <v>2203</v>
      </c>
      <c r="B136" t="s">
        <v>2213</v>
      </c>
      <c r="E136">
        <v>48</v>
      </c>
      <c r="F136">
        <v>24</v>
      </c>
      <c r="H136" t="s">
        <v>2204</v>
      </c>
      <c r="I136" t="s">
        <v>2208</v>
      </c>
      <c r="J136" t="s">
        <v>2210</v>
      </c>
      <c r="K136" t="s">
        <v>2215</v>
      </c>
      <c r="L136" t="s">
        <v>2210</v>
      </c>
      <c r="R136" s="18" t="s">
        <v>2220</v>
      </c>
    </row>
    <row r="137" spans="1:18" x14ac:dyDescent="0.3">
      <c r="R137" s="18" t="s">
        <v>1617</v>
      </c>
    </row>
  </sheetData>
  <mergeCells count="2">
    <mergeCell ref="I1:J1"/>
    <mergeCell ref="K1:L1"/>
  </mergeCells>
  <conditionalFormatting sqref="A1:A1048576">
    <cfRule type="duplicateValues" dxfId="6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15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1552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5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1554</v>
      </c>
      <c r="B2" t="s">
        <v>1565</v>
      </c>
      <c r="C2" t="s">
        <v>1564</v>
      </c>
      <c r="D2" t="s">
        <v>1563</v>
      </c>
      <c r="E2">
        <v>0</v>
      </c>
      <c r="F2" t="s">
        <v>1531</v>
      </c>
      <c r="G2" t="s">
        <v>1551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1622</v>
      </c>
      <c r="B3" t="s">
        <v>1565</v>
      </c>
      <c r="C3" t="s">
        <v>1564</v>
      </c>
      <c r="D3" t="s">
        <v>1564</v>
      </c>
      <c r="E3">
        <v>1</v>
      </c>
      <c r="F3" t="s">
        <v>1623</v>
      </c>
      <c r="G3" t="s">
        <v>1624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1555</v>
      </c>
      <c r="B4" t="s">
        <v>1566</v>
      </c>
      <c r="C4" t="s">
        <v>1567</v>
      </c>
      <c r="D4" t="s">
        <v>1568</v>
      </c>
      <c r="E4">
        <v>2</v>
      </c>
      <c r="F4" t="s">
        <v>1532</v>
      </c>
      <c r="G4" t="s">
        <v>1541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1556</v>
      </c>
      <c r="B5" t="s">
        <v>1569</v>
      </c>
      <c r="C5" t="s">
        <v>1570</v>
      </c>
      <c r="D5" t="s">
        <v>1567</v>
      </c>
      <c r="E5">
        <v>1</v>
      </c>
      <c r="F5" t="s">
        <v>1533</v>
      </c>
      <c r="G5" t="s">
        <v>1542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1557</v>
      </c>
      <c r="B6" t="s">
        <v>1573</v>
      </c>
      <c r="C6" t="s">
        <v>1572</v>
      </c>
      <c r="D6" t="s">
        <v>1571</v>
      </c>
      <c r="E6">
        <v>3</v>
      </c>
      <c r="F6" t="s">
        <v>1534</v>
      </c>
      <c r="G6" t="s">
        <v>1543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1558</v>
      </c>
      <c r="B7" t="s">
        <v>1574</v>
      </c>
      <c r="C7" t="s">
        <v>1575</v>
      </c>
      <c r="D7" t="s">
        <v>1576</v>
      </c>
      <c r="E7">
        <v>2</v>
      </c>
      <c r="F7" t="s">
        <v>1535</v>
      </c>
      <c r="G7" t="s">
        <v>1544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1559</v>
      </c>
      <c r="B8" t="s">
        <v>1577</v>
      </c>
      <c r="C8" t="s">
        <v>1578</v>
      </c>
      <c r="D8" t="s">
        <v>1579</v>
      </c>
      <c r="E8">
        <v>3</v>
      </c>
      <c r="F8" t="s">
        <v>1536</v>
      </c>
      <c r="G8" t="s">
        <v>1545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1560</v>
      </c>
      <c r="B9" t="s">
        <v>1580</v>
      </c>
      <c r="C9" t="s">
        <v>1581</v>
      </c>
      <c r="D9" t="s">
        <v>1582</v>
      </c>
      <c r="E9">
        <v>4</v>
      </c>
      <c r="F9" t="s">
        <v>1537</v>
      </c>
      <c r="G9" t="s">
        <v>1546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1561</v>
      </c>
      <c r="B10" t="s">
        <v>1583</v>
      </c>
      <c r="C10" t="s">
        <v>1584</v>
      </c>
      <c r="D10" t="s">
        <v>1585</v>
      </c>
      <c r="E10">
        <v>2</v>
      </c>
      <c r="F10" t="s">
        <v>1538</v>
      </c>
      <c r="G10" t="s">
        <v>1547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1562</v>
      </c>
      <c r="B11" t="s">
        <v>1586</v>
      </c>
      <c r="C11" t="s">
        <v>1587</v>
      </c>
      <c r="D11" t="s">
        <v>1588</v>
      </c>
      <c r="E11">
        <v>2</v>
      </c>
      <c r="F11" t="s">
        <v>1539</v>
      </c>
      <c r="G11" t="s">
        <v>1548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1553</v>
      </c>
      <c r="B12" t="s">
        <v>1589</v>
      </c>
      <c r="C12" t="s">
        <v>1590</v>
      </c>
      <c r="D12" t="s">
        <v>1591</v>
      </c>
      <c r="E12">
        <v>3</v>
      </c>
      <c r="F12" t="s">
        <v>1540</v>
      </c>
      <c r="G12" t="s">
        <v>1549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5" priority="2"/>
  </conditionalFormatting>
  <conditionalFormatting sqref="A1:A1048576">
    <cfRule type="duplicateValues" dxfId="4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A1768-27A7-4E36-B9DF-30B25B464C20}">
  <sheetPr codeName="Sheet18"/>
  <dimension ref="A1:H16"/>
  <sheetViews>
    <sheetView workbookViewId="0">
      <selection activeCell="G1" sqref="G1"/>
    </sheetView>
  </sheetViews>
  <sheetFormatPr defaultRowHeight="14.4" x14ac:dyDescent="0.3"/>
  <cols>
    <col min="6" max="6" width="29.109375" customWidth="1"/>
  </cols>
  <sheetData>
    <row r="1" spans="1:8" x14ac:dyDescent="0.3">
      <c r="A1" t="s">
        <v>1552</v>
      </c>
      <c r="B1" t="s">
        <v>365</v>
      </c>
      <c r="C1" t="s">
        <v>378</v>
      </c>
      <c r="D1" t="s">
        <v>329</v>
      </c>
      <c r="E1" t="s">
        <v>330</v>
      </c>
      <c r="G1" s="15" t="str">
        <f xml:space="preserve"> "const intTypes = {"&amp;_xlfn.CONCAT(H:H)&amp;"}"</f>
        <v>const intTypes = {"fe":{a:[1],m:0,desc:{"en-us":"Forward Euler","es-mx":"Adelante Euler"}},"be":{a:[0,1],m:1,desc:{"en-us":"Backward Euler","es-mx":"Euler hacia atrás"}},"hm":{a:[1/2,1/2],m:1,desc:{"en-us":"Heun's method","es-mx":"Método de Heun"}}}</v>
      </c>
    </row>
    <row r="2" spans="1:8" x14ac:dyDescent="0.3">
      <c r="A2" t="s">
        <v>1554</v>
      </c>
      <c r="B2" t="s">
        <v>1564</v>
      </c>
      <c r="C2">
        <v>0</v>
      </c>
      <c r="D2" t="s">
        <v>1531</v>
      </c>
      <c r="E2" t="s">
        <v>1551</v>
      </c>
      <c r="H2" t="str">
        <f t="shared" ref="H2:H16" si="0">IF(ISBLANK(A2),"",""""&amp;A2&amp;""":{"&amp;$B$1&amp;":"&amp;B2&amp;","&amp;$C$1&amp;":"&amp;C2&amp;",desc:{"""&amp;$D$1&amp;""":"""&amp;D2&amp;""","""&amp;$E$1&amp;""":"""&amp;E2&amp;"""}}"&amp;IF(ISBLANK(A3),"",","))</f>
        <v>"fe":{a:[1],m:0,desc:{"en-us":"Forward Euler","es-mx":"Adelante Euler"}},</v>
      </c>
    </row>
    <row r="3" spans="1:8" x14ac:dyDescent="0.3">
      <c r="A3" t="s">
        <v>1622</v>
      </c>
      <c r="B3" t="s">
        <v>1567</v>
      </c>
      <c r="C3">
        <v>1</v>
      </c>
      <c r="D3" t="s">
        <v>1623</v>
      </c>
      <c r="E3" t="s">
        <v>1624</v>
      </c>
      <c r="H3" t="str">
        <f t="shared" si="0"/>
        <v>"be":{a:[0,1],m:1,desc:{"en-us":"Backward Euler","es-mx":"Euler hacia atrás"}},</v>
      </c>
    </row>
    <row r="4" spans="1:8" x14ac:dyDescent="0.3">
      <c r="A4" t="s">
        <v>1556</v>
      </c>
      <c r="B4" t="s">
        <v>2201</v>
      </c>
      <c r="C4">
        <v>1</v>
      </c>
      <c r="D4" t="s">
        <v>1533</v>
      </c>
      <c r="E4" t="s">
        <v>1542</v>
      </c>
      <c r="H4" t="str">
        <f t="shared" si="0"/>
        <v>"hm":{a:[1/2,1/2],m:1,desc:{"en-us":"Heun's method","es-mx":"Método de Heun"}}</v>
      </c>
    </row>
    <row r="5" spans="1:8" x14ac:dyDescent="0.3">
      <c r="H5" t="str">
        <f t="shared" si="0"/>
        <v/>
      </c>
    </row>
    <row r="6" spans="1:8" x14ac:dyDescent="0.3">
      <c r="H6" t="str">
        <f t="shared" si="0"/>
        <v/>
      </c>
    </row>
    <row r="7" spans="1:8" x14ac:dyDescent="0.3">
      <c r="H7" t="str">
        <f t="shared" si="0"/>
        <v/>
      </c>
    </row>
    <row r="8" spans="1:8" x14ac:dyDescent="0.3">
      <c r="H8" t="str">
        <f t="shared" si="0"/>
        <v/>
      </c>
    </row>
    <row r="9" spans="1:8" x14ac:dyDescent="0.3">
      <c r="H9" t="str">
        <f t="shared" si="0"/>
        <v/>
      </c>
    </row>
    <row r="10" spans="1:8" x14ac:dyDescent="0.3">
      <c r="H10" t="str">
        <f t="shared" si="0"/>
        <v/>
      </c>
    </row>
    <row r="11" spans="1:8" x14ac:dyDescent="0.3">
      <c r="H11" t="str">
        <f t="shared" si="0"/>
        <v/>
      </c>
    </row>
    <row r="12" spans="1:8" x14ac:dyDescent="0.3">
      <c r="H12" t="str">
        <f t="shared" si="0"/>
        <v/>
      </c>
    </row>
    <row r="13" spans="1:8" x14ac:dyDescent="0.3">
      <c r="H13" t="str">
        <f t="shared" si="0"/>
        <v/>
      </c>
    </row>
    <row r="14" spans="1:8" x14ac:dyDescent="0.3">
      <c r="H14" t="str">
        <f t="shared" si="0"/>
        <v/>
      </c>
    </row>
    <row r="15" spans="1:8" x14ac:dyDescent="0.3">
      <c r="H15" t="str">
        <f t="shared" si="0"/>
        <v/>
      </c>
    </row>
    <row r="16" spans="1:8" x14ac:dyDescent="0.3">
      <c r="H16" t="str">
        <f t="shared" si="0"/>
        <v/>
      </c>
    </row>
  </sheetData>
  <conditionalFormatting sqref="A1:A1048576">
    <cfRule type="duplicateValues" dxfId="3" priority="1"/>
  </conditionalFormatting>
  <conditionalFormatting sqref="A2:A4">
    <cfRule type="duplicateValues" dxfId="2" priority="9"/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768</v>
      </c>
      <c r="B1" t="s">
        <v>769</v>
      </c>
      <c r="C1" t="s">
        <v>726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798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799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813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793</v>
      </c>
      <c r="C5" t="s">
        <v>806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794</v>
      </c>
      <c r="C6" t="s">
        <v>807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795</v>
      </c>
      <c r="C7" t="s">
        <v>808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796</v>
      </c>
      <c r="C8" t="s">
        <v>809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797</v>
      </c>
      <c r="C9" t="s">
        <v>810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800</v>
      </c>
      <c r="C10" t="s">
        <v>811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801</v>
      </c>
      <c r="C11" t="s">
        <v>812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802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803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804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805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topLeftCell="D1" workbookViewId="0">
      <selection activeCell="R2" sqref="R2"/>
    </sheetView>
  </sheetViews>
  <sheetFormatPr defaultRowHeight="14.4" x14ac:dyDescent="0.3"/>
  <cols>
    <col min="2" max="5" width="15.33203125" bestFit="1" customWidth="1"/>
    <col min="6" max="7" width="11.21875" bestFit="1" customWidth="1"/>
    <col min="8" max="9" width="9" bestFit="1" customWidth="1"/>
    <col min="10" max="10" width="10.77734375" bestFit="1" customWidth="1"/>
    <col min="11" max="11" width="11.44140625" customWidth="1"/>
    <col min="13" max="13" width="19.5546875" customWidth="1"/>
    <col min="18" max="18" width="21.44140625" customWidth="1"/>
  </cols>
  <sheetData>
    <row r="1" spans="1:21" x14ac:dyDescent="0.3">
      <c r="A1" t="s">
        <v>913</v>
      </c>
      <c r="B1" t="s">
        <v>914</v>
      </c>
      <c r="C1" t="s">
        <v>915</v>
      </c>
      <c r="D1" t="s">
        <v>1040</v>
      </c>
      <c r="E1" t="s">
        <v>1041</v>
      </c>
      <c r="F1" t="s">
        <v>1039</v>
      </c>
      <c r="G1" t="s">
        <v>1038</v>
      </c>
      <c r="H1" t="s">
        <v>916</v>
      </c>
      <c r="I1" t="s">
        <v>917</v>
      </c>
      <c r="J1" t="s">
        <v>1043</v>
      </c>
      <c r="K1" t="s">
        <v>1044</v>
      </c>
      <c r="L1" t="s">
        <v>1042</v>
      </c>
      <c r="M1" t="s">
        <v>329</v>
      </c>
      <c r="N1" t="s">
        <v>330</v>
      </c>
      <c r="P1" s="15" t="s">
        <v>919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"cThemes":{"mode":{"dark":"dark","dark2":"dark","dark3":"dark","dark4":"dark","dark5":"dark","light":"light","light2":"light","light3":"light","light4":"light","light5":"light","test":"light","darktest":"dark"},"en-us":{"theme-dark":"Dark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5","theme-test":"Light theme 6","theme-darktest":"Dark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5","theme-test":"Tema ligero 6","theme-darktest":"Tema oscuro 5"}},</v>
      </c>
    </row>
    <row r="2" spans="1:21" x14ac:dyDescent="0.3">
      <c r="A2" t="s">
        <v>918</v>
      </c>
      <c r="B2" t="s">
        <v>1067</v>
      </c>
      <c r="C2" t="s">
        <v>1066</v>
      </c>
      <c r="D2" t="s">
        <v>1070</v>
      </c>
      <c r="E2" t="s">
        <v>1069</v>
      </c>
      <c r="F2" t="s">
        <v>1068</v>
      </c>
      <c r="G2" t="s">
        <v>1071</v>
      </c>
      <c r="H2" t="s">
        <v>724</v>
      </c>
      <c r="I2" t="s">
        <v>724</v>
      </c>
      <c r="J2" t="s">
        <v>1061</v>
      </c>
      <c r="K2" t="s">
        <v>1060</v>
      </c>
      <c r="L2" t="s">
        <v>918</v>
      </c>
      <c r="M2" t="s">
        <v>1153</v>
      </c>
      <c r="N2" t="s">
        <v>1151</v>
      </c>
      <c r="P2" s="15" t="s">
        <v>920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f6f6ff;--col-background-0:#ffffff;--col-border-0:#a0a0ff;--col-background-3:#e3e3ff;--col-background-2:#ececff;--col-border-1:#a0a0ff;--col-text-0:#101019;--col-text-1:#7070b3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.theme-test{--col-background-1:#b3e5fc;--col-background-0:#e6ffff;--col-border-0:#82b3c9;--col-background-3:#e1bee7;--col-background-2:#fff1ff;--col-border-1:#af8eb5;--col-text-0:#000000;--col-text-1:#000000;--col-dis-back:#dc8665;--col-dis-fore:#cd7672;}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R2" t="str">
        <f t="shared" ref="R2:R46" si="0">IF(ISBLANK(A2),"",".theme-"&amp;A2&amp;"{--"&amp;$C$1&amp;":"&amp;C2&amp;";--"&amp;$B$1&amp;":"&amp;B2&amp;";--"&amp;$F$1&amp;":"&amp;F2&amp;";--"&amp;$E$1&amp;":"&amp;E2&amp;";--"&amp;$D$1&amp;":"&amp;D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 t="shared" ref="S2:S46" si="1"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1106</v>
      </c>
      <c r="B3" t="s">
        <v>1055</v>
      </c>
      <c r="C3" t="s">
        <v>1054</v>
      </c>
      <c r="D3" t="s">
        <v>1058</v>
      </c>
      <c r="E3" t="s">
        <v>1057</v>
      </c>
      <c r="F3" t="s">
        <v>1056</v>
      </c>
      <c r="G3" t="s">
        <v>1059</v>
      </c>
      <c r="H3" t="s">
        <v>724</v>
      </c>
      <c r="I3" t="s">
        <v>724</v>
      </c>
      <c r="J3" t="s">
        <v>1061</v>
      </c>
      <c r="K3" t="s">
        <v>1060</v>
      </c>
      <c r="L3" t="s">
        <v>918</v>
      </c>
      <c r="M3" t="s">
        <v>1099</v>
      </c>
      <c r="N3" t="s">
        <v>1121</v>
      </c>
      <c r="R3" t="str">
        <f t="shared" si="0"/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 t="shared" si="1"/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1107</v>
      </c>
      <c r="B4" t="s">
        <v>1079</v>
      </c>
      <c r="C4" t="s">
        <v>1078</v>
      </c>
      <c r="D4" t="s">
        <v>1082</v>
      </c>
      <c r="E4" t="s">
        <v>1081</v>
      </c>
      <c r="F4" t="s">
        <v>1080</v>
      </c>
      <c r="G4" t="s">
        <v>1083</v>
      </c>
      <c r="H4" t="s">
        <v>724</v>
      </c>
      <c r="I4" t="s">
        <v>724</v>
      </c>
      <c r="J4" t="s">
        <v>1061</v>
      </c>
      <c r="K4" t="s">
        <v>1060</v>
      </c>
      <c r="L4" t="s">
        <v>918</v>
      </c>
      <c r="M4" t="s">
        <v>1100</v>
      </c>
      <c r="N4" t="s">
        <v>1122</v>
      </c>
      <c r="R4" t="str">
        <f t="shared" si="0"/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 t="shared" si="1"/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1108</v>
      </c>
      <c r="B5" t="s">
        <v>1091</v>
      </c>
      <c r="C5" t="s">
        <v>1090</v>
      </c>
      <c r="D5" t="s">
        <v>1094</v>
      </c>
      <c r="E5" t="s">
        <v>1093</v>
      </c>
      <c r="F5" t="s">
        <v>1092</v>
      </c>
      <c r="G5" t="s">
        <v>1095</v>
      </c>
      <c r="H5" t="s">
        <v>1045</v>
      </c>
      <c r="I5" t="s">
        <v>724</v>
      </c>
      <c r="J5" t="s">
        <v>1052</v>
      </c>
      <c r="K5" t="s">
        <v>1053</v>
      </c>
      <c r="L5" t="s">
        <v>918</v>
      </c>
      <c r="M5" t="s">
        <v>1101</v>
      </c>
      <c r="N5" t="s">
        <v>1123</v>
      </c>
      <c r="R5" t="str">
        <f t="shared" si="0"/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 t="shared" si="1"/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1109</v>
      </c>
      <c r="B6" t="s">
        <v>1097</v>
      </c>
      <c r="C6" t="s">
        <v>1096</v>
      </c>
      <c r="D6" t="s">
        <v>1058</v>
      </c>
      <c r="E6" t="s">
        <v>1057</v>
      </c>
      <c r="F6" t="s">
        <v>1098</v>
      </c>
      <c r="G6" t="s">
        <v>1059</v>
      </c>
      <c r="H6" t="s">
        <v>724</v>
      </c>
      <c r="I6" t="s">
        <v>724</v>
      </c>
      <c r="J6" t="s">
        <v>1061</v>
      </c>
      <c r="K6" t="s">
        <v>1060</v>
      </c>
      <c r="L6" t="s">
        <v>918</v>
      </c>
      <c r="M6" t="s">
        <v>1105</v>
      </c>
      <c r="N6" t="s">
        <v>1124</v>
      </c>
      <c r="R6" t="str">
        <f t="shared" si="0"/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 t="shared" si="1"/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921</v>
      </c>
      <c r="B7" t="s">
        <v>724</v>
      </c>
      <c r="C7" t="s">
        <v>1770</v>
      </c>
      <c r="D7" t="s">
        <v>1771</v>
      </c>
      <c r="E7" t="s">
        <v>1776</v>
      </c>
      <c r="F7" t="s">
        <v>1772</v>
      </c>
      <c r="G7" t="s">
        <v>1772</v>
      </c>
      <c r="H7" t="s">
        <v>1773</v>
      </c>
      <c r="I7" t="s">
        <v>1777</v>
      </c>
      <c r="J7" t="s">
        <v>1052</v>
      </c>
      <c r="K7" t="s">
        <v>1053</v>
      </c>
      <c r="L7" t="s">
        <v>921</v>
      </c>
      <c r="M7" t="s">
        <v>1154</v>
      </c>
      <c r="N7" t="s">
        <v>1152</v>
      </c>
      <c r="R7" t="str">
        <f t="shared" si="0"/>
        <v>.theme-light{--col-background-1:#f6f6ff;--col-background-0:#ffffff;--col-border-0:#a0a0ff;--col-background-3:#e3e3ff;--col-background-2:#ececff;--col-border-1:#a0a0ff;--col-text-0:#101019;--col-text-1:#7070b3;--col-dis-back:#dc8665;--col-dis-fore:#cd7672;}</v>
      </c>
      <c r="S7" t="str">
        <f t="shared" si="1"/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1110</v>
      </c>
      <c r="B8" t="s">
        <v>724</v>
      </c>
      <c r="C8" t="s">
        <v>1062</v>
      </c>
      <c r="D8" t="s">
        <v>724</v>
      </c>
      <c r="E8" t="s">
        <v>1064</v>
      </c>
      <c r="F8" t="s">
        <v>1063</v>
      </c>
      <c r="G8" t="s">
        <v>1065</v>
      </c>
      <c r="H8" t="s">
        <v>1045</v>
      </c>
      <c r="I8" t="s">
        <v>1045</v>
      </c>
      <c r="J8" t="s">
        <v>1052</v>
      </c>
      <c r="K8" t="s">
        <v>1053</v>
      </c>
      <c r="L8" t="s">
        <v>921</v>
      </c>
      <c r="M8" t="s">
        <v>1102</v>
      </c>
      <c r="N8" t="s">
        <v>1125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1111</v>
      </c>
      <c r="B9" t="s">
        <v>1073</v>
      </c>
      <c r="C9" t="s">
        <v>1072</v>
      </c>
      <c r="D9" t="s">
        <v>1076</v>
      </c>
      <c r="E9" t="s">
        <v>1075</v>
      </c>
      <c r="F9" t="s">
        <v>1074</v>
      </c>
      <c r="G9" t="s">
        <v>1077</v>
      </c>
      <c r="H9" t="s">
        <v>1045</v>
      </c>
      <c r="I9" t="s">
        <v>1045</v>
      </c>
      <c r="J9" t="s">
        <v>1052</v>
      </c>
      <c r="K9" t="s">
        <v>1053</v>
      </c>
      <c r="L9" t="s">
        <v>921</v>
      </c>
      <c r="M9" t="s">
        <v>1103</v>
      </c>
      <c r="N9" t="s">
        <v>1126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1112</v>
      </c>
      <c r="B10" t="s">
        <v>1085</v>
      </c>
      <c r="C10" t="s">
        <v>1084</v>
      </c>
      <c r="D10" t="s">
        <v>1088</v>
      </c>
      <c r="E10" t="s">
        <v>1087</v>
      </c>
      <c r="F10" t="s">
        <v>1086</v>
      </c>
      <c r="G10" t="s">
        <v>1089</v>
      </c>
      <c r="H10" t="s">
        <v>1045</v>
      </c>
      <c r="I10" t="s">
        <v>1045</v>
      </c>
      <c r="J10" t="s">
        <v>1052</v>
      </c>
      <c r="K10" t="s">
        <v>1053</v>
      </c>
      <c r="L10" t="s">
        <v>921</v>
      </c>
      <c r="M10" t="s">
        <v>1104</v>
      </c>
      <c r="N10" t="s">
        <v>1127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1113</v>
      </c>
      <c r="B11" t="s">
        <v>1115</v>
      </c>
      <c r="C11" t="s">
        <v>1114</v>
      </c>
      <c r="D11" t="s">
        <v>1118</v>
      </c>
      <c r="E11" t="s">
        <v>1117</v>
      </c>
      <c r="F11" t="s">
        <v>1116</v>
      </c>
      <c r="G11" t="s">
        <v>1119</v>
      </c>
      <c r="H11" t="s">
        <v>1045</v>
      </c>
      <c r="I11" t="s">
        <v>1045</v>
      </c>
      <c r="J11" t="s">
        <v>1052</v>
      </c>
      <c r="K11" t="s">
        <v>1053</v>
      </c>
      <c r="L11" t="s">
        <v>921</v>
      </c>
      <c r="M11" t="s">
        <v>1120</v>
      </c>
      <c r="N11" t="s">
        <v>1128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5",</v>
      </c>
      <c r="U11" t="str">
        <f t="shared" si="3"/>
        <v>"theme-light5":"Tema ligero 5",</v>
      </c>
    </row>
    <row r="12" spans="1:21" x14ac:dyDescent="0.3">
      <c r="A12" t="s">
        <v>1769</v>
      </c>
      <c r="B12" t="s">
        <v>1047</v>
      </c>
      <c r="C12" t="s">
        <v>1046</v>
      </c>
      <c r="D12" t="s">
        <v>1050</v>
      </c>
      <c r="E12" t="s">
        <v>1049</v>
      </c>
      <c r="F12" t="s">
        <v>1048</v>
      </c>
      <c r="G12" t="s">
        <v>1051</v>
      </c>
      <c r="H12" t="s">
        <v>1045</v>
      </c>
      <c r="I12" t="s">
        <v>1045</v>
      </c>
      <c r="J12" t="s">
        <v>1052</v>
      </c>
      <c r="K12" t="s">
        <v>1053</v>
      </c>
      <c r="L12" t="s">
        <v>921</v>
      </c>
      <c r="M12" t="s">
        <v>1774</v>
      </c>
      <c r="N12" t="s">
        <v>1775</v>
      </c>
      <c r="R12" t="str">
        <f t="shared" si="0"/>
        <v>.theme-test{--col-background-1:#b3e5fc;--col-background-0:#e6ffff;--col-border-0:#82b3c9;--col-background-3:#e1bee7;--col-background-2:#fff1ff;--col-border-1:#af8eb5;--col-text-0:#000000;--col-text-1:#000000;--col-dis-back:#dc8665;--col-dis-fore:#cd7672;}</v>
      </c>
      <c r="S12" t="str">
        <f t="shared" si="1"/>
        <v>"test":"light"</v>
      </c>
      <c r="T12" t="str">
        <f t="shared" si="2"/>
        <v>"theme-test":"Light theme 6",</v>
      </c>
      <c r="U12" t="str">
        <f t="shared" si="3"/>
        <v>"theme-test":"Tema ligero 6",</v>
      </c>
    </row>
    <row r="13" spans="1:21" x14ac:dyDescent="0.3">
      <c r="A13" t="s">
        <v>1778</v>
      </c>
      <c r="B13" t="s">
        <v>1045</v>
      </c>
      <c r="C13" t="s">
        <v>1773</v>
      </c>
      <c r="D13" t="s">
        <v>1779</v>
      </c>
      <c r="E13" t="s">
        <v>1780</v>
      </c>
      <c r="F13" t="s">
        <v>1772</v>
      </c>
      <c r="G13" t="s">
        <v>1772</v>
      </c>
      <c r="H13" t="s">
        <v>1770</v>
      </c>
      <c r="I13" t="s">
        <v>1781</v>
      </c>
      <c r="J13" t="s">
        <v>1061</v>
      </c>
      <c r="K13" t="s">
        <v>1060</v>
      </c>
      <c r="L13" t="s">
        <v>918</v>
      </c>
      <c r="M13" t="s">
        <v>1105</v>
      </c>
      <c r="N13" t="s">
        <v>1124</v>
      </c>
      <c r="R13" t="str">
        <f t="shared" si="0"/>
        <v>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S13" t="str">
        <f t="shared" si="1"/>
        <v>"darktest":"dark"</v>
      </c>
      <c r="T13" t="str">
        <f t="shared" si="2"/>
        <v>"theme-darktest":"Dark theme 5"</v>
      </c>
      <c r="U13" t="str">
        <f t="shared" si="3"/>
        <v>"theme-darktest":"Tema oscuro 5"</v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1" priority="1"/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1817C-0BFD-42DE-B32B-BE62A9B631B2}">
  <dimension ref="A1:E26"/>
  <sheetViews>
    <sheetView workbookViewId="0">
      <selection activeCell="C10" sqref="C10"/>
    </sheetView>
  </sheetViews>
  <sheetFormatPr defaultRowHeight="14.4" x14ac:dyDescent="0.3"/>
  <cols>
    <col min="1" max="1" width="42" customWidth="1"/>
    <col min="2" max="2" width="15.44140625" customWidth="1"/>
  </cols>
  <sheetData>
    <row r="1" spans="1:5" x14ac:dyDescent="0.3">
      <c r="A1" t="s">
        <v>92</v>
      </c>
      <c r="B1" t="s">
        <v>1749</v>
      </c>
      <c r="C1" t="s">
        <v>771</v>
      </c>
      <c r="D1" t="s">
        <v>1750</v>
      </c>
      <c r="E1" s="18" t="str">
        <f>_xlfn.CONCAT(D:D)</f>
        <v>const settings = {"lang":["en-us", "es-mx"].indexOf(possibleLang) &gt;= 0 ? possibleLang : "en-us","theme":"theme-light","gLinesMinor":false,"gLinesMajor":true,"gLinesMega":false,"showOutline":false,"gridSize":6,"guidesEnabled":true,"showLabels":true,"showExeOrder":false,"snapToGrid":true,"etyCap":false}</v>
      </c>
    </row>
    <row r="2" spans="1:5" x14ac:dyDescent="0.3">
      <c r="A2" t="s">
        <v>1754</v>
      </c>
      <c r="B2" t="s">
        <v>1751</v>
      </c>
      <c r="C2" t="s">
        <v>1752</v>
      </c>
      <c r="D2" t="str">
        <f>IF(ISBLANK(B2),"",""""&amp;B2&amp;""":"&amp;C2&amp;IF(ISBLANK(B3),"}",","))</f>
        <v>"lang":["en-us", "es-mx"].indexOf(possibleLang) &gt;= 0 ? possibleLang : "en-us",</v>
      </c>
    </row>
    <row r="3" spans="1:5" x14ac:dyDescent="0.3">
      <c r="A3" t="s">
        <v>1755</v>
      </c>
      <c r="B3" t="s">
        <v>686</v>
      </c>
      <c r="C3" t="s">
        <v>1765</v>
      </c>
      <c r="D3" t="str">
        <f t="shared" ref="D3:D26" si="0">IF(ISBLANK(B3),"",""""&amp;B3&amp;""":"&amp;C3&amp;IF(ISBLANK(B4),"}",","))</f>
        <v>"theme":"theme-light",</v>
      </c>
    </row>
    <row r="4" spans="1:5" x14ac:dyDescent="0.3">
      <c r="A4" t="s">
        <v>1756</v>
      </c>
      <c r="B4" t="s">
        <v>739</v>
      </c>
      <c r="C4" s="1" t="s">
        <v>39</v>
      </c>
      <c r="D4" t="str">
        <f t="shared" si="0"/>
        <v>"gLinesMinor":false,</v>
      </c>
    </row>
    <row r="5" spans="1:5" x14ac:dyDescent="0.3">
      <c r="A5" t="s">
        <v>1757</v>
      </c>
      <c r="B5" t="s">
        <v>740</v>
      </c>
      <c r="C5" s="1" t="s">
        <v>1753</v>
      </c>
      <c r="D5" t="str">
        <f t="shared" si="0"/>
        <v>"gLinesMajor":true,</v>
      </c>
    </row>
    <row r="6" spans="1:5" x14ac:dyDescent="0.3">
      <c r="A6" t="s">
        <v>1758</v>
      </c>
      <c r="B6" t="s">
        <v>741</v>
      </c>
      <c r="C6" s="1" t="s">
        <v>39</v>
      </c>
      <c r="D6" t="str">
        <f t="shared" si="0"/>
        <v>"gLinesMega":false,</v>
      </c>
    </row>
    <row r="7" spans="1:5" x14ac:dyDescent="0.3">
      <c r="A7" t="s">
        <v>1759</v>
      </c>
      <c r="B7" t="s">
        <v>753</v>
      </c>
      <c r="C7" s="1" t="s">
        <v>39</v>
      </c>
      <c r="D7" t="str">
        <f t="shared" si="0"/>
        <v>"showOutline":false,</v>
      </c>
    </row>
    <row r="8" spans="1:5" x14ac:dyDescent="0.3">
      <c r="A8" t="s">
        <v>1760</v>
      </c>
      <c r="B8" t="s">
        <v>752</v>
      </c>
      <c r="C8">
        <v>6</v>
      </c>
      <c r="D8" t="str">
        <f t="shared" si="0"/>
        <v>"gridSize":6,</v>
      </c>
    </row>
    <row r="9" spans="1:5" x14ac:dyDescent="0.3">
      <c r="A9" t="s">
        <v>1761</v>
      </c>
      <c r="B9" t="s">
        <v>759</v>
      </c>
      <c r="C9" s="1" t="s">
        <v>1753</v>
      </c>
      <c r="D9" t="str">
        <f t="shared" si="0"/>
        <v>"guidesEnabled":true,</v>
      </c>
    </row>
    <row r="10" spans="1:5" x14ac:dyDescent="0.3">
      <c r="A10" t="s">
        <v>1762</v>
      </c>
      <c r="B10" t="s">
        <v>857</v>
      </c>
      <c r="C10" s="1" t="s">
        <v>1753</v>
      </c>
      <c r="D10" t="str">
        <f t="shared" si="0"/>
        <v>"showLabels":true,</v>
      </c>
    </row>
    <row r="11" spans="1:5" x14ac:dyDescent="0.3">
      <c r="A11" t="s">
        <v>1763</v>
      </c>
      <c r="B11" t="s">
        <v>972</v>
      </c>
      <c r="C11" s="1" t="s">
        <v>39</v>
      </c>
      <c r="D11" t="str">
        <f t="shared" si="0"/>
        <v>"showExeOrder":false,</v>
      </c>
    </row>
    <row r="12" spans="1:5" x14ac:dyDescent="0.3">
      <c r="A12" t="s">
        <v>1030</v>
      </c>
      <c r="B12" t="s">
        <v>1029</v>
      </c>
      <c r="C12" s="1" t="s">
        <v>1753</v>
      </c>
      <c r="D12" t="str">
        <f t="shared" si="0"/>
        <v>"snapToGrid":true,</v>
      </c>
    </row>
    <row r="13" spans="1:5" x14ac:dyDescent="0.3">
      <c r="A13" t="s">
        <v>1764</v>
      </c>
      <c r="B13" t="s">
        <v>1768</v>
      </c>
      <c r="C13" s="1" t="s">
        <v>39</v>
      </c>
      <c r="D13" t="str">
        <f t="shared" si="0"/>
        <v>"etyCap":false}</v>
      </c>
    </row>
    <row r="14" spans="1:5" x14ac:dyDescent="0.3">
      <c r="D14" t="str">
        <f t="shared" si="0"/>
        <v/>
      </c>
    </row>
    <row r="15" spans="1:5" x14ac:dyDescent="0.3">
      <c r="D15" t="str">
        <f t="shared" si="0"/>
        <v/>
      </c>
    </row>
    <row r="16" spans="1:5" x14ac:dyDescent="0.3">
      <c r="D16" t="str">
        <f t="shared" si="0"/>
        <v/>
      </c>
    </row>
    <row r="17" spans="4:4" x14ac:dyDescent="0.3">
      <c r="D17" t="str">
        <f t="shared" si="0"/>
        <v/>
      </c>
    </row>
    <row r="18" spans="4:4" x14ac:dyDescent="0.3">
      <c r="D18" t="str">
        <f t="shared" si="0"/>
        <v/>
      </c>
    </row>
    <row r="19" spans="4:4" x14ac:dyDescent="0.3">
      <c r="D19" t="str">
        <f t="shared" si="0"/>
        <v/>
      </c>
    </row>
    <row r="20" spans="4:4" x14ac:dyDescent="0.3">
      <c r="D20" t="str">
        <f t="shared" si="0"/>
        <v/>
      </c>
    </row>
    <row r="21" spans="4:4" x14ac:dyDescent="0.3">
      <c r="D21" t="str">
        <f t="shared" si="0"/>
        <v/>
      </c>
    </row>
    <row r="22" spans="4:4" x14ac:dyDescent="0.3">
      <c r="D22" t="str">
        <f t="shared" si="0"/>
        <v/>
      </c>
    </row>
    <row r="23" spans="4:4" x14ac:dyDescent="0.3">
      <c r="D23" t="str">
        <f t="shared" si="0"/>
        <v/>
      </c>
    </row>
    <row r="24" spans="4:4" x14ac:dyDescent="0.3">
      <c r="D24" t="str">
        <f t="shared" si="0"/>
        <v/>
      </c>
    </row>
    <row r="25" spans="4:4" x14ac:dyDescent="0.3">
      <c r="D25" t="str">
        <f t="shared" si="0"/>
        <v/>
      </c>
    </row>
    <row r="26" spans="4:4" x14ac:dyDescent="0.3">
      <c r="D26" t="str">
        <f t="shared" si="0"/>
        <v/>
      </c>
    </row>
  </sheetData>
  <conditionalFormatting sqref="B1:B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int-prev</vt:lpstr>
      <vt:lpstr>int</vt:lpstr>
      <vt:lpstr>constsNvars</vt:lpstr>
      <vt:lpstr>themes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2021-03-24T07:48:03Z</dcterms:modified>
</cp:coreProperties>
</file>