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0F1EBE77-1EE9-4E88-8E5E-81AE1BA4C8C7}" xr6:coauthVersionLast="47" xr6:coauthVersionMax="47" xr10:uidLastSave="{00000000-0000-0000-0000-000000000000}"/>
  <bookViews>
    <workbookView xWindow="-108" yWindow="-108" windowWidth="23256" windowHeight="1245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javascriptKeycodes" sheetId="12" r:id="rId11"/>
    <sheet name="kBoardShortsExtra" sheetId="13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K15" i="11"/>
  <c r="A5" i="11"/>
  <c r="A6" i="11"/>
  <c r="A7" i="11"/>
  <c r="A8" i="11"/>
  <c r="A9" i="11"/>
  <c r="A10" i="1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4" i="11"/>
  <c r="H3" i="20"/>
  <c r="H4" i="20"/>
  <c r="H16" i="20"/>
  <c r="H15" i="20"/>
  <c r="H14" i="20"/>
  <c r="H13" i="20"/>
  <c r="H12" i="20"/>
  <c r="H11" i="20"/>
  <c r="H10" i="20"/>
  <c r="H9" i="20"/>
  <c r="H8" i="20"/>
  <c r="H7" i="20"/>
  <c r="H6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7" i="11"/>
  <c r="J27" i="11"/>
  <c r="K27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26" i="11"/>
  <c r="J26" i="11"/>
  <c r="K26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<sst xmlns="http://schemas.openxmlformats.org/spreadsheetml/2006/main" count="3343" uniqueCount="2308">
  <si>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</si>
  <si>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</si>
  <si>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</si>
  <si>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</si>
  <si>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</si>
  <si>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</si>
  <si>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</si>
  <si>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</si>
  <si>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</si>
  <si>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</si>
  <si>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</si>
  <si>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</si>
  <si>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</si>
  <si>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</si>
  <si>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</si>
  <si>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</si>
  <si>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</si>
  <si>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</si>
  <si>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</si>
  <si>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</si>
  <si>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</si>
  <si>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</si>
  <si>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</si>
  <si>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</si>
  <si>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</si>
  <si>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</si>
  <si>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</si>
  <si>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</si>
  <si>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</si>
  <si>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</si>
  <si>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</si>
  <si>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</si>
  <si>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</si>
  <si>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</si>
  <si>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</si>
  <si>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</si>
  <si>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</si>
  <si>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</si>
  <si>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</si>
  <si>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</si>
  <si>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</si>
  <si>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</si>
  <si>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</si>
  <si>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</si>
  <si>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</si>
  <si>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</si>
  <si>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</si>
  <si>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</si>
  <si>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</si>
  <si>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</si>
  <si>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</si>
  <si>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</si>
  <si>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</si>
  <si>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</si>
  <si>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</si>
  <si>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</si>
  <si>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</si>
  <si>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</si>
  <si>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</si>
  <si>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</si>
  <si>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</si>
  <si>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</si>
  <si>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</si>
  <si>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</si>
  <si>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</si>
  <si>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</si>
  <si>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</si>
  <si>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</si>
  <si>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</si>
  <si>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</si>
  <si>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</si>
  <si>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</si>
  <si>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</si>
  <si>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</si>
  <si>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</si>
  <si>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</si>
  <si>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</si>
  <si>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</si>
  <si>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</si>
  <si>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</si>
  <si>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</si>
  <si>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</si>
  <si>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</si>
  <si>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</si>
  <si>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</si>
  <si>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</si>
  <si>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</si>
  <si>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</si>
  <si>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</si>
  <si>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</si>
  <si>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</si>
  <si>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</si>
  <si>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</si>
  <si>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</si>
  <si>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</si>
  <si>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</si>
  <si>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</si>
  <si>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</si>
  <si>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</si>
  <si>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</si>
  <si>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</si>
  <si>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</si>
  <si>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</si>
  <si>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</si>
  <si>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</si>
  <si>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</si>
  <si>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</si>
  <si>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</si>
  <si>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</si>
  <si>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</si>
  <si>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</si>
  <si>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</si>
  <si>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</si>
  <si>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</si>
  <si>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</si>
  <si>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</si>
  <si>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</si>
  <si>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</si>
  <si>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</si>
  <si>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</si>
  <si>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</si>
  <si>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</si>
  <si>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</si>
  <si>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</si>
  <si>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</si>
  <si>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</si>
  <si>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</si>
  <si>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</si>
  <si>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</si>
  <si>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</si>
  <si>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</si>
  <si>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</si>
  <si>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</si>
  <si>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</si>
  <si>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</si>
  <si>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</si>
  <si>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</si>
  <si>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</si>
  <si>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</si>
  <si>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</si>
  <si>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</si>
  <si>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</si>
  <si>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</si>
  <si>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</si>
  <si>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</si>
  <si>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</si>
  <si>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</si>
  <si>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</si>
  <si>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</si>
  <si>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</si>
  <si>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</si>
  <si>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</si>
  <si>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</si>
  <si>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</si>
  <si>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</si>
  <si>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</si>
  <si>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</si>
  <si>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</si>
  <si>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</si>
  <si>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</si>
  <si>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</si>
  <si>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</si>
  <si>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</si>
  <si>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</si>
  <si>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</si>
  <si>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</si>
  <si>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</si>
  <si>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</si>
  <si>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</si>
  <si>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</si>
  <si>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</si>
  <si>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</si>
  <si>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</si>
  <si>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</si>
  <si>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</si>
  <si>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</si>
  <si>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</si>
  <si>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</si>
  <si>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</si>
  <si>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</si>
  <si>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</si>
  <si>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</si>
  <si>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</si>
  <si>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</si>
  <si>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</si>
  <si>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</si>
  <si>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</si>
  <si>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</si>
  <si>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</si>
  <si>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</si>
  <si>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</si>
  <si>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</si>
  <si>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</si>
  <si>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</si>
  <si>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</si>
  <si>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</si>
  <si>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</si>
  <si>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</si>
  <si>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</si>
  <si>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</si>
  <si>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</si>
  <si>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</si>
  <si>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</si>
  <si>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</si>
  <si>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</si>
  <si>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</si>
  <si>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</si>
  <si>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</si>
  <si>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</si>
  <si>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</si>
  <si>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</si>
  <si>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</si>
  <si>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</si>
  <si>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</si>
  <si>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</si>
  <si>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</si>
  <si>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</si>
  <si>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</si>
  <si>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</si>
  <si>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</si>
  <si>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</si>
  <si>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</si>
  <si>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</si>
  <si>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</si>
  <si>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</si>
  <si>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</si>
  <si>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</si>
  <si>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</si>
  <si>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</si>
  <si>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</si>
  <si>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</si>
  <si>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</si>
  <si>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</si>
  <si>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</si>
  <si>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</si>
  <si>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</si>
  <si>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</si>
  <si>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</si>
  <si>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</si>
  <si>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</si>
  <si>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</si>
  <si>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</si>
  <si>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</si>
  <si>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</si>
  <si>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</si>
  <si>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</si>
  <si>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</si>
  <si>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</si>
  <si>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</si>
  <si>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</si>
  <si>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</si>
  <si>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</si>
  <si>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</si>
  <si>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</si>
  <si>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</si>
  <si>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</si>
  <si>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</si>
  <si>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</si>
  <si>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</si>
  <si>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</si>
  <si>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</si>
  <si>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</si>
  <si>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</si>
  <si>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</si>
  <si>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</si>
  <si>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</si>
  <si>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</si>
  <si>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</si>
  <si>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</si>
  <si>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</si>
  <si>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</si>
  <si>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</si>
  <si>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</si>
  <si>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</si>
  <si>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</si>
  <si>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</si>
  <si>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</si>
  <si>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</si>
  <si>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</si>
  <si>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</si>
  <si>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</si>
  <si>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</si>
  <si>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</si>
  <si>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</si>
  <si>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</si>
  <si>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</si>
  <si>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</si>
  <si>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</si>
  <si>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</si>
  <si>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</si>
  <si>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</si>
  <si>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</si>
  <si>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</si>
  <si>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</si>
  <si>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</si>
  <si>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</si>
  <si>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</si>
  <si>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</si>
  <si>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</si>
  <si>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</si>
  <si>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</si>
  <si>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</si>
  <si>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</si>
  <si>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</si>
  <si>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</si>
  <si>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</si>
  <si>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</si>
  <si>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</si>
  <si>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</si>
  <si>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</si>
  <si>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</si>
  <si>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</si>
  <si>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</si>
  <si>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</si>
  <si>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</si>
  <si>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</si>
  <si>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</si>
  <si>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</si>
  <si>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</si>
  <si>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</si>
  <si>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</si>
  <si>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</si>
  <si>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</si>
  <si>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</si>
  <si>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</si>
  <si>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</si>
  <si>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</si>
  <si>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</si>
  <si>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</si>
  <si>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</si>
  <si>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</si>
  <si>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</si>
  <si>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</si>
  <si>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</si>
  <si>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</si>
  <si>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</si>
  <si>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</si>
  <si>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</si>
  <si>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</si>
  <si>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</si>
  <si>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</si>
  <si>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</si>
  <si>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</si>
  <si>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</si>
  <si>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</si>
  <si>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</si>
  <si>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</si>
  <si>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</si>
  <si>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</si>
  <si>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</si>
  <si>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</si>
  <si>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</si>
  <si>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</si>
  <si>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</si>
  <si>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</si>
  <si>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</si>
  <si>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</si>
  <si>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</si>
  <si>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</si>
  <si>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</si>
  <si>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</si>
  <si>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</si>
  <si>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</si>
  <si>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</si>
  <si>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</si>
  <si>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</si>
  <si>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</si>
  <si>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</si>
  <si>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</si>
  <si>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</si>
  <si>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</si>
  <si>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</si>
  <si>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</si>
  <si>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</si>
  <si>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</si>
  <si>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</si>
  <si>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</si>
  <si>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</si>
  <si>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</si>
  <si>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</si>
  <si>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</si>
  <si>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</si>
  <si>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</si>
  <si>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</si>
  <si>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</si>
  <si>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</si>
  <si>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</si>
  <si>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</si>
  <si>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</si>
  <si>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</si>
  <si>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</si>
  <si>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</si>
  <si>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</si>
  <si>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</si>
  <si>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</si>
  <si>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</si>
  <si>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</si>
  <si>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</si>
  <si>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</si>
  <si>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</si>
  <si>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</si>
  <si>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</si>
  <si>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</si>
  <si>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</si>
  <si>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</si>
  <si>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</si>
  <si>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</si>
  <si>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</si>
  <si>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</si>
  <si>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</si>
  <si>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</si>
  <si>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</si>
  <si>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</si>
  <si>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</si>
  <si>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</si>
  <si>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</si>
  <si>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</si>
  <si>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</si>
  <si>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</si>
  <si>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</si>
  <si>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</si>
  <si>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</si>
  <si>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</si>
  <si>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</si>
  <si>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</si>
  <si>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</si>
  <si>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</si>
  <si>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</si>
  <si>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</si>
  <si>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</si>
  <si>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</si>
  <si>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</si>
  <si>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</si>
  <si>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</si>
  <si>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</si>
  <si>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</si>
  <si>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</si>
  <si>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</si>
  <si>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</si>
  <si>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</si>
  <si>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</si>
  <si>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</si>
  <si>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</si>
  <si>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</si>
  <si>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</si>
  <si>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</si>
  <si>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</si>
  <si>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</si>
  <si>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</si>
  <si>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</si>
  <si>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</si>
  <si>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</si>
  <si>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</si>
  <si>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</si>
  <si>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</si>
  <si>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</si>
  <si>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</si>
  <si>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</si>
  <si>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</si>
  <si>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</si>
  <si>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</si>
  <si>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</si>
  <si>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</si>
  <si>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</si>
  <si>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</si>
  <si>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</si>
  <si>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</si>
  <si>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</si>
  <si>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</si>
  <si>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</si>
  <si>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</si>
  <si>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</si>
  <si>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</si>
  <si>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</si>
  <si>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</si>
  <si>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</si>
  <si>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</si>
  <si>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</si>
  <si>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</si>
  <si>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</si>
  <si>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</si>
  <si>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</si>
  <si>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</si>
  <si>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</si>
  <si>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</si>
  <si>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</si>
  <si>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</si>
  <si>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</si>
  <si>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</si>
  <si>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</si>
  <si>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</si>
  <si>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</si>
  <si>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</si>
  <si>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</si>
  <si>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</si>
  <si>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</si>
  <si>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</si>
  <si>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</si>
  <si>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</si>
  <si>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</si>
  <si>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</si>
  <si>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</si>
  <si>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</si>
  <si>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</si>
  <si>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</si>
  <si>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</si>
  <si>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</si>
  <si>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</si>
  <si>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</si>
  <si>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</si>
  <si>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</si>
  <si>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</si>
  <si>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</si>
  <si>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</si>
  <si>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</si>
  <si>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</si>
  <si>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</si>
  <si>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</si>
  <si>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</si>
  <si>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</si>
  <si>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</si>
  <si>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</si>
  <si>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</si>
  <si>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</si>
  <si>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</si>
  <si>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</si>
  <si>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</si>
  <si>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</si>
  <si>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</si>
  <si>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</si>
  <si>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</si>
  <si>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</si>
  <si>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</si>
  <si>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</si>
  <si>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</si>
  <si>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</si>
  <si>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</si>
  <si>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</si>
  <si>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</si>
  <si>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</si>
  <si>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</si>
  <si>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</si>
  <si>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</si>
  <si>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</si>
  <si>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</si>
  <si>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</si>
  <si>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</si>
  <si>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</si>
  <si>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</si>
  <si>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</si>
  <si>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</si>
  <si>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</si>
  <si>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</si>
  <si>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</si>
  <si>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</si>
  <si>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</si>
  <si>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</si>
  <si>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</si>
  <si>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</si>
  <si>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</si>
  <si>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</si>
  <si>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</si>
  <si>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</si>
  <si>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</si>
  <si>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</si>
  <si>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</si>
  <si>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</si>
  <si>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</si>
  <si>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</si>
  <si>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</si>
  <si>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</si>
  <si>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</si>
  <si>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</si>
  <si>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</si>
  <si>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</si>
  <si>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</si>
  <si>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</si>
  <si>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</si>
  <si>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</si>
  <si>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</si>
  <si>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</si>
  <si>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</si>
  <si>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</si>
  <si>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</si>
  <si>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</si>
  <si>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</si>
  <si>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</si>
  <si>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</si>
  <si>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</si>
  <si>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</si>
  <si>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</si>
  <si>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</si>
  <si>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</si>
  <si>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</si>
  <si>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</si>
  <si>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</si>
  <si>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</si>
  <si>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</si>
  <si>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</si>
  <si>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</si>
  <si>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</si>
  <si>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</si>
  <si>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</si>
  <si>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</si>
  <si>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</si>
  <si>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</si>
  <si>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</si>
  <si>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</si>
  <si>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</si>
  <si>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</si>
  <si>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</si>
  <si>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</si>
  <si>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</si>
  <si>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</si>
  <si>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</si>
  <si>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</si>
  <si>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</si>
  <si>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</si>
  <si>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</si>
  <si>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</si>
  <si>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</si>
  <si>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</si>
  <si>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</si>
  <si>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</si>
  <si>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</si>
  <si>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</si>
  <si>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</si>
  <si>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</si>
  <si>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</si>
  <si>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</si>
  <si>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</si>
  <si>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</si>
  <si>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</si>
  <si>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</si>
  <si>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</si>
  <si>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</si>
  <si>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</si>
  <si>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</si>
  <si>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</si>
  <si>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</si>
  <si>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</si>
  <si>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</si>
  <si>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</si>
  <si>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</si>
  <si>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</si>
  <si>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</si>
  <si>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</si>
  <si>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</si>
  <si>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</si>
  <si>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</si>
  <si>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</si>
  <si>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</si>
  <si>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</si>
  <si>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</si>
  <si>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</si>
  <si>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</si>
  <si>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</si>
  <si>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</si>
  <si>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</si>
  <si>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</si>
  <si>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</si>
  <si>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</si>
  <si>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</si>
  <si>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</si>
  <si>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</si>
  <si>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</si>
  <si>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</si>
  <si>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</si>
  <si>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</si>
  <si>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</si>
  <si>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</si>
  <si>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</si>
  <si>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</si>
  <si>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</si>
  <si>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</si>
  <si>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</si>
  <si>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</si>
  <si>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</si>
  <si>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</si>
  <si>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</si>
  <si>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</si>
  <si>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</si>
  <si>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</si>
  <si>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</si>
  <si>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</si>
  <si>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</si>
  <si>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</si>
  <si>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</si>
  <si>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</si>
  <si>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</si>
  <si>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</si>
  <si>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</si>
  <si>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</si>
  <si>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</si>
  <si>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</si>
  <si>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</si>
  <si>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</si>
  <si>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</si>
  <si>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</si>
  <si>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</si>
  <si>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</si>
  <si>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</si>
  <si>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</si>
  <si>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</si>
  <si>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</si>
  <si>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</si>
  <si>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</si>
  <si>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</si>
  <si>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</si>
  <si>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</si>
  <si>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</si>
  <si>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</si>
  <si>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</si>
  <si>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</si>
  <si>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</si>
  <si>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</si>
  <si>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</si>
  <si>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</si>
  <si>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</si>
  <si>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</si>
  <si>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</si>
  <si>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</si>
  <si>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</si>
  <si>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</si>
  <si>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</si>
  <si>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</si>
  <si>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</si>
  <si>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</si>
  <si>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</si>
  <si>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</si>
  <si>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</si>
  <si>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</si>
  <si>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</si>
  <si>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</si>
  <si>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</si>
  <si>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</si>
  <si>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</si>
  <si>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</si>
  <si>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</si>
  <si>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</si>
  <si>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</si>
  <si>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</si>
  <si>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</si>
  <si>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</si>
  <si>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</si>
  <si>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</si>
  <si>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</si>
  <si>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</si>
  <si>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</si>
  <si>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</si>
  <si>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</si>
  <si>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</si>
  <si>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</si>
  <si>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</si>
  <si>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</si>
  <si>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</si>
  <si>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</si>
  <si>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</si>
  <si>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</si>
  <si>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</si>
  <si>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</si>
  <si>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</si>
  <si>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</si>
  <si>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</si>
  <si>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</si>
  <si>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</si>
  <si>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</si>
  <si>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</si>
  <si>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</si>
  <si>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</si>
  <si>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</si>
  <si>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</si>
  <si>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</si>
  <si>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</si>
  <si>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</si>
  <si>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</si>
  <si>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</si>
  <si>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</si>
  <si>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</si>
  <si>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</si>
  <si>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</si>
  <si>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</si>
  <si>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</si>
  <si>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</si>
  <si>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</si>
  <si>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</si>
  <si>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</si>
  <si>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</si>
  <si>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</si>
  <si>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</si>
  <si>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</si>
  <si>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</si>
  <si>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</si>
  <si>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</si>
  <si>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</si>
  <si>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</si>
  <si>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</si>
  <si>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</si>
  <si>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</si>
  <si>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</si>
  <si>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</si>
  <si>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</si>
  <si>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</si>
  <si>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</si>
  <si>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</si>
  <si>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</si>
  <si>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</si>
  <si>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</si>
  <si>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</si>
  <si>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</si>
  <si>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</si>
  <si>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</si>
  <si>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</si>
  <si>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</si>
  <si>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</si>
  <si>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</si>
  <si>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</si>
  <si>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</si>
  <si>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</si>
  <si>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</si>
  <si>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</si>
  <si>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</si>
  <si>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</si>
  <si>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</si>
  <si>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</si>
  <si>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</si>
  <si>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</si>
  <si>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</si>
  <si>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</si>
  <si>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</si>
  <si>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</si>
  <si>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</si>
  <si>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</si>
  <si>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</si>
  <si>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</si>
  <si>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</si>
  <si>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</si>
  <si>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</si>
  <si>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</si>
  <si>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</si>
  <si>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</si>
  <si>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</si>
  <si>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</si>
  <si>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</si>
  <si>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</si>
  <si>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</si>
  <si>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</si>
  <si>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</si>
  <si>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</si>
  <si>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</si>
  <si>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</si>
  <si>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</si>
  <si>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</si>
  <si>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</si>
  <si>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</si>
  <si>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</si>
  <si>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</si>
  <si>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</si>
  <si>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</si>
  <si>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</si>
  <si>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</si>
  <si>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</si>
  <si>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</si>
  <si>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</si>
  <si>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</si>
  <si>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</si>
  <si>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</si>
  <si>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</si>
  <si>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</si>
  <si>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</si>
  <si>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</si>
  <si>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</si>
  <si>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</si>
  <si>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</si>
  <si>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</si>
  <si>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</si>
  <si>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</si>
  <si>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</si>
  <si>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</si>
  <si>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</si>
  <si>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</si>
  <si>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</si>
  <si>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</si>
  <si>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</si>
  <si>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</si>
  <si>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</si>
  <si>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</si>
  <si>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</si>
  <si>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</si>
  <si>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</si>
  <si>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</si>
  <si>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</si>
  <si>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</si>
  <si>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</si>
  <si>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</si>
  <si>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</si>
  <si>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</si>
  <si>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</si>
  <si>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</si>
  <si>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</si>
  <si>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</si>
  <si>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</si>
  <si>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</si>
  <si>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</si>
  <si>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</si>
  <si>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</si>
  <si>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</si>
  <si>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</si>
  <si>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</si>
  <si>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</si>
  <si>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</si>
  <si>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</si>
  <si>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</si>
  <si>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</si>
  <si>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</si>
  <si>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</si>
  <si>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</si>
  <si>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</si>
  <si>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</si>
  <si>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</si>
  <si>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</si>
  <si>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</si>
  <si>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</si>
  <si>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</si>
  <si>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</si>
  <si>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</si>
  <si>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</si>
  <si>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</si>
  <si>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</si>
  <si>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</si>
  <si>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</si>
  <si>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</si>
  <si>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</si>
  <si>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</si>
  <si>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</si>
  <si>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</si>
  <si>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</si>
  <si>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</si>
  <si>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</si>
  <si>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</si>
  <si>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</si>
  <si>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</si>
  <si>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</si>
  <si>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</si>
  <si>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</si>
  <si>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</si>
  <si>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</si>
  <si>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</si>
  <si>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</si>
  <si>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</si>
  <si>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</si>
  <si>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</si>
  <si>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</si>
  <si>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</si>
  <si>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</si>
  <si>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</si>
  <si>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</si>
  <si>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</si>
  <si>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</si>
  <si>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</si>
  <si>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</si>
  <si>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</si>
  <si>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</si>
  <si>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</si>
  <si>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</si>
  <si>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</si>
  <si>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</si>
  <si>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</si>
  <si>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</si>
  <si>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</si>
  <si>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</si>
  <si>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</si>
  <si>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</si>
  <si>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</si>
  <si>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</si>
  <si>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</si>
  <si>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</si>
  <si>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</si>
  <si>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</si>
  <si>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</si>
  <si>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</si>
  <si>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</si>
  <si>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</si>
  <si>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</si>
  <si>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</si>
  <si>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</si>
  <si>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</si>
  <si>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</si>
  <si>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</si>
  <si>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</si>
  <si>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</si>
  <si>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</si>
  <si>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</si>
  <si>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</si>
  <si>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</si>
  <si>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</si>
  <si>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</si>
  <si>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</si>
  <si>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</si>
  <si>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</si>
  <si>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</si>
  <si>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</si>
  <si>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</si>
  <si>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</si>
  <si>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</si>
  <si>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</si>
  <si>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</si>
  <si>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</si>
  <si>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</si>
  <si>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</si>
  <si>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</si>
  <si>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</si>
  <si>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</si>
  <si>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</si>
  <si>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</si>
  <si>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</si>
  <si>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</si>
  <si>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</si>
  <si>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</si>
  <si>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</si>
  <si>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</si>
  <si>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</si>
  <si>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</si>
  <si>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</si>
  <si>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</si>
  <si>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</si>
  <si>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</si>
  <si>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</si>
  <si>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</si>
  <si>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</si>
  <si>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</si>
  <si>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</si>
  <si>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</si>
  <si>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</si>
  <si>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</si>
  <si>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</si>
  <si>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</si>
  <si>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</si>
  <si>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</si>
  <si>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</si>
  <si>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</si>
  <si>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</si>
  <si>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</si>
  <si>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</si>
  <si>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</si>
  <si>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</si>
  <si>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</si>
  <si>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</si>
  <si>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</si>
  <si>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</si>
  <si>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</si>
  <si>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</si>
  <si>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</si>
  <si>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</si>
  <si>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</si>
  <si>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</si>
  <si>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</si>
  <si>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</si>
  <si>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</si>
  <si>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</si>
  <si>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</si>
  <si>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</si>
  <si>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</si>
  <si>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</si>
  <si>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</si>
  <si>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</si>
  <si>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</si>
  <si>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</si>
  <si>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</si>
  <si>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</si>
  <si>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</si>
  <si>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</si>
  <si>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</si>
  <si>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</si>
  <si>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</si>
  <si>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</si>
  <si>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</si>
  <si>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</si>
  <si>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</si>
  <si>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</si>
  <si>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</si>
  <si>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</si>
  <si>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</si>
  <si>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</si>
  <si>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</si>
  <si>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</si>
  <si>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</si>
  <si>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</si>
  <si>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</si>
  <si>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</si>
  <si>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</si>
  <si>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</si>
  <si>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</si>
  <si>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</si>
  <si>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</si>
  <si>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</si>
  <si>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</si>
  <si>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</si>
  <si>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</si>
  <si>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</si>
  <si>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</si>
  <si>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</si>
  <si>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</si>
  <si>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</si>
  <si>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</si>
  <si>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</si>
  <si>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</si>
  <si>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</si>
  <si>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</si>
  <si>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</si>
  <si>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</si>
  <si>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</si>
  <si>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</si>
  <si>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</si>
  <si>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</si>
  <si>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</si>
  <si>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</si>
  <si>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</si>
  <si>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</si>
  <si>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</si>
  <si>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</si>
  <si>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</si>
  <si>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</si>
  <si>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</si>
  <si>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</si>
  <si>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</si>
  <si>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</si>
  <si>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</si>
  <si>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</si>
  <si>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</si>
  <si>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</si>
  <si>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</si>
  <si>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</si>
  <si>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</si>
  <si>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</si>
  <si>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</si>
  <si>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</si>
  <si>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</si>
  <si>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</si>
  <si>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</si>
  <si>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</si>
  <si>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</si>
  <si>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</si>
  <si>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</si>
  <si>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</si>
  <si>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</si>
  <si>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</si>
  <si>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</si>
  <si>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</si>
  <si>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</si>
  <si>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</si>
  <si>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</si>
  <si>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</si>
  <si>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</si>
  <si>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</si>
  <si>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</si>
  <si>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</si>
  <si>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</si>
  <si>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</si>
  <si>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</si>
  <si>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</si>
  <si>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</si>
  <si>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</si>
  <si>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</si>
  <si>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</si>
  <si>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</si>
  <si>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</si>
  <si>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</si>
  <si>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</si>
  <si>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</si>
  <si>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</si>
  <si>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</si>
  <si>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</si>
  <si>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</si>
  <si>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</si>
  <si>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</si>
  <si>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</si>
  <si>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</si>
  <si>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</si>
  <si>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</si>
  <si>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</si>
  <si>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</si>
  <si>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</si>
  <si>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</si>
  <si>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</si>
  <si>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</si>
  <si>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</si>
  <si>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</si>
  <si>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</si>
  <si>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</si>
  <si>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</si>
  <si>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</si>
  <si>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</si>
  <si>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</si>
  <si>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</si>
  <si>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</si>
  <si>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</si>
  <si>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</si>
  <si>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</si>
  <si>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</si>
  <si>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</si>
  <si>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</si>
  <si>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</si>
  <si>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</si>
  <si>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</si>
  <si>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</si>
  <si>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</si>
  <si>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</si>
  <si>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</si>
  <si>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</si>
  <si>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</si>
  <si>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</si>
  <si>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</si>
  <si>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</si>
  <si>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</si>
  <si>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</si>
  <si>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</si>
  <si>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</si>
  <si>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</si>
  <si>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</si>
  <si>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</si>
  <si>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</si>
  <si>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</si>
  <si>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</si>
  <si>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</si>
  <si>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</si>
  <si>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</si>
  <si>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</si>
  <si>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</si>
  <si>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</si>
  <si>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</si>
  <si>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</si>
  <si>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</si>
  <si>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</si>
  <si>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</si>
  <si>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</si>
  <si>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</si>
  <si>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</si>
  <si>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</si>
  <si>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</si>
  <si>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</si>
  <si>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</si>
  <si>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</si>
  <si>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</si>
  <si>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</si>
  <si>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</si>
  <si>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</si>
  <si>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</si>
  <si>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</si>
  <si>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</si>
  <si>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</si>
  <si>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</si>
  <si>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</si>
  <si>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</si>
  <si>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</si>
  <si>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</si>
  <si>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</si>
  <si>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</si>
  <si>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</si>
  <si>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</si>
  <si>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</si>
  <si>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</si>
  <si>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</si>
  <si>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</si>
  <si>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</si>
  <si>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</si>
  <si>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</si>
  <si>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</si>
  <si>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</si>
  <si>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</si>
  <si>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</si>
  <si>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</si>
  <si>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</si>
  <si>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</si>
  <si>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</si>
  <si>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</si>
  <si>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</si>
  <si>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</si>
  <si>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</si>
  <si>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</si>
  <si>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</si>
  <si>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</si>
  <si>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</si>
  <si>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</si>
  <si>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</si>
  <si>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</si>
  <si>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</si>
  <si>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</si>
  <si>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</si>
  <si>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</si>
  <si>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</si>
  <si>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</si>
  <si>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</si>
  <si>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</si>
  <si>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</si>
  <si>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</si>
  <si>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</si>
  <si>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</si>
  <si>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</si>
  <si>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</si>
  <si>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</si>
  <si>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</si>
  <si>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</si>
  <si>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</si>
  <si>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</si>
  <si>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</si>
  <si>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</si>
  <si>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</si>
  <si>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</si>
  <si>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</si>
  <si>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</si>
  <si>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</si>
  <si>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</si>
  <si>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</si>
  <si>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</si>
  <si>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</si>
  <si>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</si>
  <si>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</si>
  <si>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</si>
  <si>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</si>
  <si>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</si>
  <si>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</si>
  <si>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</si>
  <si>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</si>
  <si>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</si>
  <si>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</si>
  <si>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</si>
  <si>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</si>
  <si>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</si>
  <si>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</si>
  <si>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</si>
  <si>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</si>
  <si>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</si>
  <si>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</si>
  <si>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</si>
  <si>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</si>
  <si>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</si>
  <si>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</si>
  <si>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</si>
  <si>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</si>
  <si>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</si>
  <si>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</si>
  <si>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</si>
  <si>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</si>
  <si>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</si>
  <si>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</si>
  <si>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</si>
  <si>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</si>
  <si>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</si>
  <si>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</si>
  <si>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</si>
  <si>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</si>
  <si>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</si>
  <si>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</si>
  <si>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</si>
  <si>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</si>
  <si>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</si>
  <si>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</si>
  <si>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</si>
  <si>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</si>
  <si>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</si>
  <si>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</si>
  <si>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</si>
  <si>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</si>
  <si>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</si>
  <si>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</si>
  <si>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</si>
  <si>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</si>
  <si>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</si>
  <si>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</si>
  <si>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</si>
  <si>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</si>
  <si>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</si>
  <si>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</si>
  <si>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</si>
  <si>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</si>
  <si>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</si>
  <si>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</si>
  <si>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</si>
  <si>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</si>
  <si>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</si>
  <si>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</si>
  <si>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</si>
  <si>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</si>
  <si>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</si>
  <si>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</si>
  <si>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</si>
  <si>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</si>
  <si>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</si>
  <si>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</si>
  <si>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</si>
  <si>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</si>
  <si>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</si>
  <si>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</si>
  <si>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</si>
  <si>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</si>
  <si>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</si>
  <si>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</si>
  <si>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</si>
  <si>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</si>
  <si>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</si>
  <si>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</si>
  <si>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</si>
  <si>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</si>
  <si>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</si>
  <si>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</si>
  <si>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</si>
  <si>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</si>
  <si>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</si>
  <si>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</si>
  <si>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</si>
  <si>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</si>
  <si>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</si>
  <si>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</si>
  <si>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</si>
  <si>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</si>
  <si>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</si>
  <si>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</si>
  <si>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</si>
  <si>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</si>
  <si>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</si>
  <si>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</si>
  <si>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</si>
  <si>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</si>
  <si>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</si>
  <si>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</si>
  <si>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</si>
  <si>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</si>
  <si>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</si>
  <si>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</si>
  <si>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</si>
  <si>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</si>
  <si>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</si>
  <si>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</si>
  <si>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</si>
  <si>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</si>
  <si>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</si>
  <si>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</si>
  <si>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</si>
  <si>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</si>
  <si>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</si>
  <si>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</si>
  <si>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</si>
  <si>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</si>
  <si>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</si>
  <si>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</si>
  <si>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</si>
  <si>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</si>
  <si>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</si>
  <si>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</si>
  <si>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</si>
  <si>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</si>
  <si>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</si>
  <si>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</si>
  <si>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</si>
  <si>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</si>
  <si>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</si>
  <si>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</si>
  <si>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</si>
  <si>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</si>
  <si>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</si>
  <si>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</si>
  <si>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</si>
  <si>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</si>
  <si>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</si>
  <si>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</si>
  <si>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</si>
  <si>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</si>
  <si>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</si>
  <si>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</si>
  <si>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</si>
  <si>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</si>
  <si>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</si>
  <si>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</si>
  <si>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</si>
  <si>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</si>
  <si>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</si>
  <si>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</si>
  <si>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</si>
  <si>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</si>
  <si>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</si>
  <si>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</si>
  <si>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</si>
  <si>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</si>
  <si>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</si>
  <si>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</si>
  <si>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</si>
  <si>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</si>
  <si>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</si>
  <si>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</si>
  <si>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</si>
  <si>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</si>
  <si>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</si>
  <si>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</si>
  <si>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</si>
  <si>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</si>
  <si>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</si>
  <si>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</si>
  <si>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</si>
  <si>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</si>
  <si>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</si>
  <si>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</si>
  <si>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</si>
  <si>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</si>
  <si>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</si>
  <si>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</si>
  <si>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</si>
  <si>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</si>
  <si>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</si>
  <si>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</si>
  <si>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</si>
  <si>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</si>
  <si>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</si>
  <si>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</si>
  <si>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</si>
  <si>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</si>
  <si>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</si>
  <si>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</si>
  <si>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</si>
  <si>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</si>
  <si>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</si>
  <si>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</si>
  <si>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</si>
  <si>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</si>
  <si>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</si>
  <si>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</si>
  <si>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</si>
  <si>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</si>
  <si>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</si>
  <si>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</si>
  <si>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</si>
  <si>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</si>
  <si>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</si>
  <si>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</si>
  <si>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</si>
  <si>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</si>
  <si>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</si>
  <si>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</si>
  <si>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</si>
  <si>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</si>
  <si>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</si>
  <si>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</si>
  <si>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</si>
  <si>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</si>
  <si>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</si>
  <si>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</si>
  <si>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</si>
  <si>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</si>
  <si>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</si>
  <si>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</si>
  <si>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</si>
  <si>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</si>
  <si>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</si>
  <si>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</si>
  <si>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</si>
  <si>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</si>
  <si>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</si>
  <si>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</si>
  <si>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</si>
  <si>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</si>
  <si>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</si>
  <si>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</si>
  <si>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</si>
  <si>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</si>
  <si>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</si>
  <si>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</si>
  <si>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</si>
  <si>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</si>
  <si>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</si>
  <si>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</si>
  <si>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</si>
  <si>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</si>
  <si>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</si>
  <si>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</si>
  <si>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</si>
  <si>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</si>
  <si>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</si>
  <si>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</si>
  <si>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</si>
  <si>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</si>
  <si>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</si>
  <si>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</si>
  <si>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</si>
  <si>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</si>
  <si>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</si>
  <si>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</si>
  <si>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</si>
  <si>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</si>
  <si>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</si>
  <si>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</si>
  <si>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</si>
  <si>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</si>
  <si>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</si>
  <si>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</si>
  <si>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</si>
  <si>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</si>
  <si>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</si>
  <si>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</si>
  <si>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</si>
  <si>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</si>
  <si>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</si>
  <si>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</si>
  <si>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</si>
  <si>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</si>
  <si>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</si>
  <si>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</si>
  <si>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</si>
  <si>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</si>
  <si>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</si>
  <si>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</si>
  <si>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</si>
  <si>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</si>
  <si>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</si>
  <si>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</si>
  <si>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</si>
  <si>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</si>
  <si>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</si>
  <si>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</si>
  <si>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</si>
  <si>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</si>
  <si>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</si>
  <si>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</si>
  <si>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</si>
  <si>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</si>
  <si>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</si>
  <si>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</si>
  <si>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</si>
  <si>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</si>
  <si>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</si>
  <si>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</si>
  <si>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</si>
  <si>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</si>
  <si>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</si>
  <si>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</si>
  <si>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</si>
  <si>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</si>
  <si>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</si>
  <si>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</si>
  <si>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</si>
  <si>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</si>
  <si>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</si>
  <si>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</si>
  <si>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</si>
  <si>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</si>
  <si>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</si>
  <si>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</si>
  <si>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</si>
  <si>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</si>
  <si>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</si>
  <si>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</si>
  <si>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</si>
  <si>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</si>
  <si>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</si>
  <si>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</si>
  <si>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</si>
  <si>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</si>
  <si>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</si>
  <si>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</si>
  <si>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</si>
  <si>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</si>
  <si>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</si>
  <si>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</si>
  <si>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</si>
  <si>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</si>
  <si>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</si>
  <si>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</si>
  <si>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</si>
  <si>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</si>
  <si>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</si>
  <si>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</si>
  <si>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</si>
  <si>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</si>
  <si>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</si>
  <si>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</si>
  <si>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</si>
  <si>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</si>
  <si>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</si>
  <si>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</si>
  <si>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</si>
  <si>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</si>
  <si>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</si>
  <si>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</si>
  <si>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</si>
  <si>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</si>
  <si>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</si>
  <si>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</si>
  <si>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</si>
  <si>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</si>
  <si>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</si>
  <si>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</si>
  <si>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</si>
  <si>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</si>
  <si>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</si>
  <si>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</si>
  <si>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</si>
  <si>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</si>
  <si>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</si>
  <si>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</si>
  <si>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</si>
  <si>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</si>
  <si>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</si>
  <si>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</si>
  <si>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</si>
  <si>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</si>
  <si>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</si>
  <si>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</si>
  <si>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</si>
  <si>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</si>
  <si>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</si>
  <si>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</si>
  <si>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</si>
  <si>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</si>
  <si>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</si>
  <si>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</si>
  <si>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</si>
  <si>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</si>
  <si>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</si>
  <si>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</si>
  <si>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</si>
  <si>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</si>
  <si>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</si>
  <si>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</si>
  <si>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</si>
  <si>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</si>
  <si>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</si>
  <si>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</si>
  <si>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</si>
  <si>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</si>
  <si>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</si>
  <si>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</si>
  <si>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</si>
  <si>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</si>
  <si>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</si>
  <si>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</si>
  <si>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</si>
  <si>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</si>
  <si>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</si>
  <si>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</si>
  <si>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</si>
  <si>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</si>
  <si>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</si>
  <si>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</si>
  <si>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</si>
  <si>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</si>
  <si>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</si>
  <si>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</si>
  <si>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</si>
  <si>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</si>
  <si>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</si>
  <si>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</si>
  <si>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</si>
  <si>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</si>
  <si>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</si>
  <si>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</si>
  <si>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</si>
  <si>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</si>
  <si>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</si>
  <si>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</si>
  <si>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</si>
  <si>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</si>
  <si>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</si>
  <si>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</si>
  <si>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</si>
  <si>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</si>
  <si>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</si>
  <si>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</si>
  <si>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</si>
  <si>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</si>
  <si>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</si>
  <si>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</si>
  <si>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</si>
  <si>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</si>
  <si>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</si>
  <si>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</si>
  <si>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</si>
  <si>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</si>
  <si>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</si>
  <si>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</si>
  <si>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</si>
  <si>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</si>
  <si>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</si>
  <si>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</si>
  <si>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</si>
  <si>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</si>
  <si>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</si>
  <si>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</si>
  <si>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</si>
  <si>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</si>
  <si>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</si>
  <si>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</si>
  <si>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</si>
  <si>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</si>
  <si>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</si>
  <si>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</si>
  <si>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</si>
  <si>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</si>
  <si>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</si>
  <si>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</si>
  <si>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</si>
  <si>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</si>
  <si>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</si>
  <si>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</si>
  <si>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</si>
  <si>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</si>
  <si>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</si>
  <si>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</si>
  <si>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</si>
  <si>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</si>
  <si>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</si>
  <si>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</si>
  <si>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</si>
  <si>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</si>
  <si>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</si>
  <si>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</si>
  <si>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</si>
  <si>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</si>
  <si>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</si>
  <si>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</si>
  <si>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</si>
  <si>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</si>
  <si>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</si>
  <si>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</si>
  <si>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</si>
  <si>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</si>
  <si>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</si>
  <si>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</si>
  <si>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</si>
  <si>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</si>
  <si>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</si>
  <si>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</si>
  <si>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</si>
  <si>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</si>
  <si>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</si>
  <si>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</si>
  <si>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</si>
  <si>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</si>
  <si>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</si>
  <si>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</si>
  <si>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</si>
  <si>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</si>
  <si>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</si>
  <si>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</si>
  <si>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</si>
  <si>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</si>
  <si>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</si>
  <si>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</si>
  <si>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</si>
  <si>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</si>
  <si>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</si>
  <si>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</si>
  <si>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</si>
  <si>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</si>
  <si>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</si>
  <si>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</si>
  <si>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</si>
  <si>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</si>
  <si>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</si>
  <si>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</si>
  <si>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</si>
  <si>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</si>
  <si>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</si>
  <si>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</si>
  <si>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</si>
  <si>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</si>
  <si>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</si>
  <si>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</si>
  <si>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</si>
  <si>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</si>
  <si>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</si>
  <si>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</si>
  <si>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</si>
  <si>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</si>
  <si>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</si>
  <si>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</si>
  <si>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</si>
  <si>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</si>
  <si>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</si>
  <si>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</si>
  <si>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</si>
  <si>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</si>
  <si>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</si>
  <si>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</si>
  <si>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</si>
  <si>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</si>
  <si>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</si>
  <si>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</si>
  <si>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</si>
  <si>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</si>
  <si>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</si>
  <si>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</si>
  <si>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</si>
  <si>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</si>
  <si>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</si>
  <si>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</si>
  <si>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</si>
  <si>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</si>
  <si>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</si>
  <si>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</si>
  <si>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</si>
  <si>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</si>
  <si>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</si>
  <si>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</si>
  <si>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</si>
  <si>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</si>
  <si>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</si>
  <si>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</si>
  <si>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</si>
  <si>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</si>
  <si>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</si>
  <si>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</si>
  <si>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</si>
  <si>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</si>
  <si>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maxTotalHistory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</si>
  <si>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</si>
  <si>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</si>
  <si>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</si>
  <si>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</si>
  <si>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</si>
  <si>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</si>
  <si>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</si>
  <si>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</si>
  <si>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</si>
  <si>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</si>
  <si>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</si>
  <si>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</si>
  <si>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</si>
  <si>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</si>
  <si>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</si>
  <si>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</si>
  <si>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</si>
  <si>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</si>
  <si>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</si>
  <si>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</si>
  <si>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</si>
  <si>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</si>
  <si>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</si>
  <si>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</si>
  <si>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</si>
  <si>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</si>
  <si>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</si>
  <si>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</si>
  <si>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</si>
  <si>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</si>
  <si>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</si>
  <si>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</si>
  <si>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</si>
  <si>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</si>
  <si>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</si>
  <si>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</si>
  <si>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</si>
  <si>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</si>
  <si>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</si>
  <si>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</si>
  <si>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</si>
  <si>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</si>
  <si>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</si>
  <si>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</si>
  <si>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</si>
  <si>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</si>
  <si>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</si>
  <si>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</si>
  <si>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</si>
  <si>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</si>
  <si>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</si>
  <si>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</si>
  <si>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</si>
  <si>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</si>
  <si>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</si>
  <si>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</si>
  <si>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</si>
  <si>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</si>
  <si>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</si>
  <si>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</si>
  <si>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</si>
  <si>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</si>
  <si>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</si>
  <si>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</si>
  <si>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</si>
  <si>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</si>
  <si>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</si>
  <si>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</si>
  <si>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</si>
  <si>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</si>
  <si>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</si>
  <si>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</si>
  <si>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</si>
  <si>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</si>
  <si>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</si>
  <si>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</si>
  <si>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</si>
  <si>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</si>
  <si>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</si>
  <si>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</si>
  <si>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</si>
  <si>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</si>
  <si>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</si>
  <si>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</si>
  <si>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</si>
  <si>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</si>
  <si>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</si>
  <si>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</si>
  <si>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</si>
  <si>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</si>
  <si>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</si>
  <si>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</si>
  <si>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</si>
  <si>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</si>
  <si>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</si>
  <si>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</si>
  <si>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</si>
  <si>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</si>
  <si>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</si>
  <si>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</si>
  <si>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</si>
  <si>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</si>
  <si>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</si>
  <si>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</si>
  <si>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</si>
  <si>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</si>
  <si>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</si>
  <si>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</si>
  <si>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</si>
  <si>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</si>
  <si>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</si>
  <si>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</si>
  <si>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</si>
  <si>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</si>
  <si>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</si>
  <si>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</si>
  <si>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</si>
  <si>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</si>
  <si>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</si>
  <si>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</si>
  <si>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</si>
  <si>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</si>
  <si>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</si>
  <si>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</si>
  <si>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</si>
  <si>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</si>
  <si>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</si>
  <si>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</si>
  <si>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</si>
  <si>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</si>
  <si>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</si>
  <si>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</si>
  <si>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</si>
  <si>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</si>
  <si>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</si>
  <si>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</si>
  <si>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</si>
  <si>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</si>
  <si>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</si>
  <si>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</si>
  <si>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</si>
  <si>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</si>
  <si>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</si>
  <si>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</si>
  <si>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</si>
  <si>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</si>
  <si>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</si>
  <si>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</si>
  <si>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</si>
  <si>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</si>
  <si>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</si>
  <si>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</si>
  <si>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</si>
  <si>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</si>
  <si>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</si>
  <si>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</si>
  <si>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</si>
  <si>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</si>
  <si>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</si>
  <si>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</si>
  <si>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</si>
  <si>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</si>
  <si>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</si>
  <si>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</si>
  <si>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</si>
  <si>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</si>
  <si>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</si>
  <si>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</si>
  <si>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</si>
  <si>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</si>
  <si>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</si>
  <si>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</si>
  <si>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</si>
  <si>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</si>
  <si>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</si>
  <si>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</si>
  <si>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</si>
  <si>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</si>
  <si>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</si>
  <si>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</si>
  <si>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</si>
  <si>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</si>
  <si>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</si>
  <si>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</si>
  <si>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</si>
  <si>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</si>
  <si>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</si>
  <si>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</si>
  <si>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</si>
  <si>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</si>
  <si>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</si>
  <si>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</si>
  <si>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</si>
  <si>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</si>
  <si>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</si>
  <si>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</si>
  <si>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</si>
  <si>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</si>
  <si>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</si>
  <si>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</si>
  <si>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</si>
  <si>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</si>
  <si>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</si>
  <si>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</si>
  <si>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</si>
  <si>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</si>
  <si>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</si>
  <si>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</si>
  <si>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</si>
  <si>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</si>
  <si>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</si>
  <si>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</si>
  <si>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</si>
  <si>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</si>
  <si>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</si>
  <si>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</si>
  <si>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</si>
  <si>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</si>
  <si>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</si>
  <si>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</si>
  <si>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</si>
  <si>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</si>
  <si>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</si>
  <si>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</si>
  <si>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</si>
  <si>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</si>
  <si>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</si>
  <si>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</si>
  <si>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</si>
  <si>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</si>
  <si>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</si>
  <si>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</si>
  <si>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</si>
  <si>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</si>
  <si>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</si>
  <si>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</si>
  <si>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</si>
  <si>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</si>
  <si>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</si>
  <si>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</si>
  <si>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</si>
  <si>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</si>
  <si>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</si>
  <si>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</si>
  <si>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</si>
  <si>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</si>
  <si>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</si>
  <si>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</si>
  <si>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</si>
  <si>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</si>
  <si>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</si>
  <si>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</si>
  <si>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</si>
  <si>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</si>
  <si>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</si>
  <si>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</si>
  <si>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</si>
  <si>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</si>
  <si>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</si>
  <si>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</si>
  <si>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</si>
  <si>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</si>
  <si>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</si>
  <si>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</si>
  <si>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</si>
  <si>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</si>
  <si>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</si>
  <si>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</si>
  <si>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</si>
  <si>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</si>
  <si>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</si>
  <si>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</si>
  <si>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</si>
  <si>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</si>
  <si>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</si>
  <si>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</si>
  <si>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</si>
  <si>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</si>
  <si>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</si>
  <si>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</si>
  <si>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</si>
  <si>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</si>
  <si>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</si>
  <si>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</si>
  <si>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</si>
  <si>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</si>
  <si>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</si>
  <si>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</si>
  <si>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</si>
  <si>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</si>
  <si>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</si>
  <si>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</si>
  <si>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umk_1694403449663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</si>
  <si>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</si>
  <si>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</si>
  <si>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</si>
  <si>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</si>
  <si>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</si>
  <si>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</si>
  <si>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</si>
  <si>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</si>
  <si>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</si>
  <si>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</si>
  <si>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</si>
  <si>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</si>
  <si>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</si>
  <si>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</si>
  <si>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</si>
  <si>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</si>
  <si>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</si>
  <si>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</si>
  <si>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</si>
  <si>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</si>
  <si>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</si>
  <si>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</si>
  <si>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</si>
  <si>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y='61'font-size='7em'&gt;&amp;#x2696;&lt;/text&gt;&lt;/g&gt;","bg":"","fg":"","width":72,"height":48,"keywords":"","category":["routing"],"name":{"en-us":"Compare","es-mx":"Comparar"},"desc":{"en-us":"Compare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</si>
  <si>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y='85'font-size='2em'&gt;max&lt;/text&gt;&lt;/g&gt;","bg":"","fg":"","width":48,"height":48,"keywords":"","category":["routing"],"name":{"en-us":"Choose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</si>
  <si>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y='85'font-size='2em'&gt;min&lt;/text&gt;&lt;/g&gt;","bg":"","fg":"","width":48,"height":48,"keywords":"","category":["routing"],"name":{"en-us":"Choose min","es-mx":"Elija min"},"desc":{"en-us":"Prepares output by taking element with minimum value from each input","es-mx":"Prepara la salida tomando el elemento con el valor mínimo de cada entrada."}}</t>
  </si>
  <si>
    <t>&lt;text x='10' y='55'fill='var(--col-text-0)' stroke-width='1' font-size='1.5em'&gt;sat(u)&lt;/text&gt;</t>
  </si>
  <si>
    <t>umk_1704846786288</t>
  </si>
  <si>
    <t>Saturation</t>
  </si>
  <si>
    <t>Saturación</t>
  </si>
  <si>
    <t>The input is limited between the selected upper and lower limits.</t>
  </si>
  <si>
    <t>La entrada está limitada entre los límites superior e inferior seleccionados.</t>
  </si>
  <si>
    <t>Input selector</t>
  </si>
  <si>
    <t>Selector de entrada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</si>
  <si>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d='M10,50L30,50L40,40'/&gt;","bg":"","fg":"","width":72,"height":72,"keywords":"","category":["routing"],"name":{"en-us":"Input selector","es-mx":"Selector de entrada"},"desc":{"en-us":"Select a the input based on condition","es-mx":"Seleccione una entrada basada en la condición"}}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</si>
  <si>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</si>
  <si>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</t>
  </si>
  <si>
    <t>,"umk_1590046944883":{"icon":"&lt;g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</si>
  <si>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</si>
  <si>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</si>
  <si>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</t>
  </si>
  <si>
    <t>,"umk_1694398255523":{"icon":"&lt;g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</si>
  <si>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,"umk_1694403449663":{"icon":"&lt;g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</si>
  <si>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Limit output data points</t>
  </si>
  <si>
    <t>Limitar los puntos de datos de salida</t>
  </si>
  <si>
    <t>editorVue.rpSettings.showExeOrder = !editorVue.rpSettings.showExeOrder</t>
  </si>
  <si>
    <t>,"umk_1704846786288":{"icon":"&lt;text x='10' y='55'fill='var(--col-text-0)' stroke-width='1' font-size='1.5em'&gt;sat(u)&lt;/text&gt;","bg":"","fg":"","width":72,"height":48,"keywords":"","category":["basics"],"name":{"en-us":"Saturation","es-mx":"Saturación"},"desc":{"en-us":"The input is limited between the selected upper and lower limits.","es-mx":"La entrada está limitada entre los límites superior e inferior seleccionados."}}</t>
  </si>
  <si>
    <t>[1,0]</t>
  </si>
  <si>
    <t>editorVue.rpSettings.showOutline=!editorVue.rpSettings.showOutline</t>
  </si>
  <si>
    <t>&lt;g stroke-width='1' fill='var(--col-text-0)'&gt;&lt;text x='6' y='60'font-size='2em'&gt;Atan2&lt;/text&gt;&lt;/g&gt;</t>
  </si>
  <si>
    <t>atan2</t>
  </si>
  <si>
    <t>Devuelve la tangente inversa 2 de la entrada.</t>
  </si>
  <si>
    <t>Returns the inverse tangent 2 of the input</t>
  </si>
  <si>
    <t>umk_1738274825996</t>
  </si>
  <si>
    <t>,"umk_1738274825996":{"icon":"&lt;g stroke-width='1' fill='var(--col-text-0)'&gt;&lt;text x='6' y='60'font-size='2em'&gt;Atan2&lt;/text&gt;&lt;/g&gt;","bg":"","fg":"","width":72,"height":48,"keywords":"","category":["trig"],"name":{"en-us":"atan2","es-mx":"atan2"},"desc":{"en-us":"Returns the inverse tangent 2 of the input","es-mx":"Devuelve la tangente inversa 2 de la entrada."}}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</si>
  <si>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</si>
  <si>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umk_1774369913335</t>
  </si>
  <si>
    <t>Digital input</t>
  </si>
  <si>
    <t>Entrada digital</t>
  </si>
  <si>
    <t>Digital input receives data from the selected channel from the selected COM port.</t>
  </si>
  <si>
    <t>La entrada digital recibe datos del canal seleccionado desde el puerto COM seleccionado.</t>
  </si>
  <si>
    <t>Show hardware link</t>
  </si>
  <si>
    <t>Displays a diag to select the hardware link.</t>
  </si>
  <si>
    <t>Mostrar enlace de hardware</t>
  </si>
  <si>
    <t>Muestra una ventana para seleccionar el enlace de hardware.</t>
  </si>
  <si>
    <t>hardwareVue.toggleDisplay()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</si>
  <si>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modelos"},"prtBelow":true,"func":"varManagerVue.showGUI()"},{"icon":"fab fa-usb","kbShort":{"ctrl":false,"alt":false,"shift":true,"key":"h","keycode":"72","langCode":"key_h"},"text":{"en-us":"Show hardware link","es-mx":"Mostrar enlace de hardware"},"moreInfo":{"en-us":"Displays a diag to select the hardware link.","es-mx":"Muestra una ventana para seleccionar el enlace de hardware."},"prtBelow":true,"func":"hardwareVue.toggleDisplay()"},{"icon":"far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derecha"},"prtBelow":false,"func":"editorVue.rpSettings.showOutline=!editorVue.rpSettings.showOutline"}]},{"icon":"fas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errores."},"prtBelow":false,"func":"editorVue.rpSettings.showExeOrder = !editorVue.rpSettings.showExeOrder"}]},{"icon":"far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</si>
  <si>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serialPorts</t>
  </si>
  <si>
    <t>errBrowserNoSupportSerial</t>
  </si>
  <si>
    <t>Serial ports</t>
  </si>
  <si>
    <t>This browser doesn't support serial port. Use compatible browser.</t>
  </si>
  <si>
    <t>Puertos serie</t>
  </si>
  <si>
    <t>Este navegador no es compatible con puertos serie. Utilice un navegador compatible.</t>
  </si>
  <si>
    <t>umk_1774706876440</t>
  </si>
  <si>
    <t>Salida digital</t>
  </si>
  <si>
    <t>La salida digital envía datos al canal seleccionado desde el puerto COM seleccionado.</t>
  </si>
  <si>
    <t>Digital output sends data to the selected channel from the selected COM port.</t>
  </si>
  <si>
    <t>&lt;text x='50' y='57' dominant-baseline='middle' text-anchor='middle' font-size='3em' stroke-width='0.5'&gt;DI&lt;/text&gt;</t>
  </si>
  <si>
    <t>&lt;text x='50' y='57' dominant-baseline='middle' text-anchor='middle' font-size='3em' stroke-width='0.5'&gt;DO&lt;/text&gt;</t>
  </si>
  <si>
    <t>&lt;text x='50' y='57' dominant-baseline='middle' text-anchor='middle' font-size='3em' stroke-width='0.5'&gt;AI&lt;/text&gt;</t>
  </si>
  <si>
    <t>&lt;text x='50' y='57' dominant-baseline='middle' text-anchor='middle' font-size='3em' stroke-width='0.5'&gt;PWM&lt;/text&gt;</t>
  </si>
  <si>
    <t>&lt;text x='50' y='57' dominant-baseline='middle' text-anchor='middle' font-size='3em' stroke-width='0.5'&gt;ENC&lt;/text&gt;</t>
  </si>
  <si>
    <t>umk_1774714186082</t>
  </si>
  <si>
    <t>umk_1774714197073</t>
  </si>
  <si>
    <t>umk_1774714206020</t>
  </si>
  <si>
    <t>Analog input</t>
  </si>
  <si>
    <t>PWM</t>
  </si>
  <si>
    <t>Encoder</t>
  </si>
  <si>
    <t>Digital output</t>
  </si>
  <si>
    <t>Analog input receives data from the selected channel from the selected COM port.</t>
  </si>
  <si>
    <t>Pulse width modulation sends analog data to the selected channel from the selected COM port.</t>
  </si>
  <si>
    <t>Reads encoder data from selected pins of COM port.</t>
  </si>
  <si>
    <t>Entrada analógica</t>
  </si>
  <si>
    <t>Codificador</t>
  </si>
  <si>
    <t>La entrada analógica recibe datos del canal seleccionado a través del puerto COM seleccionado.</t>
  </si>
  <si>
    <t>La modulación por ancho de pulso (PWM) envía datos analógicos al canal seleccionado desde el puerto COM seleccionado.</t>
  </si>
  <si>
    <t>Lee los datos del codificador desde los pines seleccionados del puerto COM.</t>
  </si>
  <si>
    <t>,"umk_1774369913335":{"icon":"&lt;text x='50' y='57' dominant-baseline='middle' text-anchor='middle' font-size='3em' stroke-width='0.5'&gt;DI&lt;/text&gt;","bg":"","fg":"","width":48,"height":48,"keywords":"","category":["hardware"],"name":{"en-us":"Digital input","es-mx":"Entrada digital"},"desc":{"en-us":"Digital input receives data from the selected channel from the selected COM port.","es-mx":"La entrada digital recibe datos del canal seleccionado desde el puerto COM seleccionado."}}</t>
  </si>
  <si>
    <t>,"umk_1774706876440":{"icon":"&lt;text x='50' y='57' dominant-baseline='middle' text-anchor='middle' font-size='3em' stroke-width='0.5'&gt;DO&lt;/text&gt;","bg":"","fg":"","width":48,"height":48,"keywords":"","category":["hardware"],"name":{"en-us":"Digital output","es-mx":"Salida digital"},"desc":{"en-us":"Digital output sends data to the selected channel from the selected COM port.","es-mx":"La salida digital envía datos al canal seleccionado desde el puerto COM seleccionado."}}</t>
  </si>
  <si>
    <t>,"umk_1774714186082":{"icon":"&lt;text x='50' y='57' dominant-baseline='middle' text-anchor='middle' font-size='3em' stroke-width='0.5'&gt;AI&lt;/text&gt;","bg":"","fg":"","width":48,"height":48,"keywords":"","category":["hardware"],"name":{"en-us":"Analog input","es-mx":"Entrada analógica"},"desc":{"en-us":"Analog input receives data from the selected channel from the selected COM port.","es-mx":"La entrada analógica recibe datos del canal seleccionado a través del puerto COM seleccionado."}}</t>
  </si>
  <si>
    <t>,"umk_1774714197073":{"icon":"&lt;text x='50' y='57' dominant-baseline='middle' text-anchor='middle' font-size='3em' stroke-width='0.5'&gt;PWM&lt;/text&gt;","bg":"","fg":"","width":48,"height":48,"keywords":"","category":["hardware"],"name":{"en-us":"PWM","es-mx":"PWM"},"desc":{"en-us":"Pulse width modulation sends analog data to the selected channel from the selected COM port.","es-mx":"La modulación por ancho de pulso (PWM) envía datos analógicos al canal seleccionado desde el puerto COM seleccionado."}}</t>
  </si>
  <si>
    <t>,"umk_1774714206020":{"icon":"&lt;text x='50' y='57' dominant-baseline='middle' text-anchor='middle' font-size='3em' stroke-width='0.5'&gt;ENC&lt;/text&gt;","bg":"","fg":"","width":48,"height":48,"keywords":"","category":["hardware"],"name":{"en-us":"Encoder","es-mx":"Codificador"},"desc":{"en-us":"Reads encoder data from selected pins of COM port.","es-mx":"Lee los datos del codificador desde los pines seleccionados del puerto COM."}}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</si>
</sst>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/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1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3" sqref="C3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59" zoomScaleNormal="100" workbookViewId="0">
      <selection activeCell="A173" sqref="A173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output data points","waitPRLoad":"Wait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signal","serialPorts":"Serial ports","errBrowserNoSupportSerial":"This browser doesn't support serial port. Use compatible browser."},"es-mx":{"hide":"Esconder","hide_left_desc":"Hides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capción","maxTotalHistory":"Limitar los puntos de datos de salida","waitPRLoad":"Espere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señal.","serialPorts":"Puertos serie","errBrowserNoSupportSerial":"Este navegador no es compatible con puertos serie. Utilice un navegador compatible."}};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1622</v>
      </c>
      <c r="C129" t="s">
        <v>1623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1624</v>
      </c>
      <c r="C130" t="s">
        <v>1625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1900</v>
      </c>
      <c r="B135" t="s">
        <v>1905</v>
      </c>
      <c r="C135" t="s">
        <v>1904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1901</v>
      </c>
      <c r="B136" t="s">
        <v>1903</v>
      </c>
      <c r="C136" t="s">
        <v>1902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970</v>
      </c>
      <c r="B165" t="s">
        <v>975</v>
      </c>
      <c r="C165" t="s">
        <v>976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971</v>
      </c>
      <c r="B166" t="s">
        <v>972</v>
      </c>
      <c r="C166" t="s">
        <v>973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977</v>
      </c>
      <c r="B167" t="s">
        <v>980</v>
      </c>
      <c r="C167" t="s">
        <v>983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978</v>
      </c>
      <c r="B168" t="s">
        <v>981</v>
      </c>
      <c r="C168" t="s">
        <v>984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979</v>
      </c>
      <c r="B169" t="s">
        <v>982</v>
      </c>
      <c r="C169" t="s">
        <v>985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996</v>
      </c>
      <c r="B170" t="s">
        <v>991</v>
      </c>
      <c r="C170" t="s">
        <v>987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997</v>
      </c>
      <c r="B171" t="s">
        <v>986</v>
      </c>
      <c r="C171" t="s">
        <v>988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998</v>
      </c>
      <c r="B172" t="s">
        <v>989</v>
      </c>
      <c r="C172" t="s">
        <v>990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999</v>
      </c>
      <c r="B173" t="s">
        <v>992</v>
      </c>
      <c r="C173" t="s">
        <v>993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1000</v>
      </c>
      <c r="B174" t="s">
        <v>994</v>
      </c>
      <c r="C174" t="s">
        <v>995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1001</v>
      </c>
      <c r="B175" t="s">
        <v>1002</v>
      </c>
      <c r="C175" t="s">
        <v>1003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1004</v>
      </c>
      <c r="B176" t="s">
        <v>1005</v>
      </c>
      <c r="C176" t="s">
        <v>1006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1009</v>
      </c>
      <c r="B177" t="s">
        <v>1007</v>
      </c>
      <c r="C177" t="s">
        <v>1008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1010</v>
      </c>
      <c r="B178" t="s">
        <v>1011</v>
      </c>
      <c r="C178" t="s">
        <v>1012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1013</v>
      </c>
      <c r="B179" t="s">
        <v>1026</v>
      </c>
      <c r="C179" t="s">
        <v>1027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1014</v>
      </c>
      <c r="B180" t="s">
        <v>1015</v>
      </c>
      <c r="C180" t="s">
        <v>1016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1017</v>
      </c>
      <c r="B181" t="s">
        <v>1018</v>
      </c>
      <c r="C181" t="s">
        <v>1019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1020</v>
      </c>
      <c r="B182" t="s">
        <v>1022</v>
      </c>
      <c r="C182" t="s">
        <v>1024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1021</v>
      </c>
      <c r="B183" t="s">
        <v>1023</v>
      </c>
      <c r="C183" t="s">
        <v>1025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1028</v>
      </c>
      <c r="B184" t="s">
        <v>1029</v>
      </c>
      <c r="C184" t="s">
        <v>1030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1164</v>
      </c>
      <c r="B185" t="s">
        <v>1165</v>
      </c>
      <c r="C185" t="s">
        <v>1418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1158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1159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1167</v>
      </c>
      <c r="B188" t="s">
        <v>1168</v>
      </c>
      <c r="C188" t="s">
        <v>1173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1169</v>
      </c>
      <c r="B189" t="s">
        <v>1166</v>
      </c>
      <c r="C189" t="s">
        <v>1174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1163</v>
      </c>
      <c r="B190" t="s">
        <v>1172</v>
      </c>
      <c r="C190" t="s">
        <v>1175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1160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1162</v>
      </c>
      <c r="B192" t="s">
        <v>1170</v>
      </c>
      <c r="C192" t="s">
        <v>1176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1161</v>
      </c>
      <c r="B193" t="s">
        <v>1171</v>
      </c>
      <c r="C193" t="s">
        <v>1177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1183</v>
      </c>
      <c r="B194" t="s">
        <v>1184</v>
      </c>
      <c r="C194" t="s">
        <v>1185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1191</v>
      </c>
      <c r="B195" t="s">
        <v>1187</v>
      </c>
      <c r="C195" t="s">
        <v>1188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1192</v>
      </c>
      <c r="B196" t="s">
        <v>1189</v>
      </c>
      <c r="C196" t="s">
        <v>1190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1419</v>
      </c>
      <c r="B197" t="s">
        <v>1419</v>
      </c>
      <c r="C197" t="s">
        <v>1420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1523</v>
      </c>
      <c r="B198" t="s">
        <v>1524</v>
      </c>
      <c r="C198" t="s">
        <v>1544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1613</v>
      </c>
      <c r="B199" t="s">
        <v>1615</v>
      </c>
      <c r="C199" t="s">
        <v>1614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1619</v>
      </c>
      <c r="B200" t="s">
        <v>1620</v>
      </c>
      <c r="C200" t="s">
        <v>1621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1762</v>
      </c>
      <c r="B201" t="s">
        <v>1761</v>
      </c>
      <c r="C201" t="s">
        <v>1760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1912</v>
      </c>
      <c r="B202" t="s">
        <v>2249</v>
      </c>
      <c r="C202" t="s">
        <v>2250</v>
      </c>
      <c r="K202" t="str">
        <f t="shared" si="12"/>
        <v>"maxTotalHistory":"Limit output data points",</v>
      </c>
      <c r="L202" t="str">
        <f t="shared" si="13"/>
        <v>"maxTotalHistory":"Limitar los puntos de datos de salida",</v>
      </c>
    </row>
    <row r="203" spans="1:12" x14ac:dyDescent="0.3">
      <c r="A203" t="s">
        <v>1913</v>
      </c>
      <c r="B203" t="s">
        <v>1915</v>
      </c>
      <c r="C203" t="s">
        <v>1916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1914</v>
      </c>
      <c r="B204" t="s">
        <v>1917</v>
      </c>
      <c r="C204" t="s">
        <v>1918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1919</v>
      </c>
      <c r="B205" t="s">
        <v>1920</v>
      </c>
      <c r="C205" t="s">
        <v>1921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2188</v>
      </c>
      <c r="B206" t="s">
        <v>2189</v>
      </c>
      <c r="C206" t="s">
        <v>2190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2191</v>
      </c>
      <c r="B207" t="s">
        <v>2192</v>
      </c>
      <c r="C207" t="s">
        <v>2199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2193</v>
      </c>
      <c r="B208" t="s">
        <v>2194</v>
      </c>
      <c r="C208" t="s">
        <v>2200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2195</v>
      </c>
      <c r="B209" t="s">
        <v>2196</v>
      </c>
      <c r="C209" t="s">
        <v>2201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2197</v>
      </c>
      <c r="B210" t="s">
        <v>2198</v>
      </c>
      <c r="C210" t="s">
        <v>2202</v>
      </c>
      <c r="K210" t="str">
        <f t="shared" si="12"/>
        <v>"errRouteNotFound":"This tag is not assigned to any signal",</v>
      </c>
      <c r="L210" t="str">
        <f t="shared" si="13"/>
        <v>"errRouteNotFound":"Esta etiqueta no está asignada a ninguna señal.",</v>
      </c>
    </row>
    <row r="211" spans="1:12" x14ac:dyDescent="0.3">
      <c r="A211" t="s">
        <v>2273</v>
      </c>
      <c r="B211" t="s">
        <v>2275</v>
      </c>
      <c r="C211" t="s">
        <v>2277</v>
      </c>
      <c r="K211" t="str">
        <f t="shared" si="12"/>
        <v>"serialPorts":"Serial ports",</v>
      </c>
      <c r="L211" t="str">
        <f t="shared" si="13"/>
        <v>"serialPorts":"Puertos serie",</v>
      </c>
    </row>
    <row r="212" spans="1:12" x14ac:dyDescent="0.3">
      <c r="A212" t="s">
        <v>2274</v>
      </c>
      <c r="B212" t="s">
        <v>2276</v>
      </c>
      <c r="C212" t="s">
        <v>2278</v>
      </c>
      <c r="K212" t="str">
        <f t="shared" si="12"/>
        <v>"errBrowserNoSupportSerial":"This browser doesn't support serial port. Use compatible browser."}</v>
      </c>
      <c r="L212" t="str">
        <f t="shared" si="13"/>
        <v>"errBrowserNoSupportSerial":"Este navegador no es compatible con puertos serie. Utilice un navegador compatible."}</v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2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  <pageSetup orientation="portrait" horizontalDpi="1200" verticalDpi="1200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2272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f>A3+1</f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5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f t="shared" ref="A5:A52" si="1">A4+1</f>
        <v>3</v>
      </c>
      <c r="B5" t="b">
        <v>0</v>
      </c>
      <c r="C5" t="b">
        <v>0</v>
      </c>
      <c r="D5" t="s">
        <v>1193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1661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f t="shared" si="1"/>
        <v>4</v>
      </c>
      <c r="B6" t="b">
        <v>0</v>
      </c>
      <c r="C6" t="b">
        <v>1</v>
      </c>
      <c r="D6" t="s">
        <v>1178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2">IF(E6,"CTRL_","")&amp;IF(F6,"ALT_","")&amp;IF(G6,"SHIFT_","")&amp;H6</f>
        <v>CTRL_SHIFT_f</v>
      </c>
      <c r="L6" t="s">
        <v>1186</v>
      </c>
      <c r="M6" t="s">
        <v>1179</v>
      </c>
      <c r="N6" t="s">
        <v>1180</v>
      </c>
      <c r="O6" t="s">
        <v>1181</v>
      </c>
      <c r="P6" t="s">
        <v>1182</v>
      </c>
    </row>
    <row r="7" spans="1:20" x14ac:dyDescent="0.3">
      <c r="A7">
        <f t="shared" si="1"/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1661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f t="shared" si="1"/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1661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f t="shared" si="1"/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1661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f t="shared" si="1"/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f t="shared" si="1"/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f t="shared" si="1"/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f t="shared" si="1"/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1661</v>
      </c>
      <c r="M13" t="s">
        <v>202</v>
      </c>
      <c r="N13" t="s">
        <v>1155</v>
      </c>
      <c r="O13" t="s">
        <v>448</v>
      </c>
      <c r="P13" t="s">
        <v>482</v>
      </c>
    </row>
    <row r="14" spans="1:20" x14ac:dyDescent="0.3">
      <c r="A14">
        <f t="shared" si="1"/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1154</v>
      </c>
      <c r="N14" t="s">
        <v>1156</v>
      </c>
      <c r="O14" t="s">
        <v>1155</v>
      </c>
      <c r="P14" t="s">
        <v>1157</v>
      </c>
    </row>
    <row r="15" spans="1:20" x14ac:dyDescent="0.3">
      <c r="A15">
        <f t="shared" si="1"/>
        <v>13</v>
      </c>
      <c r="B15" t="b">
        <v>0</v>
      </c>
      <c r="C15" t="b">
        <v>1</v>
      </c>
      <c r="D15" t="s">
        <v>1234</v>
      </c>
      <c r="F15" s="4"/>
      <c r="G15" s="4" t="b">
        <v>1</v>
      </c>
      <c r="H15" s="4" t="s">
        <v>267</v>
      </c>
      <c r="I15" s="4">
        <f>IF(ISBLANK(H15), "", VLOOKUP(LOWER(H15), javascriptKeycodes!A:B, 2, FALSE))</f>
        <v>72</v>
      </c>
      <c r="J15" s="4" t="str">
        <f>IF(ISBLANK(H15), "", VLOOKUP(LOWER(H15), javascriptKeycodes!A:C, 3, FALSE))</f>
        <v>key_h</v>
      </c>
      <c r="K15" s="4" t="str">
        <f t="shared" si="0"/>
        <v>SHIFT_H</v>
      </c>
      <c r="L15" t="s">
        <v>2271</v>
      </c>
      <c r="M15" t="s">
        <v>2267</v>
      </c>
      <c r="N15" t="s">
        <v>2268</v>
      </c>
      <c r="O15" t="s">
        <v>2269</v>
      </c>
      <c r="P15" t="s">
        <v>2270</v>
      </c>
    </row>
    <row r="16" spans="1:20" x14ac:dyDescent="0.3">
      <c r="A16">
        <f t="shared" si="1"/>
        <v>14</v>
      </c>
      <c r="B16" t="b">
        <v>0</v>
      </c>
      <c r="C16" t="b">
        <v>0</v>
      </c>
      <c r="D16" t="s">
        <v>159</v>
      </c>
      <c r="E16" t="b">
        <v>1</v>
      </c>
      <c r="F16" s="4"/>
      <c r="G16" s="4"/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CTRL_K</v>
      </c>
      <c r="L16" t="s">
        <v>868</v>
      </c>
      <c r="M16" t="s">
        <v>236</v>
      </c>
      <c r="N16" t="s">
        <v>205</v>
      </c>
      <c r="O16" t="s">
        <v>449</v>
      </c>
      <c r="P16" t="s">
        <v>483</v>
      </c>
    </row>
    <row r="17" spans="1:16" x14ac:dyDescent="0.3">
      <c r="A17">
        <f t="shared" si="1"/>
        <v>15</v>
      </c>
      <c r="B17" t="b">
        <v>0</v>
      </c>
      <c r="C17" t="b">
        <v>0</v>
      </c>
      <c r="D17" t="s">
        <v>160</v>
      </c>
      <c r="E17" t="b">
        <v>1</v>
      </c>
      <c r="F17" s="4"/>
      <c r="G17" s="4" t="b">
        <v>1</v>
      </c>
      <c r="H17" s="4" t="s">
        <v>255</v>
      </c>
      <c r="I17" s="4">
        <f>IF(ISBLANK(H17), "", VLOOKUP(LOWER(H17), javascriptKeycodes!A:B, 2, FALSE))</f>
        <v>75</v>
      </c>
      <c r="J17" s="4" t="str">
        <f>IF(ISBLANK(H17), "", VLOOKUP(LOWER(H17), javascriptKeycodes!A:C, 3, FALSE))</f>
        <v>key_k</v>
      </c>
      <c r="K17" s="4" t="str">
        <f t="shared" si="0"/>
        <v>CTRL_SHIFT_K</v>
      </c>
      <c r="L17" t="s">
        <v>869</v>
      </c>
      <c r="M17" t="s">
        <v>237</v>
      </c>
      <c r="N17" t="s">
        <v>206</v>
      </c>
      <c r="O17" t="s">
        <v>450</v>
      </c>
      <c r="P17" t="s">
        <v>484</v>
      </c>
    </row>
    <row r="18" spans="1:16" x14ac:dyDescent="0.3">
      <c r="A18">
        <f t="shared" si="1"/>
        <v>16</v>
      </c>
      <c r="B18" t="b">
        <v>1</v>
      </c>
      <c r="C18" t="b">
        <v>0</v>
      </c>
      <c r="D18" t="s">
        <v>188</v>
      </c>
      <c r="F18" s="4" t="b">
        <v>1</v>
      </c>
      <c r="G18" s="4"/>
      <c r="H18" s="4" t="s">
        <v>254</v>
      </c>
      <c r="I18" s="4">
        <f>IF(ISBLANK(H18), "", VLOOKUP(LOWER(H18), javascriptKeycodes!A:B, 2, FALSE))</f>
        <v>69</v>
      </c>
      <c r="J18" s="4" t="str">
        <f>IF(ISBLANK(H18), "", VLOOKUP(LOWER(H18), javascriptKeycodes!A:C, 3, FALSE))</f>
        <v>key_e</v>
      </c>
      <c r="K18" s="4" t="str">
        <f t="shared" si="0"/>
        <v>ALT_E</v>
      </c>
      <c r="L18" t="s">
        <v>435</v>
      </c>
      <c r="M18" t="s">
        <v>123</v>
      </c>
      <c r="N18" t="s">
        <v>214</v>
      </c>
      <c r="O18" t="s">
        <v>451</v>
      </c>
      <c r="P18" t="s">
        <v>485</v>
      </c>
    </row>
    <row r="19" spans="1:16" x14ac:dyDescent="0.3">
      <c r="A19">
        <f t="shared" si="1"/>
        <v>17</v>
      </c>
      <c r="B19" t="b">
        <v>0</v>
      </c>
      <c r="C19" t="b">
        <v>1</v>
      </c>
      <c r="D19" t="s">
        <v>715</v>
      </c>
      <c r="E19" t="b">
        <v>1</v>
      </c>
      <c r="F19" t="b">
        <v>1</v>
      </c>
      <c r="G19" t="b">
        <v>1</v>
      </c>
      <c r="H19" s="4" t="s">
        <v>243</v>
      </c>
      <c r="I19" s="4">
        <f>IF(ISBLANK(H19), "", VLOOKUP(LOWER(H19), javascriptKeycodes!A:B, 2, FALSE))</f>
        <v>83</v>
      </c>
      <c r="J19" s="4" t="str">
        <f>IF(ISBLANK(H19), "", VLOOKUP(LOWER(H19), javascriptKeycodes!A:C, 3, FALSE))</f>
        <v>key_s</v>
      </c>
      <c r="K19" s="4" t="str">
        <f t="shared" si="0"/>
        <v>CTRL_ALT_SHIFT_S</v>
      </c>
      <c r="L19" t="s">
        <v>716</v>
      </c>
      <c r="M19" t="s">
        <v>683</v>
      </c>
      <c r="N19" t="s">
        <v>713</v>
      </c>
      <c r="O19" t="s">
        <v>684</v>
      </c>
      <c r="P19" t="s">
        <v>714</v>
      </c>
    </row>
    <row r="20" spans="1:16" x14ac:dyDescent="0.3">
      <c r="A20">
        <f t="shared" si="1"/>
        <v>18</v>
      </c>
      <c r="B20" t="b">
        <v>0</v>
      </c>
      <c r="C20" t="b">
        <v>0</v>
      </c>
      <c r="D20" t="s">
        <v>271</v>
      </c>
      <c r="E20" t="b">
        <v>1</v>
      </c>
      <c r="F20" s="4"/>
      <c r="G20" s="4"/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CTRL_A</v>
      </c>
      <c r="L20" t="s">
        <v>870</v>
      </c>
      <c r="M20" t="s">
        <v>268</v>
      </c>
      <c r="N20" t="s">
        <v>436</v>
      </c>
      <c r="O20" t="s">
        <v>452</v>
      </c>
      <c r="P20" t="s">
        <v>486</v>
      </c>
    </row>
    <row r="21" spans="1:16" x14ac:dyDescent="0.3">
      <c r="A21">
        <f t="shared" si="1"/>
        <v>19</v>
      </c>
      <c r="B21" t="b">
        <v>0</v>
      </c>
      <c r="C21" t="b">
        <v>1</v>
      </c>
      <c r="D21" t="s">
        <v>270</v>
      </c>
      <c r="E21" t="b">
        <v>1</v>
      </c>
      <c r="F21" s="4"/>
      <c r="G21" s="4" t="b">
        <v>1</v>
      </c>
      <c r="H21" s="4" t="s">
        <v>264</v>
      </c>
      <c r="I21" s="4">
        <f>IF(ISBLANK(H21), "", VLOOKUP(LOWER(H21), javascriptKeycodes!A:B, 2, FALSE))</f>
        <v>65</v>
      </c>
      <c r="J21" s="4" t="str">
        <f>IF(ISBLANK(H21), "", VLOOKUP(LOWER(H21), javascriptKeycodes!A:C, 3, FALSE))</f>
        <v>key_a</v>
      </c>
      <c r="K21" s="4" t="str">
        <f t="shared" si="0"/>
        <v>CTRL_SHIFT_A</v>
      </c>
      <c r="L21" t="s">
        <v>871</v>
      </c>
      <c r="M21" t="s">
        <v>269</v>
      </c>
      <c r="N21" t="s">
        <v>437</v>
      </c>
      <c r="O21" t="s">
        <v>453</v>
      </c>
      <c r="P21" t="s">
        <v>487</v>
      </c>
    </row>
    <row r="22" spans="1:16" x14ac:dyDescent="0.3">
      <c r="A22">
        <f t="shared" si="1"/>
        <v>20</v>
      </c>
      <c r="B22" t="b">
        <v>0</v>
      </c>
      <c r="C22" t="b">
        <v>0</v>
      </c>
      <c r="D22" t="s">
        <v>161</v>
      </c>
      <c r="E22" t="b">
        <v>1</v>
      </c>
      <c r="F22" s="4"/>
      <c r="G22" s="4"/>
      <c r="H22" s="4" t="s">
        <v>256</v>
      </c>
      <c r="I22" s="4">
        <f>IF(ISBLANK(H22), "", VLOOKUP(LOWER(H22), javascriptKeycodes!A:B, 2, FALSE))</f>
        <v>88</v>
      </c>
      <c r="J22" s="4" t="str">
        <f>IF(ISBLANK(H22), "", VLOOKUP(LOWER(H22), javascriptKeycodes!A:C, 3, FALSE))</f>
        <v>key_x</v>
      </c>
      <c r="K22" s="4" t="str">
        <f t="shared" si="0"/>
        <v>CTRL_X</v>
      </c>
      <c r="L22" t="s">
        <v>912</v>
      </c>
      <c r="M22" t="s">
        <v>124</v>
      </c>
      <c r="N22" t="s">
        <v>208</v>
      </c>
      <c r="O22" t="s">
        <v>454</v>
      </c>
      <c r="P22" t="s">
        <v>488</v>
      </c>
    </row>
    <row r="23" spans="1:16" x14ac:dyDescent="0.3">
      <c r="A23">
        <f t="shared" si="1"/>
        <v>21</v>
      </c>
      <c r="B23" t="b">
        <v>0</v>
      </c>
      <c r="C23" t="b">
        <v>0</v>
      </c>
      <c r="D23" t="s">
        <v>162</v>
      </c>
      <c r="E23" t="b">
        <v>1</v>
      </c>
      <c r="F23" s="4"/>
      <c r="G23" s="4"/>
      <c r="H23" s="4" t="s">
        <v>244</v>
      </c>
      <c r="I23" s="4">
        <f>IF(ISBLANK(H23), "", VLOOKUP(LOWER(H23), javascriptKeycodes!A:B, 2, FALSE))</f>
        <v>67</v>
      </c>
      <c r="J23" s="4" t="str">
        <f>IF(ISBLANK(H23), "", VLOOKUP(LOWER(H23), javascriptKeycodes!A:C, 3, FALSE))</f>
        <v>key_c</v>
      </c>
      <c r="K23" s="4" t="str">
        <f t="shared" si="0"/>
        <v>CTRL_C</v>
      </c>
      <c r="L23" t="s">
        <v>909</v>
      </c>
      <c r="M23" t="s">
        <v>125</v>
      </c>
      <c r="N23" t="s">
        <v>207</v>
      </c>
      <c r="O23" t="s">
        <v>455</v>
      </c>
      <c r="P23" t="s">
        <v>489</v>
      </c>
    </row>
    <row r="24" spans="1:16" x14ac:dyDescent="0.3">
      <c r="A24">
        <f t="shared" si="1"/>
        <v>22</v>
      </c>
      <c r="B24" t="b">
        <v>0</v>
      </c>
      <c r="C24" t="b">
        <v>0</v>
      </c>
      <c r="D24" t="s">
        <v>163</v>
      </c>
      <c r="E24" t="b">
        <v>1</v>
      </c>
      <c r="F24" s="4"/>
      <c r="G24" s="4"/>
      <c r="H24" s="4" t="s">
        <v>257</v>
      </c>
      <c r="I24" s="4">
        <f>IF(ISBLANK(H24), "", VLOOKUP(LOWER(H24), javascriptKeycodes!A:B, 2, FALSE))</f>
        <v>86</v>
      </c>
      <c r="J24" s="4" t="str">
        <f>IF(ISBLANK(H24), "", VLOOKUP(LOWER(H24), javascriptKeycodes!A:C, 3, FALSE))</f>
        <v>key_v</v>
      </c>
      <c r="K24" s="4" t="str">
        <f t="shared" si="0"/>
        <v>CTRL_V</v>
      </c>
      <c r="L24" t="s">
        <v>910</v>
      </c>
      <c r="M24" t="s">
        <v>126</v>
      </c>
      <c r="N24" t="s">
        <v>209</v>
      </c>
      <c r="O24" t="s">
        <v>456</v>
      </c>
      <c r="P24" t="s">
        <v>490</v>
      </c>
    </row>
    <row r="25" spans="1:16" x14ac:dyDescent="0.3">
      <c r="A25">
        <f t="shared" si="1"/>
        <v>23</v>
      </c>
      <c r="B25" t="b">
        <v>0</v>
      </c>
      <c r="C25" t="b">
        <v>0</v>
      </c>
      <c r="D25" t="s">
        <v>165</v>
      </c>
      <c r="E25" t="b">
        <v>1</v>
      </c>
      <c r="F25" s="4"/>
      <c r="G25" s="4" t="b">
        <v>1</v>
      </c>
      <c r="H25" s="4" t="s">
        <v>244</v>
      </c>
      <c r="I25" s="4">
        <f>IF(ISBLANK(H25), "", VLOOKUP(LOWER(H25), javascriptKeycodes!A:B, 2, FALSE))</f>
        <v>67</v>
      </c>
      <c r="J25" s="4" t="str">
        <f>IF(ISBLANK(H25), "", VLOOKUP(LOWER(H25), javascriptKeycodes!A:C, 3, FALSE))</f>
        <v>key_c</v>
      </c>
      <c r="K25" s="4" t="str">
        <f t="shared" si="0"/>
        <v>CTRL_SHIFT_C</v>
      </c>
      <c r="L25" t="s">
        <v>911</v>
      </c>
      <c r="M25" t="s">
        <v>164</v>
      </c>
      <c r="N25" t="s">
        <v>210</v>
      </c>
      <c r="O25" t="s">
        <v>457</v>
      </c>
      <c r="P25" t="s">
        <v>491</v>
      </c>
    </row>
    <row r="26" spans="1:16" x14ac:dyDescent="0.3">
      <c r="A26">
        <f t="shared" si="1"/>
        <v>24</v>
      </c>
      <c r="B26" t="b">
        <v>0</v>
      </c>
      <c r="C26" t="b">
        <v>1</v>
      </c>
      <c r="D26" t="s">
        <v>166</v>
      </c>
      <c r="F26" s="4"/>
      <c r="G26" s="4"/>
      <c r="H26" s="4" t="s">
        <v>7</v>
      </c>
      <c r="I26" s="4">
        <f>IF(ISBLANK(H26), "", VLOOKUP(LOWER(H26), javascriptKeycodes!A:B, 2, FALSE))</f>
        <v>46</v>
      </c>
      <c r="J26" s="4" t="str">
        <f>IF(ISBLANK(H26), "", VLOOKUP(LOWER(H26), javascriptKeycodes!A:C, 3, FALSE))</f>
        <v>key_delete</v>
      </c>
      <c r="K26" s="4" t="str">
        <f t="shared" ref="K26:K28" si="3">IF(E26,"CTRL_","")&amp;IF(F26,"ALT_","")&amp;IF(G26,"SHIFT_","")&amp;H26</f>
        <v>delete</v>
      </c>
      <c r="L26" t="s">
        <v>1645</v>
      </c>
      <c r="M26" t="s">
        <v>33</v>
      </c>
      <c r="N26" t="s">
        <v>211</v>
      </c>
      <c r="O26" t="s">
        <v>458</v>
      </c>
      <c r="P26" t="s">
        <v>492</v>
      </c>
    </row>
    <row r="27" spans="1:16" x14ac:dyDescent="0.3">
      <c r="A27">
        <f t="shared" si="1"/>
        <v>25</v>
      </c>
      <c r="B27" t="b">
        <v>0</v>
      </c>
      <c r="C27" t="b">
        <v>1</v>
      </c>
      <c r="D27" t="s">
        <v>17</v>
      </c>
      <c r="E27" t="b">
        <v>1</v>
      </c>
      <c r="F27" s="4"/>
      <c r="G27" s="4"/>
      <c r="H27" s="4" t="s">
        <v>245</v>
      </c>
      <c r="I27" s="4">
        <f>IF(ISBLANK(H27), "", VLOOKUP(LOWER(H27), javascriptKeycodes!A:B, 2, FALSE))</f>
        <v>68</v>
      </c>
      <c r="J27" s="4" t="str">
        <f>IF(ISBLANK(H27), "", VLOOKUP(LOWER(H27), javascriptKeycodes!A:C, 3, FALSE))</f>
        <v>key_d</v>
      </c>
      <c r="K27" s="4" t="str">
        <f t="shared" ref="K27" si="4">IF(E27,"CTRL_","")&amp;IF(F27,"ALT_","")&amp;IF(G27,"SHIFT_","")&amp;H27</f>
        <v>CTRL_D</v>
      </c>
      <c r="L27" t="s">
        <v>1652</v>
      </c>
      <c r="M27" t="s">
        <v>1648</v>
      </c>
      <c r="N27" t="s">
        <v>1650</v>
      </c>
      <c r="O27" t="s">
        <v>1649</v>
      </c>
      <c r="P27" t="s">
        <v>1651</v>
      </c>
    </row>
    <row r="28" spans="1:16" x14ac:dyDescent="0.3">
      <c r="A28">
        <f t="shared" si="1"/>
        <v>26</v>
      </c>
      <c r="B28" t="b">
        <v>0</v>
      </c>
      <c r="C28" t="b">
        <v>0</v>
      </c>
      <c r="D28" t="s">
        <v>167</v>
      </c>
      <c r="E28" t="b">
        <v>1</v>
      </c>
      <c r="F28" s="4"/>
      <c r="G28" s="4"/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si="3"/>
        <v>CTRL_Z</v>
      </c>
      <c r="L28" t="s">
        <v>1646</v>
      </c>
      <c r="M28" t="s">
        <v>143</v>
      </c>
      <c r="N28" t="s">
        <v>212</v>
      </c>
      <c r="O28" t="s">
        <v>459</v>
      </c>
      <c r="P28" t="s">
        <v>493</v>
      </c>
    </row>
    <row r="29" spans="1:16" x14ac:dyDescent="0.3">
      <c r="A29">
        <f t="shared" si="1"/>
        <v>27</v>
      </c>
      <c r="B29" t="b">
        <v>0</v>
      </c>
      <c r="C29" t="b">
        <v>0</v>
      </c>
      <c r="D29" t="s">
        <v>168</v>
      </c>
      <c r="E29" t="b">
        <v>1</v>
      </c>
      <c r="F29" s="4"/>
      <c r="G29" s="4" t="b">
        <v>1</v>
      </c>
      <c r="H29" s="4" t="s">
        <v>258</v>
      </c>
      <c r="I29" s="4">
        <f>IF(ISBLANK(H29), "", VLOOKUP(LOWER(H29), javascriptKeycodes!A:B, 2, FALSE))</f>
        <v>90</v>
      </c>
      <c r="J29" s="4" t="str">
        <f>IF(ISBLANK(H29), "", VLOOKUP(LOWER(H29), javascriptKeycodes!A:C, 3, FALSE))</f>
        <v>key_z</v>
      </c>
      <c r="K29" s="4" t="str">
        <f t="shared" ref="K29:K48" si="5">IF(E29,"CTRL_","")&amp;IF(F29,"ALT_","")&amp;IF(G29,"SHIFT_","")&amp;H29</f>
        <v>CTRL_SHIFT_Z</v>
      </c>
      <c r="L29" t="s">
        <v>1647</v>
      </c>
      <c r="M29" t="s">
        <v>144</v>
      </c>
      <c r="N29" t="s">
        <v>213</v>
      </c>
      <c r="O29" t="s">
        <v>460</v>
      </c>
      <c r="P29" t="s">
        <v>494</v>
      </c>
    </row>
    <row r="30" spans="1:16" x14ac:dyDescent="0.3">
      <c r="A30">
        <f t="shared" si="1"/>
        <v>28</v>
      </c>
      <c r="B30" t="b">
        <v>1</v>
      </c>
      <c r="C30" t="b">
        <v>0</v>
      </c>
      <c r="D30" t="s">
        <v>894</v>
      </c>
      <c r="F30" s="4" t="b">
        <v>1</v>
      </c>
      <c r="G30" s="4"/>
      <c r="H30" s="4" t="s">
        <v>611</v>
      </c>
      <c r="I30" s="4">
        <f>IF(ISBLANK(H30), "", VLOOKUP(LOWER(H30), javascriptKeycodes!A:B, 2, FALSE))</f>
        <v>78</v>
      </c>
      <c r="J30" s="4" t="str">
        <f>IF(ISBLANK(H30), "", VLOOKUP(LOWER(H30), javascriptKeycodes!A:C, 3, FALSE))</f>
        <v>key_n</v>
      </c>
      <c r="K30" s="4" t="str">
        <f t="shared" si="5"/>
        <v>ALT_N</v>
      </c>
      <c r="M30" t="s">
        <v>895</v>
      </c>
      <c r="N30" t="s">
        <v>897</v>
      </c>
      <c r="O30" t="s">
        <v>896</v>
      </c>
      <c r="P30" t="s">
        <v>898</v>
      </c>
    </row>
    <row r="31" spans="1:16" x14ac:dyDescent="0.3">
      <c r="A31">
        <f t="shared" si="1"/>
        <v>29</v>
      </c>
      <c r="B31" t="b">
        <v>0</v>
      </c>
      <c r="C31" t="b">
        <v>0</v>
      </c>
      <c r="D31" t="s">
        <v>169</v>
      </c>
      <c r="E31" t="b">
        <v>1</v>
      </c>
      <c r="F31" s="4"/>
      <c r="G31" s="4"/>
      <c r="H31" s="4" t="s">
        <v>404</v>
      </c>
      <c r="I31" s="4">
        <f>IF(ISBLANK(H31), "", VLOOKUP(LOWER(H31), javascriptKeycodes!A:B, 2, FALSE))</f>
        <v>107</v>
      </c>
      <c r="J31" s="4" t="str">
        <f>IF(ISBLANK(H31), "", VLOOKUP(LOWER(H31), javascriptKeycodes!A:C, 3, FALSE))</f>
        <v>key_add</v>
      </c>
      <c r="K31" s="4" t="str">
        <f t="shared" si="5"/>
        <v>CTRL_add</v>
      </c>
      <c r="L31" t="s">
        <v>875</v>
      </c>
      <c r="M31" t="s">
        <v>129</v>
      </c>
      <c r="N31" t="s">
        <v>216</v>
      </c>
      <c r="O31" t="s">
        <v>462</v>
      </c>
      <c r="P31" t="s">
        <v>496</v>
      </c>
    </row>
    <row r="32" spans="1:16" x14ac:dyDescent="0.3">
      <c r="A32">
        <f t="shared" si="1"/>
        <v>30</v>
      </c>
      <c r="B32" t="b">
        <v>0</v>
      </c>
      <c r="C32" t="b">
        <v>0</v>
      </c>
      <c r="D32" t="s">
        <v>170</v>
      </c>
      <c r="E32" t="b">
        <v>1</v>
      </c>
      <c r="F32" s="4"/>
      <c r="G32" s="4"/>
      <c r="H32" s="4" t="s">
        <v>405</v>
      </c>
      <c r="I32" s="4">
        <f>IF(ISBLANK(H32), "", VLOOKUP(LOWER(H32), javascriptKeycodes!A:B, 2, FALSE))</f>
        <v>109</v>
      </c>
      <c r="J32" s="4" t="str">
        <f>IF(ISBLANK(H32), "", VLOOKUP(LOWER(H32), javascriptKeycodes!A:C, 3, FALSE))</f>
        <v>key_sub</v>
      </c>
      <c r="K32" s="4" t="str">
        <f t="shared" si="5"/>
        <v>CTRL_subtract</v>
      </c>
      <c r="L32" t="s">
        <v>874</v>
      </c>
      <c r="M32" t="s">
        <v>128</v>
      </c>
      <c r="N32" t="s">
        <v>217</v>
      </c>
      <c r="O32" t="s">
        <v>463</v>
      </c>
      <c r="P32" t="s">
        <v>497</v>
      </c>
    </row>
    <row r="33" spans="1:16" x14ac:dyDescent="0.3">
      <c r="A33">
        <f t="shared" si="1"/>
        <v>31</v>
      </c>
      <c r="B33" t="b">
        <v>0</v>
      </c>
      <c r="C33" t="b">
        <v>0</v>
      </c>
      <c r="D33" t="s">
        <v>172</v>
      </c>
      <c r="E33" t="b">
        <v>1</v>
      </c>
      <c r="F33" s="4"/>
      <c r="G33" s="4"/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5"/>
        <v>CTRL_K_0</v>
      </c>
      <c r="L33" t="s">
        <v>876</v>
      </c>
      <c r="M33" t="s">
        <v>131</v>
      </c>
      <c r="N33" t="s">
        <v>218</v>
      </c>
      <c r="O33" t="s">
        <v>464</v>
      </c>
      <c r="P33" t="s">
        <v>498</v>
      </c>
    </row>
    <row r="34" spans="1:16" x14ac:dyDescent="0.3">
      <c r="A34">
        <f t="shared" si="1"/>
        <v>32</v>
      </c>
      <c r="B34" t="b">
        <v>0</v>
      </c>
      <c r="C34" t="b">
        <v>1</v>
      </c>
      <c r="D34" t="s">
        <v>171</v>
      </c>
      <c r="E34" t="b">
        <v>1</v>
      </c>
      <c r="F34" s="4"/>
      <c r="G34" s="4" t="b">
        <v>1</v>
      </c>
      <c r="H34" s="4" t="s">
        <v>666</v>
      </c>
      <c r="I34" s="4">
        <f>IF(ISBLANK(H34), "", VLOOKUP(LOWER(H34), javascriptKeycodes!A:B, 2, FALSE))</f>
        <v>48</v>
      </c>
      <c r="J34" s="4" t="str">
        <f>IF(ISBLANK(H34), "", VLOOKUP(LOWER(H34), javascriptKeycodes!A:C, 3, FALSE))</f>
        <v>key_0</v>
      </c>
      <c r="K34" s="4" t="str">
        <f t="shared" si="5"/>
        <v>CTRL_SHIFT_K_0</v>
      </c>
      <c r="L34" t="s">
        <v>877</v>
      </c>
      <c r="M34" t="s">
        <v>130</v>
      </c>
      <c r="N34" t="s">
        <v>219</v>
      </c>
      <c r="O34" t="s">
        <v>465</v>
      </c>
      <c r="P34" t="s">
        <v>499</v>
      </c>
    </row>
    <row r="35" spans="1:16" x14ac:dyDescent="0.3">
      <c r="A35">
        <f t="shared" si="1"/>
        <v>33</v>
      </c>
      <c r="B35" t="b">
        <v>0</v>
      </c>
      <c r="C35" t="b">
        <v>0</v>
      </c>
      <c r="D35" t="s">
        <v>764</v>
      </c>
      <c r="E35" t="b">
        <v>1</v>
      </c>
      <c r="F35" s="4" t="b">
        <v>1</v>
      </c>
      <c r="G35" s="4" t="b">
        <v>1</v>
      </c>
      <c r="H35" s="4" t="s">
        <v>264</v>
      </c>
      <c r="I35" s="4">
        <f>IF(ISBLANK(H35), "", VLOOKUP(LOWER(H35), javascriptKeycodes!A:B, 2, FALSE))</f>
        <v>65</v>
      </c>
      <c r="J35" s="4" t="str">
        <f>IF(ISBLANK(H35), "", VLOOKUP(LOWER(H35), javascriptKeycodes!A:C, 3, FALSE))</f>
        <v>key_a</v>
      </c>
      <c r="K35" s="4" t="str">
        <f t="shared" si="5"/>
        <v>CTRL_ALT_SHIFT_A</v>
      </c>
      <c r="L35" t="s">
        <v>2254</v>
      </c>
      <c r="M35" t="s">
        <v>222</v>
      </c>
      <c r="N35" t="s">
        <v>223</v>
      </c>
      <c r="O35" t="s">
        <v>469</v>
      </c>
      <c r="P35" t="s">
        <v>503</v>
      </c>
    </row>
    <row r="36" spans="1:16" x14ac:dyDescent="0.3">
      <c r="A36">
        <f t="shared" si="1"/>
        <v>34</v>
      </c>
      <c r="B36" t="b">
        <v>1</v>
      </c>
      <c r="C36" t="b">
        <v>0</v>
      </c>
      <c r="D36" t="s">
        <v>189</v>
      </c>
      <c r="F36" s="4" t="b">
        <v>1</v>
      </c>
      <c r="G36" s="4"/>
      <c r="H36" s="4" t="s">
        <v>257</v>
      </c>
      <c r="I36" s="4">
        <f>IF(ISBLANK(H36), "", VLOOKUP(LOWER(H36), javascriptKeycodes!A:B, 2, FALSE))</f>
        <v>86</v>
      </c>
      <c r="J36" s="4" t="str">
        <f>IF(ISBLANK(H36), "", VLOOKUP(LOWER(H36), javascriptKeycodes!A:C, 3, FALSE))</f>
        <v>key_v</v>
      </c>
      <c r="K36" s="4" t="str">
        <f t="shared" si="5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495</v>
      </c>
    </row>
    <row r="37" spans="1:16" x14ac:dyDescent="0.3">
      <c r="A37">
        <f t="shared" si="1"/>
        <v>35</v>
      </c>
      <c r="B37" t="b">
        <v>0</v>
      </c>
      <c r="C37" t="b">
        <v>0</v>
      </c>
      <c r="D37" t="s">
        <v>189</v>
      </c>
      <c r="E37" t="b">
        <v>1</v>
      </c>
      <c r="F37" s="4" t="b">
        <v>1</v>
      </c>
      <c r="G37" s="4" t="b">
        <v>1</v>
      </c>
      <c r="H37" s="4" t="s">
        <v>261</v>
      </c>
      <c r="I37" s="4">
        <f>IF(ISBLANK(H37), "", VLOOKUP(LOWER(H37), javascriptKeycodes!A:B, 2, FALSE))</f>
        <v>70</v>
      </c>
      <c r="J37" s="4" t="str">
        <f>IF(ISBLANK(H37), "", VLOOKUP(LOWER(H37), javascriptKeycodes!A:C, 3, FALSE))</f>
        <v>key_f</v>
      </c>
      <c r="K37" s="4" t="str">
        <f t="shared" si="5"/>
        <v>CTRL_ALT_SHIFT_F</v>
      </c>
      <c r="L37" t="s">
        <v>680</v>
      </c>
      <c r="M37" t="s">
        <v>676</v>
      </c>
      <c r="N37" t="s">
        <v>677</v>
      </c>
      <c r="O37" t="s">
        <v>678</v>
      </c>
      <c r="P37" t="s">
        <v>679</v>
      </c>
    </row>
    <row r="38" spans="1:16" x14ac:dyDescent="0.3">
      <c r="A38">
        <f t="shared" si="1"/>
        <v>36</v>
      </c>
      <c r="B38" t="b">
        <v>0</v>
      </c>
      <c r="C38" t="b">
        <v>0</v>
      </c>
      <c r="D38" t="s">
        <v>173</v>
      </c>
      <c r="E38" t="b">
        <v>1</v>
      </c>
      <c r="F38" s="4"/>
      <c r="G38" s="4"/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5"/>
        <v>CTRL_M</v>
      </c>
      <c r="L38" t="s">
        <v>872</v>
      </c>
      <c r="M38" t="s">
        <v>145</v>
      </c>
      <c r="N38" t="s">
        <v>220</v>
      </c>
      <c r="O38" t="s">
        <v>466</v>
      </c>
      <c r="P38" t="s">
        <v>500</v>
      </c>
    </row>
    <row r="39" spans="1:16" x14ac:dyDescent="0.3">
      <c r="A39">
        <f t="shared" si="1"/>
        <v>37</v>
      </c>
      <c r="B39" t="b">
        <v>0</v>
      </c>
      <c r="C39" t="b">
        <v>1</v>
      </c>
      <c r="D39" t="s">
        <v>174</v>
      </c>
      <c r="E39" t="b">
        <v>1</v>
      </c>
      <c r="F39" s="4"/>
      <c r="G39" s="4" t="b">
        <v>1</v>
      </c>
      <c r="H39" s="4" t="s">
        <v>247</v>
      </c>
      <c r="I39" s="4">
        <f>IF(ISBLANK(H39), "", VLOOKUP(LOWER(H39), javascriptKeycodes!A:B, 2, FALSE))</f>
        <v>77</v>
      </c>
      <c r="J39" s="4" t="str">
        <f>IF(ISBLANK(H39), "", VLOOKUP(LOWER(H39), javascriptKeycodes!A:C, 3, FALSE))</f>
        <v>key_m</v>
      </c>
      <c r="K39" s="4" t="str">
        <f t="shared" si="5"/>
        <v>CTRL_SHIFT_M</v>
      </c>
      <c r="L39" t="s">
        <v>873</v>
      </c>
      <c r="M39" t="s">
        <v>146</v>
      </c>
      <c r="N39" t="s">
        <v>221</v>
      </c>
      <c r="O39" t="s">
        <v>467</v>
      </c>
      <c r="P39" t="s">
        <v>501</v>
      </c>
    </row>
    <row r="40" spans="1:16" x14ac:dyDescent="0.3">
      <c r="A40">
        <f t="shared" si="1"/>
        <v>38</v>
      </c>
      <c r="B40" t="b">
        <v>0</v>
      </c>
      <c r="C40" t="b">
        <v>0</v>
      </c>
      <c r="D40" t="s">
        <v>963</v>
      </c>
      <c r="E40" t="b">
        <v>1</v>
      </c>
      <c r="F40" s="4"/>
      <c r="G40" s="4"/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5"/>
        <v>CTRL_R</v>
      </c>
      <c r="L40" t="s">
        <v>887</v>
      </c>
      <c r="M40" t="s">
        <v>878</v>
      </c>
      <c r="N40" t="s">
        <v>879</v>
      </c>
      <c r="O40" t="s">
        <v>882</v>
      </c>
      <c r="P40" t="s">
        <v>884</v>
      </c>
    </row>
    <row r="41" spans="1:16" x14ac:dyDescent="0.3">
      <c r="A41">
        <f t="shared" si="1"/>
        <v>39</v>
      </c>
      <c r="B41" t="b">
        <v>0</v>
      </c>
      <c r="C41" t="b">
        <v>1</v>
      </c>
      <c r="D41" t="s">
        <v>964</v>
      </c>
      <c r="E41" t="b">
        <v>1</v>
      </c>
      <c r="F41" s="4"/>
      <c r="G41" s="4" t="b">
        <v>1</v>
      </c>
      <c r="H41" s="4" t="s">
        <v>250</v>
      </c>
      <c r="I41" s="4">
        <f>IF(ISBLANK(H41), "", VLOOKUP(LOWER(H41), javascriptKeycodes!A:B, 2, FALSE))</f>
        <v>82</v>
      </c>
      <c r="J41" s="4" t="str">
        <f>IF(ISBLANK(H41), "", VLOOKUP(LOWER(H41), javascriptKeycodes!A:C, 3, FALSE))</f>
        <v>key_r</v>
      </c>
      <c r="K41" s="4" t="str">
        <f t="shared" si="5"/>
        <v>CTRL_SHIFT_R</v>
      </c>
      <c r="L41" t="s">
        <v>886</v>
      </c>
      <c r="M41" t="s">
        <v>881</v>
      </c>
      <c r="N41" t="s">
        <v>880</v>
      </c>
      <c r="O41" t="s">
        <v>883</v>
      </c>
      <c r="P41" t="s">
        <v>885</v>
      </c>
    </row>
    <row r="42" spans="1:16" x14ac:dyDescent="0.3">
      <c r="A42">
        <f t="shared" si="1"/>
        <v>40</v>
      </c>
      <c r="B42" t="b">
        <v>0</v>
      </c>
      <c r="C42" t="b">
        <v>0</v>
      </c>
      <c r="D42" t="s">
        <v>165</v>
      </c>
      <c r="E42" t="b">
        <v>1</v>
      </c>
      <c r="F42" s="4"/>
      <c r="G42" s="4"/>
      <c r="H42" s="4" t="s">
        <v>261</v>
      </c>
      <c r="I42" s="4">
        <f>IF(ISBLANK(H42), "", VLOOKUP(LOWER(H42), javascriptKeycodes!A:B, 2, FALSE))</f>
        <v>70</v>
      </c>
      <c r="J42" s="4" t="str">
        <f>IF(ISBLANK(H42), "", VLOOKUP(LOWER(H42), javascriptKeycodes!A:C, 3, FALSE))</f>
        <v>key_f</v>
      </c>
      <c r="K42" s="4" t="str">
        <f t="shared" si="5"/>
        <v>CTRL_F</v>
      </c>
      <c r="L42" t="s">
        <v>907</v>
      </c>
      <c r="M42" t="s">
        <v>899</v>
      </c>
      <c r="N42" t="s">
        <v>903</v>
      </c>
      <c r="O42" t="s">
        <v>901</v>
      </c>
      <c r="P42" t="s">
        <v>905</v>
      </c>
    </row>
    <row r="43" spans="1:16" x14ac:dyDescent="0.3">
      <c r="A43">
        <f t="shared" si="1"/>
        <v>41</v>
      </c>
      <c r="B43" t="b">
        <v>0</v>
      </c>
      <c r="C43" t="b">
        <v>0</v>
      </c>
      <c r="D43" t="s">
        <v>974</v>
      </c>
      <c r="E43" t="b">
        <v>1</v>
      </c>
      <c r="F43" s="4"/>
      <c r="G43" s="4"/>
      <c r="H43" s="4" t="s">
        <v>265</v>
      </c>
      <c r="I43" s="4">
        <f>IF(ISBLANK(H43), "", VLOOKUP(LOWER(H43), javascriptKeycodes!A:B, 2, FALSE))</f>
        <v>66</v>
      </c>
      <c r="J43" s="4" t="str">
        <f>IF(ISBLANK(H43), "", VLOOKUP(LOWER(H43), javascriptKeycodes!A:C, 3, FALSE))</f>
        <v>key_b</v>
      </c>
      <c r="K43" s="4" t="str">
        <f t="shared" si="5"/>
        <v>CTRL_B</v>
      </c>
      <c r="L43" t="s">
        <v>908</v>
      </c>
      <c r="M43" t="s">
        <v>900</v>
      </c>
      <c r="N43" t="s">
        <v>904</v>
      </c>
      <c r="O43" t="s">
        <v>902</v>
      </c>
      <c r="P43" t="s">
        <v>906</v>
      </c>
    </row>
    <row r="44" spans="1:16" x14ac:dyDescent="0.3">
      <c r="A44">
        <f t="shared" si="1"/>
        <v>42</v>
      </c>
      <c r="B44" t="b">
        <v>0</v>
      </c>
      <c r="C44" t="b">
        <v>0</v>
      </c>
      <c r="D44" t="s">
        <v>280</v>
      </c>
      <c r="F44" s="4"/>
      <c r="G44" s="4"/>
      <c r="H44" s="4"/>
      <c r="I44" s="4" t="str">
        <f>IF(ISBLANK(H44), "", VLOOKUP(LOWER(H44), javascriptKeycodes!A:B, 2, FALSE))</f>
        <v/>
      </c>
      <c r="J44" s="4" t="str">
        <f>IF(ISBLANK(H44), "", VLOOKUP(LOWER(H44), javascriptKeycodes!A:C, 3, FALSE))</f>
        <v/>
      </c>
      <c r="K44" s="4" t="str">
        <f t="shared" si="5"/>
        <v/>
      </c>
      <c r="L44" t="s">
        <v>2251</v>
      </c>
      <c r="M44" t="s">
        <v>279</v>
      </c>
      <c r="N44" t="s">
        <v>281</v>
      </c>
      <c r="O44" t="s">
        <v>468</v>
      </c>
      <c r="P44" t="s">
        <v>502</v>
      </c>
    </row>
    <row r="45" spans="1:16" x14ac:dyDescent="0.3">
      <c r="A45">
        <f t="shared" si="1"/>
        <v>43</v>
      </c>
      <c r="B45" t="b">
        <v>1</v>
      </c>
      <c r="C45" t="b">
        <v>0</v>
      </c>
      <c r="D45" t="s">
        <v>191</v>
      </c>
      <c r="F45" s="4" t="b">
        <v>1</v>
      </c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5"/>
        <v>ALT_H</v>
      </c>
      <c r="L45" t="s">
        <v>435</v>
      </c>
      <c r="M45" t="s">
        <v>147</v>
      </c>
      <c r="N45" t="s">
        <v>231</v>
      </c>
      <c r="O45" t="s">
        <v>470</v>
      </c>
      <c r="P45" t="s">
        <v>504</v>
      </c>
    </row>
    <row r="46" spans="1:16" x14ac:dyDescent="0.3">
      <c r="A46">
        <f t="shared" si="1"/>
        <v>44</v>
      </c>
      <c r="B46" t="b">
        <v>0</v>
      </c>
      <c r="C46" t="b">
        <v>0</v>
      </c>
      <c r="D46" t="s">
        <v>183</v>
      </c>
      <c r="E46" t="b">
        <v>1</v>
      </c>
      <c r="F46" s="4"/>
      <c r="G46" s="4"/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5"/>
        <v>CTRL_H</v>
      </c>
      <c r="L46" t="s">
        <v>1661</v>
      </c>
      <c r="M46" t="s">
        <v>148</v>
      </c>
      <c r="N46" t="s">
        <v>232</v>
      </c>
      <c r="O46" t="s">
        <v>471</v>
      </c>
      <c r="P46" t="s">
        <v>505</v>
      </c>
    </row>
    <row r="47" spans="1:16" x14ac:dyDescent="0.3">
      <c r="A47">
        <f t="shared" si="1"/>
        <v>45</v>
      </c>
      <c r="B47" t="b">
        <v>0</v>
      </c>
      <c r="C47" t="b">
        <v>1</v>
      </c>
      <c r="D47" t="s">
        <v>186</v>
      </c>
      <c r="E47" t="b">
        <v>1</v>
      </c>
      <c r="F47" s="4"/>
      <c r="G47" s="4" t="b">
        <v>1</v>
      </c>
      <c r="H47" s="4" t="s">
        <v>267</v>
      </c>
      <c r="I47" s="4">
        <f>IF(ISBLANK(H47), "", VLOOKUP(LOWER(H47), javascriptKeycodes!A:B, 2, FALSE))</f>
        <v>72</v>
      </c>
      <c r="J47" s="4" t="str">
        <f>IF(ISBLANK(H47), "", VLOOKUP(LOWER(H47), javascriptKeycodes!A:C, 3, FALSE))</f>
        <v>key_h</v>
      </c>
      <c r="K47" s="4" t="str">
        <f t="shared" si="5"/>
        <v>CTRL_SHIFT_H</v>
      </c>
      <c r="L47" t="s">
        <v>1661</v>
      </c>
      <c r="M47" t="s">
        <v>184</v>
      </c>
      <c r="N47" t="s">
        <v>233</v>
      </c>
      <c r="O47" t="s">
        <v>472</v>
      </c>
      <c r="P47" t="s">
        <v>506</v>
      </c>
    </row>
    <row r="48" spans="1:16" x14ac:dyDescent="0.3">
      <c r="A48">
        <f t="shared" si="1"/>
        <v>46</v>
      </c>
      <c r="B48" t="b">
        <v>0</v>
      </c>
      <c r="C48" t="b">
        <v>0</v>
      </c>
      <c r="D48" t="s">
        <v>185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 t="shared" si="5"/>
        <v/>
      </c>
      <c r="L48" t="s">
        <v>1661</v>
      </c>
      <c r="M48" t="s">
        <v>149</v>
      </c>
      <c r="N48" t="s">
        <v>233</v>
      </c>
      <c r="O48" t="s">
        <v>473</v>
      </c>
      <c r="P48" t="s">
        <v>506</v>
      </c>
    </row>
    <row r="49" spans="1:17" x14ac:dyDescent="0.3">
      <c r="A49">
        <f t="shared" si="1"/>
        <v>47</v>
      </c>
      <c r="B49" t="b">
        <v>1</v>
      </c>
      <c r="C49" t="b">
        <v>0</v>
      </c>
      <c r="D49" t="s">
        <v>1727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M49" t="s">
        <v>1726</v>
      </c>
      <c r="N49" t="s">
        <v>1731</v>
      </c>
      <c r="O49" t="s">
        <v>1734</v>
      </c>
      <c r="P49" t="s">
        <v>1737</v>
      </c>
    </row>
    <row r="50" spans="1:17" x14ac:dyDescent="0.3">
      <c r="A50">
        <f t="shared" si="1"/>
        <v>48</v>
      </c>
      <c r="B50" t="b">
        <v>0</v>
      </c>
      <c r="C50" t="b">
        <v>0</v>
      </c>
      <c r="D50" t="s">
        <v>1908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1911</v>
      </c>
      <c r="M50" t="s">
        <v>1906</v>
      </c>
      <c r="N50" t="s">
        <v>1909</v>
      </c>
      <c r="O50" t="s">
        <v>1736</v>
      </c>
      <c r="P50" t="s">
        <v>1907</v>
      </c>
      <c r="Q50" t="s">
        <v>1910</v>
      </c>
    </row>
    <row r="51" spans="1:17" x14ac:dyDescent="0.3">
      <c r="A51">
        <f t="shared" si="1"/>
        <v>49</v>
      </c>
      <c r="B51" t="b">
        <v>0</v>
      </c>
      <c r="C51" t="b">
        <v>0</v>
      </c>
      <c r="D51" t="s">
        <v>1728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1740</v>
      </c>
      <c r="M51" t="s">
        <v>1729</v>
      </c>
      <c r="N51" t="s">
        <v>1732</v>
      </c>
      <c r="O51" t="s">
        <v>1736</v>
      </c>
      <c r="P51" t="s">
        <v>1738</v>
      </c>
    </row>
    <row r="52" spans="1:17" x14ac:dyDescent="0.3">
      <c r="A52">
        <f t="shared" si="1"/>
        <v>50</v>
      </c>
      <c r="B52" t="b">
        <v>0</v>
      </c>
      <c r="C52" t="b">
        <v>0</v>
      </c>
      <c r="D52" t="s">
        <v>1742</v>
      </c>
      <c r="F52" s="4"/>
      <c r="G52" s="4"/>
      <c r="H52" s="4"/>
      <c r="I52" s="4" t="str">
        <f>IF(ISBLANK(H52), "", VLOOKUP(LOWER(H52), javascriptKeycodes!A:B, 2, FALSE))</f>
        <v/>
      </c>
      <c r="J52" s="4" t="str">
        <f>IF(ISBLANK(H52), "", VLOOKUP(LOWER(H52), javascriptKeycodes!A:C, 3, FALSE))</f>
        <v/>
      </c>
      <c r="K52" s="4" t="str">
        <f>IF(E52,"CTRL_","")&amp;IF(F52,"ALT_","")&amp;IF(G52,"SHIFT_","")&amp;H52</f>
        <v/>
      </c>
      <c r="L52" t="s">
        <v>1741</v>
      </c>
      <c r="M52" t="s">
        <v>1730</v>
      </c>
      <c r="N52" t="s">
        <v>1733</v>
      </c>
      <c r="O52" t="s">
        <v>1735</v>
      </c>
      <c r="P52" t="s">
        <v>1739</v>
      </c>
    </row>
    <row r="53" spans="1:17" x14ac:dyDescent="0.3">
      <c r="F53" s="4"/>
      <c r="G53" s="4"/>
      <c r="H53" s="4"/>
      <c r="I53" s="4"/>
      <c r="J53" s="4"/>
      <c r="K53" s="4"/>
    </row>
    <row r="54" spans="1:17" x14ac:dyDescent="0.3">
      <c r="F54" s="4"/>
      <c r="G54" s="4"/>
      <c r="H54" s="4"/>
      <c r="I54" s="4"/>
      <c r="J54" s="4"/>
      <c r="K54" s="4"/>
    </row>
  </sheetData>
  <mergeCells count="3">
    <mergeCell ref="M1:N1"/>
    <mergeCell ref="O1:P1"/>
    <mergeCell ref="E1:K1"/>
  </mergeCells>
  <conditionalFormatting sqref="G55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/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IF(ISBLANK(menu!K16),"",menu!K16)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IF(ISBLANK(menu!K17),"",menu!K17)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IF(ISBLANK(menu!K18),"",menu!K18)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IF(ISBLANK(menu!K20),"",menu!K20)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IF(ISBLANK(menu!K21),"",menu!K21)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IF(ISBLANK(menu!K22),"",menu!K22)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IF(ISBLANK(menu!K23),"",menu!K23)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IF(ISBLANK(menu!K24),"",menu!K24)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IF(ISBLANK(menu!K25),"",menu!K25)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IF(ISBLANK(menu!K26),"",menu!K26)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IF(ISBLANK(menu!K28),"",menu!K28)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IF(ISBLANK(menu!K29),"",menu!K29)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IF(ISBLANK(menu!K36),"",menu!K36)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IF(ISBLANK(menu!K37),"",menu!K37)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IF(ISBLANK(menu!K31),"",menu!K31)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IF(ISBLANK(menu!K32),"",menu!K32)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IF(ISBLANK(menu!K33),"",menu!K33)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IF(ISBLANK(menu!K34),"",menu!K34)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IF(ISBLANK(menu!K38),"",menu!K38)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IF(ISBLANK(menu!K39),"",menu!K39)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IF(ISBLANK(menu!K40),"",menu!K40)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IF(ISBLANK(menu!K41),"",menu!K41)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IF(ISBLANK(menu!K44),"",menu!K44)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IF(ISBLANK(menu!K35),"",menu!K35)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IF(ISBLANK(menu!K49),"",menu!K49)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IF(ISBLANK(menu!K50),"",menu!K50)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IF(ISBLANK(menu!K51),"",menu!K51)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IF(ISBLANK(menu!K52),"",menu!K52)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IF(ISBLANK(menu!K45),"",menu!K45)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IF(ISBLANK(menu!K46),"",menu!K46)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IF(ISBLANK(menu!K47),"",menu!K47)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IF(ISBLANK(menu!K48),"",menu!K48)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IF(ISBLANK(menu!K53),"",menu!K53)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IF(ISBLANK(menu!K54),"",menu!K54)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IF(ISBLANK(menu!K55),"",menu!K55)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IF(ISBLANK(menu!K56),"",menu!K56)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IF(ISBLANK(menu!K57),"",menu!K57)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IF(ISBLANK(menu!K58),"",menu!K58)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IF(ISBLANK(menu!K59),"",menu!K59)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IF(ISBLANK(menu!K60),"",menu!K60)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IF(ISBLANK(menu!K61),"",menu!K61)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IF(ISBLANK(menu!K62),"",menu!K62)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IF(ISBLANK(menu!K63),"",menu!K63)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IF(ISBLANK(menu!K64),"",menu!K64)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IF(ISBLANK(menu!K65),"",menu!K65)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IF(ISBLANK(menu!K66),"",menu!K66)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IF(ISBLANK(menu!K67),"",menu!K67)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IF(ISBLANK(menu!K68),"",menu!K68)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IF(ISBLANK(menu!K69),"",menu!K69)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IF(ISBLANK(menu!K70),"",menu!K70)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IF(ISBLANK(menu!K71),"",menu!K71)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IF(ISBLANK(menu!K72),"",menu!K72)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IF(ISBLANK(menu!K73),"",menu!K73)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IF(ISBLANK(menu!K74),"",menu!K74)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IF(ISBLANK(menu!K75),"",menu!K75)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IF(ISBLANK(menu!K76),"",menu!K76)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IF(ISBLANK(menu!K77),"",menu!K77)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IF(ISBLANK(menu!K78),"",menu!K78)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IF(ISBLANK(menu!K79),"",menu!K79)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IF(ISBLANK(menu!K80),"",menu!K80)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IF(ISBLANK(menu!K81),"",menu!K81)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IF(ISBLANK(menu!K82),"",menu!K82)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IF(ISBLANK(menu!K83),"",menu!K83)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IF(ISBLANK(menu!K84),"",menu!K84)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IF(ISBLANK(menu!K85),"",menu!K85)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IF(ISBLANK(menu!K86),"",menu!K86)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IF(ISBLANK(menu!K87),"",menu!K87)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IF(ISBLANK(menu!K88),"",menu!K88)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IF(ISBLANK(menu!K89),"",menu!K89)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IF(ISBLANK(menu!K90),"",menu!K90)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IF(ISBLANK(menu!K91),"",menu!K91)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IF(ISBLANK(menu!K92),"",menu!K92)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IF(ISBLANK(menu!K93),"",menu!K93)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IF(ISBLANK(menu!K94),"",menu!K94)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IF(ISBLANK(menu!K95),"",menu!K95)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IF(ISBLANK(menu!K96),"",menu!K96)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IF(ISBLANK(menu!K97),"",menu!K97)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IF(ISBLANK(menu!K98),"",menu!K98)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IF(ISBLANK(menu!K99),"",menu!K99)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IF(ISBLANK(menu!K100),"",menu!K100)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IF(ISBLANK(menu!K101),"",menu!K101)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IF(ISBLANK(menu!K102),"",menu!K102)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IF(ISBLANK(menu!K103),"",menu!K103)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IF(ISBLANK(menu!K104),"",menu!K104)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IF(ISBLANK(menu!K105),"",menu!K105)</f>
        <v/>
      </c>
      <c r="M100" s="6" t="str">
        <f t="shared" si="3"/>
        <v/>
      </c>
    </row>
  </sheetData>
  <conditionalFormatting sqref="H1:I1048576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3"/>
  <sheetViews>
    <sheetView workbookViewId="0">
      <selection activeCell="B13" sqref="B13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2261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1227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1228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1229</v>
      </c>
      <c r="C5" s="6" t="s">
        <v>47</v>
      </c>
      <c r="D5" s="6" t="s">
        <v>1225</v>
      </c>
      <c r="E5" s="6" t="s">
        <v>704</v>
      </c>
      <c r="F5" s="6" t="s">
        <v>1226</v>
      </c>
    </row>
    <row r="6" spans="1:13" x14ac:dyDescent="0.3">
      <c r="A6" s="6" t="s">
        <v>1421</v>
      </c>
      <c r="B6" s="6" t="s">
        <v>1423</v>
      </c>
      <c r="C6" s="6" t="s">
        <v>1422</v>
      </c>
      <c r="D6" s="6" t="s">
        <v>1425</v>
      </c>
      <c r="E6" s="6" t="s">
        <v>1424</v>
      </c>
      <c r="F6" s="6" t="s">
        <v>1426</v>
      </c>
    </row>
    <row r="7" spans="1:13" x14ac:dyDescent="0.3">
      <c r="A7" s="6" t="s">
        <v>1220</v>
      </c>
      <c r="B7" s="6" t="s">
        <v>1230</v>
      </c>
      <c r="C7" s="6" t="s">
        <v>1221</v>
      </c>
      <c r="D7" s="6" t="s">
        <v>1222</v>
      </c>
      <c r="E7" s="6" t="s">
        <v>1223</v>
      </c>
      <c r="F7" s="6" t="s">
        <v>1224</v>
      </c>
    </row>
    <row r="8" spans="1:13" x14ac:dyDescent="0.3">
      <c r="A8" s="6" t="s">
        <v>2206</v>
      </c>
      <c r="B8" s="6" t="s">
        <v>2220</v>
      </c>
      <c r="C8" s="6" t="s">
        <v>2207</v>
      </c>
      <c r="D8" s="6" t="s">
        <v>2209</v>
      </c>
      <c r="E8" s="6" t="s">
        <v>2208</v>
      </c>
      <c r="F8" s="6" t="s">
        <v>2210</v>
      </c>
    </row>
    <row r="9" spans="1:13" x14ac:dyDescent="0.3">
      <c r="A9" s="6" t="s">
        <v>1247</v>
      </c>
      <c r="B9" s="6" t="s">
        <v>1233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2173</v>
      </c>
      <c r="B10" s="6" t="s">
        <v>2180</v>
      </c>
      <c r="C10" s="6" t="s">
        <v>2174</v>
      </c>
      <c r="D10" s="6" t="s">
        <v>2175</v>
      </c>
      <c r="E10" s="6" t="s">
        <v>2185</v>
      </c>
      <c r="F10" s="6" t="s">
        <v>2186</v>
      </c>
    </row>
    <row r="11" spans="1:13" x14ac:dyDescent="0.3">
      <c r="A11" s="6" t="s">
        <v>43</v>
      </c>
      <c r="B11" s="6" t="s">
        <v>1231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1232</v>
      </c>
      <c r="C12" s="6" t="s">
        <v>50</v>
      </c>
      <c r="D12" s="6" t="s">
        <v>71</v>
      </c>
      <c r="E12" s="6" t="s">
        <v>709</v>
      </c>
      <c r="F12" s="6" t="s">
        <v>710</v>
      </c>
    </row>
    <row r="13" spans="1:13" x14ac:dyDescent="0.3">
      <c r="A13" s="6" t="s">
        <v>45</v>
      </c>
      <c r="B13" s="6" t="s">
        <v>1234</v>
      </c>
      <c r="C13" s="6" t="s">
        <v>51</v>
      </c>
      <c r="D13" s="6" t="s">
        <v>72</v>
      </c>
      <c r="E13" s="6" t="s">
        <v>711</v>
      </c>
      <c r="F13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46"/>
  <sheetViews>
    <sheetView tabSelected="1" workbookViewId="0">
      <pane ySplit="2" topLeftCell="A123" activePane="bottomLeft" state="frozen"/>
      <selection pane="bottomLeft" activeCell="A143" sqref="A143"/>
    </sheetView>
  </sheetViews>
  <sheetFormatPr defaultRowHeight="14.4" x14ac:dyDescent="0.3"/>
  <cols>
    <col min="1" max="1" width="23.55468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1612</v>
      </c>
    </row>
    <row r="3" spans="1:18" x14ac:dyDescent="0.3">
      <c r="A3" s="13" t="s">
        <v>823</v>
      </c>
      <c r="B3" t="s">
        <v>1776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1839</v>
      </c>
    </row>
    <row r="4" spans="1:18" x14ac:dyDescent="0.3">
      <c r="A4" s="13" t="s">
        <v>1207</v>
      </c>
      <c r="B4" t="s">
        <v>1195</v>
      </c>
      <c r="E4">
        <v>48</v>
      </c>
      <c r="F4">
        <v>48</v>
      </c>
      <c r="H4" t="s">
        <v>40</v>
      </c>
      <c r="I4" t="s">
        <v>1199</v>
      </c>
      <c r="J4" t="s">
        <v>1203</v>
      </c>
      <c r="K4" t="s">
        <v>1416</v>
      </c>
      <c r="L4" t="s">
        <v>1205</v>
      </c>
      <c r="R4" s="12" t="s">
        <v>1630</v>
      </c>
    </row>
    <row r="5" spans="1:18" x14ac:dyDescent="0.3">
      <c r="A5" s="13" t="s">
        <v>1210</v>
      </c>
      <c r="B5" t="s">
        <v>1197</v>
      </c>
      <c r="E5">
        <v>48</v>
      </c>
      <c r="F5">
        <v>48</v>
      </c>
      <c r="H5" t="s">
        <v>40</v>
      </c>
      <c r="I5" t="s">
        <v>1202</v>
      </c>
      <c r="J5" t="s">
        <v>1215</v>
      </c>
      <c r="K5" t="s">
        <v>1415</v>
      </c>
      <c r="L5" t="s">
        <v>1216</v>
      </c>
      <c r="R5" s="12" t="s">
        <v>1631</v>
      </c>
    </row>
    <row r="6" spans="1:18" x14ac:dyDescent="0.3">
      <c r="A6" s="13" t="s">
        <v>1208</v>
      </c>
      <c r="B6" t="s">
        <v>1198</v>
      </c>
      <c r="E6">
        <v>48</v>
      </c>
      <c r="F6">
        <v>48</v>
      </c>
      <c r="H6" t="s">
        <v>40</v>
      </c>
      <c r="I6" t="s">
        <v>1200</v>
      </c>
      <c r="J6" t="s">
        <v>1204</v>
      </c>
      <c r="K6" t="s">
        <v>1417</v>
      </c>
      <c r="L6" t="s">
        <v>1206</v>
      </c>
      <c r="R6" s="12" t="s">
        <v>1632</v>
      </c>
    </row>
    <row r="7" spans="1:18" x14ac:dyDescent="0.3">
      <c r="A7" s="13" t="s">
        <v>1212</v>
      </c>
      <c r="B7" t="s">
        <v>1211</v>
      </c>
      <c r="E7">
        <v>48</v>
      </c>
      <c r="F7">
        <v>48</v>
      </c>
      <c r="H7" t="s">
        <v>40</v>
      </c>
      <c r="I7" t="s">
        <v>1213</v>
      </c>
      <c r="J7" t="s">
        <v>1218</v>
      </c>
      <c r="K7" t="s">
        <v>1213</v>
      </c>
      <c r="L7" t="s">
        <v>1219</v>
      </c>
      <c r="R7" s="12" t="s">
        <v>1633</v>
      </c>
    </row>
    <row r="8" spans="1:18" x14ac:dyDescent="0.3">
      <c r="A8" s="13" t="s">
        <v>1209</v>
      </c>
      <c r="B8" t="s">
        <v>1196</v>
      </c>
      <c r="E8">
        <v>48</v>
      </c>
      <c r="F8">
        <v>48</v>
      </c>
      <c r="H8" t="s">
        <v>40</v>
      </c>
      <c r="I8" t="s">
        <v>1201</v>
      </c>
      <c r="J8" t="s">
        <v>1214</v>
      </c>
      <c r="K8" t="s">
        <v>1414</v>
      </c>
      <c r="L8" t="s">
        <v>1217</v>
      </c>
      <c r="R8" s="12" t="s">
        <v>1634</v>
      </c>
    </row>
    <row r="9" spans="1:18" x14ac:dyDescent="0.3">
      <c r="A9" s="13" t="s">
        <v>1031</v>
      </c>
      <c r="B9" t="s">
        <v>1194</v>
      </c>
      <c r="C9" t="s">
        <v>299</v>
      </c>
      <c r="D9" t="s">
        <v>724</v>
      </c>
      <c r="E9">
        <v>48</v>
      </c>
      <c r="F9">
        <v>48</v>
      </c>
      <c r="G9" t="s">
        <v>1036</v>
      </c>
      <c r="H9" t="s">
        <v>40</v>
      </c>
      <c r="I9" t="s">
        <v>1032</v>
      </c>
      <c r="J9" t="s">
        <v>1033</v>
      </c>
      <c r="K9" t="s">
        <v>1034</v>
      </c>
      <c r="L9" t="s">
        <v>1035</v>
      </c>
      <c r="R9" s="12" t="s">
        <v>1627</v>
      </c>
    </row>
    <row r="10" spans="1:18" x14ac:dyDescent="0.3">
      <c r="A10" s="13" t="s">
        <v>1664</v>
      </c>
      <c r="B10" t="s">
        <v>1663</v>
      </c>
      <c r="E10">
        <v>48</v>
      </c>
      <c r="F10">
        <v>48</v>
      </c>
      <c r="H10" t="s">
        <v>40</v>
      </c>
      <c r="I10" t="s">
        <v>1665</v>
      </c>
      <c r="J10" t="s">
        <v>1667</v>
      </c>
      <c r="K10" t="s">
        <v>1666</v>
      </c>
      <c r="L10" t="s">
        <v>1668</v>
      </c>
      <c r="R10" s="12" t="s">
        <v>1669</v>
      </c>
    </row>
    <row r="11" spans="1:18" x14ac:dyDescent="0.3">
      <c r="A11" s="13" t="s">
        <v>1953</v>
      </c>
      <c r="B11" t="s">
        <v>1954</v>
      </c>
      <c r="E11">
        <v>48</v>
      </c>
      <c r="F11">
        <v>96</v>
      </c>
      <c r="H11" t="s">
        <v>40</v>
      </c>
      <c r="I11" t="s">
        <v>1955</v>
      </c>
      <c r="J11" t="s">
        <v>1958</v>
      </c>
      <c r="K11" t="s">
        <v>1956</v>
      </c>
      <c r="L11" t="s">
        <v>1957</v>
      </c>
      <c r="R11" s="12" t="s">
        <v>1959</v>
      </c>
    </row>
    <row r="12" spans="1:18" x14ac:dyDescent="0.3">
      <c r="A12" s="13" t="s">
        <v>2128</v>
      </c>
      <c r="B12" t="s">
        <v>2127</v>
      </c>
      <c r="E12">
        <v>48</v>
      </c>
      <c r="F12">
        <v>48</v>
      </c>
      <c r="H12" t="s">
        <v>40</v>
      </c>
      <c r="I12" t="s">
        <v>2129</v>
      </c>
      <c r="J12" t="s">
        <v>2131</v>
      </c>
      <c r="K12" t="s">
        <v>2132</v>
      </c>
      <c r="L12" t="s">
        <v>2130</v>
      </c>
      <c r="R12" s="12" t="s">
        <v>2150</v>
      </c>
    </row>
    <row r="13" spans="1:18" x14ac:dyDescent="0.3">
      <c r="A13" s="13" t="s">
        <v>2138</v>
      </c>
      <c r="B13" t="s">
        <v>2133</v>
      </c>
      <c r="E13">
        <v>48</v>
      </c>
      <c r="F13">
        <v>48</v>
      </c>
      <c r="H13" t="s">
        <v>40</v>
      </c>
      <c r="I13" t="s">
        <v>2134</v>
      </c>
      <c r="J13" t="s">
        <v>2136</v>
      </c>
      <c r="K13" t="s">
        <v>2135</v>
      </c>
      <c r="L13" t="s">
        <v>2137</v>
      </c>
      <c r="R13" s="12" t="s">
        <v>2151</v>
      </c>
    </row>
    <row r="14" spans="1:18" x14ac:dyDescent="0.3">
      <c r="A14" s="13" t="s">
        <v>2153</v>
      </c>
      <c r="B14" t="s">
        <v>2152</v>
      </c>
      <c r="E14">
        <v>72</v>
      </c>
      <c r="F14">
        <v>48</v>
      </c>
      <c r="H14" t="s">
        <v>40</v>
      </c>
      <c r="I14" t="s">
        <v>2154</v>
      </c>
      <c r="J14" t="s">
        <v>2156</v>
      </c>
      <c r="K14" t="s">
        <v>2155</v>
      </c>
      <c r="L14" t="s">
        <v>2157</v>
      </c>
      <c r="R14" s="12" t="s">
        <v>2158</v>
      </c>
    </row>
    <row r="15" spans="1:18" x14ac:dyDescent="0.3">
      <c r="A15" s="13" t="s">
        <v>965</v>
      </c>
      <c r="B15" t="s">
        <v>969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967</v>
      </c>
      <c r="K15" t="s">
        <v>966</v>
      </c>
      <c r="L15" t="s">
        <v>968</v>
      </c>
      <c r="R15" s="12" t="s">
        <v>1626</v>
      </c>
    </row>
    <row r="16" spans="1:18" x14ac:dyDescent="0.3">
      <c r="A16" s="13" t="s">
        <v>922</v>
      </c>
      <c r="B16" t="s">
        <v>1935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1656</v>
      </c>
      <c r="K16" t="s">
        <v>925</v>
      </c>
      <c r="L16" t="s">
        <v>1657</v>
      </c>
      <c r="R16" s="12" t="s">
        <v>1936</v>
      </c>
    </row>
    <row r="17" spans="1:18" x14ac:dyDescent="0.3">
      <c r="A17" s="13" t="s">
        <v>1653</v>
      </c>
      <c r="B17" t="s">
        <v>1660</v>
      </c>
      <c r="E17">
        <v>96</v>
      </c>
      <c r="F17">
        <v>72</v>
      </c>
      <c r="H17" t="s">
        <v>54</v>
      </c>
      <c r="I17" t="s">
        <v>1654</v>
      </c>
      <c r="J17" t="s">
        <v>1658</v>
      </c>
      <c r="K17" t="s">
        <v>1655</v>
      </c>
      <c r="L17" t="s">
        <v>1659</v>
      </c>
      <c r="R17" s="12" t="s">
        <v>1933</v>
      </c>
    </row>
    <row r="18" spans="1:18" x14ac:dyDescent="0.3">
      <c r="A18" s="13" t="s">
        <v>1670</v>
      </c>
      <c r="B18" t="s">
        <v>1777</v>
      </c>
      <c r="E18">
        <v>96</v>
      </c>
      <c r="F18">
        <v>168</v>
      </c>
      <c r="H18" t="s">
        <v>54</v>
      </c>
      <c r="I18" t="s">
        <v>1671</v>
      </c>
      <c r="J18" t="s">
        <v>1672</v>
      </c>
      <c r="K18" t="s">
        <v>1673</v>
      </c>
      <c r="L18" t="s">
        <v>1674</v>
      </c>
      <c r="R18" s="12" t="s">
        <v>1934</v>
      </c>
    </row>
    <row r="19" spans="1:18" x14ac:dyDescent="0.3">
      <c r="A19" s="13" t="s">
        <v>1922</v>
      </c>
      <c r="B19" t="s">
        <v>1927</v>
      </c>
      <c r="E19">
        <v>96</v>
      </c>
      <c r="F19">
        <v>120</v>
      </c>
      <c r="H19" t="s">
        <v>54</v>
      </c>
      <c r="I19" t="s">
        <v>1923</v>
      </c>
      <c r="J19" t="s">
        <v>1925</v>
      </c>
      <c r="K19" t="s">
        <v>1924</v>
      </c>
      <c r="L19" t="s">
        <v>1926</v>
      </c>
      <c r="R19" s="12" t="s">
        <v>1964</v>
      </c>
    </row>
    <row r="20" spans="1:18" x14ac:dyDescent="0.3">
      <c r="A20" s="13" t="s">
        <v>1928</v>
      </c>
      <c r="B20" t="s">
        <v>1967</v>
      </c>
      <c r="E20">
        <v>96</v>
      </c>
      <c r="F20">
        <v>120</v>
      </c>
      <c r="H20" t="s">
        <v>54</v>
      </c>
      <c r="I20" t="s">
        <v>1960</v>
      </c>
      <c r="J20" t="s">
        <v>1962</v>
      </c>
      <c r="K20" t="s">
        <v>1961</v>
      </c>
      <c r="L20" t="s">
        <v>1963</v>
      </c>
      <c r="R20" s="12" t="s">
        <v>1968</v>
      </c>
    </row>
    <row r="21" spans="1:18" x14ac:dyDescent="0.3">
      <c r="A21" s="13" t="s">
        <v>1965</v>
      </c>
      <c r="B21" t="s">
        <v>1966</v>
      </c>
      <c r="E21">
        <v>96</v>
      </c>
      <c r="F21">
        <v>120</v>
      </c>
      <c r="H21" t="s">
        <v>54</v>
      </c>
      <c r="I21" t="s">
        <v>1929</v>
      </c>
      <c r="J21" t="s">
        <v>1931</v>
      </c>
      <c r="K21" t="s">
        <v>1930</v>
      </c>
      <c r="L21" t="s">
        <v>1932</v>
      </c>
      <c r="R21" s="12" t="s">
        <v>1969</v>
      </c>
    </row>
    <row r="22" spans="1:18" x14ac:dyDescent="0.3">
      <c r="A22" s="13" t="s">
        <v>1128</v>
      </c>
      <c r="B22" t="s">
        <v>1778</v>
      </c>
      <c r="C22" t="s">
        <v>299</v>
      </c>
      <c r="D22" t="s">
        <v>724</v>
      </c>
      <c r="E22">
        <v>48</v>
      </c>
      <c r="F22">
        <v>48</v>
      </c>
      <c r="G22" t="s">
        <v>1129</v>
      </c>
      <c r="H22" t="s">
        <v>41</v>
      </c>
      <c r="I22" t="s">
        <v>1130</v>
      </c>
      <c r="J22" t="s">
        <v>1132</v>
      </c>
      <c r="K22" t="s">
        <v>1131</v>
      </c>
      <c r="L22" t="s">
        <v>1133</v>
      </c>
      <c r="R22" s="12" t="s">
        <v>1840</v>
      </c>
    </row>
    <row r="23" spans="1:18" x14ac:dyDescent="0.3">
      <c r="A23" s="13" t="s">
        <v>1999</v>
      </c>
      <c r="B23" t="s">
        <v>2004</v>
      </c>
      <c r="E23">
        <v>72</v>
      </c>
      <c r="F23">
        <v>48</v>
      </c>
      <c r="H23" t="s">
        <v>41</v>
      </c>
      <c r="I23" t="s">
        <v>2000</v>
      </c>
      <c r="J23" t="s">
        <v>2002</v>
      </c>
      <c r="K23" t="s">
        <v>2001</v>
      </c>
      <c r="L23" t="s">
        <v>2003</v>
      </c>
      <c r="R23" s="12" t="s">
        <v>2005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1720</v>
      </c>
    </row>
    <row r="25" spans="1:18" x14ac:dyDescent="0.3">
      <c r="A25" s="13" t="s">
        <v>1380</v>
      </c>
      <c r="B25" t="s">
        <v>1272</v>
      </c>
      <c r="E25">
        <v>48</v>
      </c>
      <c r="F25">
        <v>48</v>
      </c>
      <c r="H25" t="s">
        <v>41</v>
      </c>
      <c r="I25" t="s">
        <v>1273</v>
      </c>
      <c r="J25" t="s">
        <v>1281</v>
      </c>
      <c r="K25" t="s">
        <v>1326</v>
      </c>
      <c r="L25" t="s">
        <v>1348</v>
      </c>
      <c r="R25" s="12" t="s">
        <v>1643</v>
      </c>
    </row>
    <row r="26" spans="1:18" x14ac:dyDescent="0.3">
      <c r="A26" s="13" t="s">
        <v>1381</v>
      </c>
      <c r="B26" t="s">
        <v>1779</v>
      </c>
      <c r="E26">
        <v>48</v>
      </c>
      <c r="F26">
        <v>48</v>
      </c>
      <c r="H26" t="s">
        <v>41</v>
      </c>
      <c r="I26" t="s">
        <v>1274</v>
      </c>
      <c r="J26" t="s">
        <v>1282</v>
      </c>
      <c r="K26" t="s">
        <v>1327</v>
      </c>
      <c r="L26" t="s">
        <v>1349</v>
      </c>
      <c r="R26" s="12" t="s">
        <v>1841</v>
      </c>
    </row>
    <row r="27" spans="1:18" x14ac:dyDescent="0.3">
      <c r="A27" s="13" t="s">
        <v>1378</v>
      </c>
      <c r="B27" t="s">
        <v>1292</v>
      </c>
      <c r="E27">
        <v>48</v>
      </c>
      <c r="F27">
        <v>48</v>
      </c>
      <c r="H27" t="s">
        <v>41</v>
      </c>
      <c r="I27" t="s">
        <v>1270</v>
      </c>
      <c r="J27" t="s">
        <v>1294</v>
      </c>
      <c r="K27" t="s">
        <v>1324</v>
      </c>
      <c r="L27" t="s">
        <v>1346</v>
      </c>
      <c r="R27" s="12" t="s">
        <v>1642</v>
      </c>
    </row>
    <row r="28" spans="1:18" x14ac:dyDescent="0.3">
      <c r="A28" s="13" t="s">
        <v>1388</v>
      </c>
      <c r="B28" t="s">
        <v>1295</v>
      </c>
      <c r="E28">
        <v>48</v>
      </c>
      <c r="F28">
        <v>48</v>
      </c>
      <c r="H28" t="s">
        <v>41</v>
      </c>
      <c r="I28" t="s">
        <v>1296</v>
      </c>
      <c r="J28" t="s">
        <v>1293</v>
      </c>
      <c r="K28" t="s">
        <v>1333</v>
      </c>
      <c r="L28" t="s">
        <v>1356</v>
      </c>
      <c r="R28" s="12" t="s">
        <v>1644</v>
      </c>
    </row>
    <row r="29" spans="1:18" x14ac:dyDescent="0.3">
      <c r="A29" s="13" t="s">
        <v>1387</v>
      </c>
      <c r="B29" t="s">
        <v>1780</v>
      </c>
      <c r="E29">
        <v>48</v>
      </c>
      <c r="F29">
        <v>48</v>
      </c>
      <c r="H29" t="s">
        <v>41</v>
      </c>
      <c r="I29" t="s">
        <v>1291</v>
      </c>
      <c r="J29" t="s">
        <v>1290</v>
      </c>
      <c r="K29" t="s">
        <v>1719</v>
      </c>
      <c r="L29" t="s">
        <v>1355</v>
      </c>
      <c r="R29" s="12" t="s">
        <v>1842</v>
      </c>
    </row>
    <row r="30" spans="1:18" x14ac:dyDescent="0.3">
      <c r="A30" s="13" t="s">
        <v>1400</v>
      </c>
      <c r="B30" t="s">
        <v>1781</v>
      </c>
      <c r="E30">
        <v>48</v>
      </c>
      <c r="F30">
        <v>48</v>
      </c>
      <c r="H30" t="s">
        <v>41</v>
      </c>
      <c r="I30" t="s">
        <v>1303</v>
      </c>
      <c r="J30" t="s">
        <v>1318</v>
      </c>
      <c r="K30" t="s">
        <v>1340</v>
      </c>
      <c r="L30" t="s">
        <v>1368</v>
      </c>
      <c r="R30" s="12" t="s">
        <v>1843</v>
      </c>
    </row>
    <row r="31" spans="1:18" x14ac:dyDescent="0.3">
      <c r="A31" s="13" t="s">
        <v>1402</v>
      </c>
      <c r="B31" t="s">
        <v>1782</v>
      </c>
      <c r="E31">
        <v>48</v>
      </c>
      <c r="F31">
        <v>48</v>
      </c>
      <c r="H31" t="s">
        <v>41</v>
      </c>
      <c r="I31" t="s">
        <v>1301</v>
      </c>
      <c r="J31" t="s">
        <v>1320</v>
      </c>
      <c r="K31" t="s">
        <v>1342</v>
      </c>
      <c r="L31" t="s">
        <v>1370</v>
      </c>
      <c r="R31" s="12" t="s">
        <v>1844</v>
      </c>
    </row>
    <row r="32" spans="1:18" x14ac:dyDescent="0.3">
      <c r="A32" s="13" t="s">
        <v>1376</v>
      </c>
      <c r="B32" t="s">
        <v>1986</v>
      </c>
      <c r="E32">
        <v>48</v>
      </c>
      <c r="F32">
        <v>48</v>
      </c>
      <c r="H32" t="s">
        <v>41</v>
      </c>
      <c r="I32" t="s">
        <v>1268</v>
      </c>
      <c r="J32" t="s">
        <v>1278</v>
      </c>
      <c r="K32" t="s">
        <v>1322</v>
      </c>
      <c r="L32" t="s">
        <v>1344</v>
      </c>
      <c r="R32" s="12" t="s">
        <v>1994</v>
      </c>
    </row>
    <row r="33" spans="1:18" x14ac:dyDescent="0.3">
      <c r="A33" s="13" t="s">
        <v>1970</v>
      </c>
      <c r="B33" t="s">
        <v>1987</v>
      </c>
      <c r="E33">
        <v>96</v>
      </c>
      <c r="F33">
        <v>48</v>
      </c>
      <c r="H33" t="s">
        <v>41</v>
      </c>
      <c r="I33" t="s">
        <v>1973</v>
      </c>
      <c r="J33" t="s">
        <v>1978</v>
      </c>
      <c r="K33" t="s">
        <v>1976</v>
      </c>
      <c r="L33" t="s">
        <v>1981</v>
      </c>
      <c r="R33" s="12" t="s">
        <v>1995</v>
      </c>
    </row>
    <row r="34" spans="1:18" x14ac:dyDescent="0.3">
      <c r="A34" s="13" t="s">
        <v>1971</v>
      </c>
      <c r="B34" t="s">
        <v>1988</v>
      </c>
      <c r="E34">
        <v>96</v>
      </c>
      <c r="F34">
        <v>48</v>
      </c>
      <c r="H34" t="s">
        <v>41</v>
      </c>
      <c r="I34" t="s">
        <v>1974</v>
      </c>
      <c r="J34" t="s">
        <v>1979</v>
      </c>
      <c r="K34" t="s">
        <v>1974</v>
      </c>
      <c r="L34" t="s">
        <v>1982</v>
      </c>
      <c r="R34" s="12" t="s">
        <v>1996</v>
      </c>
    </row>
    <row r="35" spans="1:18" x14ac:dyDescent="0.3">
      <c r="A35" s="13" t="s">
        <v>1972</v>
      </c>
      <c r="B35" t="s">
        <v>1989</v>
      </c>
      <c r="E35">
        <v>96</v>
      </c>
      <c r="F35">
        <v>48</v>
      </c>
      <c r="H35" t="s">
        <v>41</v>
      </c>
      <c r="I35" t="s">
        <v>1975</v>
      </c>
      <c r="J35" t="s">
        <v>1980</v>
      </c>
      <c r="K35" t="s">
        <v>1977</v>
      </c>
      <c r="L35" t="s">
        <v>1983</v>
      </c>
      <c r="R35" s="12" t="s">
        <v>1997</v>
      </c>
    </row>
    <row r="36" spans="1:18" x14ac:dyDescent="0.3">
      <c r="A36" s="13" t="s">
        <v>1985</v>
      </c>
      <c r="B36" t="s">
        <v>1984</v>
      </c>
      <c r="E36">
        <v>96</v>
      </c>
      <c r="F36">
        <v>48</v>
      </c>
      <c r="H36" t="s">
        <v>41</v>
      </c>
      <c r="I36" t="s">
        <v>1992</v>
      </c>
      <c r="J36" t="s">
        <v>1990</v>
      </c>
      <c r="K36" t="s">
        <v>1993</v>
      </c>
      <c r="L36" t="s">
        <v>1991</v>
      </c>
      <c r="R36" s="12" t="s">
        <v>1998</v>
      </c>
    </row>
    <row r="37" spans="1:18" x14ac:dyDescent="0.3">
      <c r="A37" s="13" t="s">
        <v>1403</v>
      </c>
      <c r="B37" t="s">
        <v>1783</v>
      </c>
      <c r="E37">
        <v>48</v>
      </c>
      <c r="F37">
        <v>48</v>
      </c>
      <c r="H37" t="s">
        <v>41</v>
      </c>
      <c r="I37" t="s">
        <v>1202</v>
      </c>
      <c r="J37" t="s">
        <v>1321</v>
      </c>
      <c r="K37" t="s">
        <v>1343</v>
      </c>
      <c r="L37" t="s">
        <v>1371</v>
      </c>
      <c r="R37" s="12" t="s">
        <v>1845</v>
      </c>
    </row>
    <row r="38" spans="1:18" x14ac:dyDescent="0.3">
      <c r="A38" s="13" t="s">
        <v>1401</v>
      </c>
      <c r="B38" t="s">
        <v>1784</v>
      </c>
      <c r="E38">
        <v>48</v>
      </c>
      <c r="F38">
        <v>48</v>
      </c>
      <c r="H38" t="s">
        <v>41</v>
      </c>
      <c r="I38" t="s">
        <v>1302</v>
      </c>
      <c r="J38" t="s">
        <v>1319</v>
      </c>
      <c r="K38" t="s">
        <v>1341</v>
      </c>
      <c r="L38" t="s">
        <v>1369</v>
      </c>
      <c r="R38" s="12" t="s">
        <v>1846</v>
      </c>
    </row>
    <row r="39" spans="1:18" x14ac:dyDescent="0.3">
      <c r="A39" s="13" t="s">
        <v>1379</v>
      </c>
      <c r="B39" t="s">
        <v>1785</v>
      </c>
      <c r="E39">
        <v>48</v>
      </c>
      <c r="F39">
        <v>48</v>
      </c>
      <c r="H39" t="s">
        <v>41</v>
      </c>
      <c r="I39" t="s">
        <v>1271</v>
      </c>
      <c r="J39" t="s">
        <v>1280</v>
      </c>
      <c r="K39" t="s">
        <v>1325</v>
      </c>
      <c r="L39" t="s">
        <v>1347</v>
      </c>
      <c r="R39" s="12" t="s">
        <v>1847</v>
      </c>
    </row>
    <row r="40" spans="1:18" x14ac:dyDescent="0.3">
      <c r="A40" s="13" t="s">
        <v>1377</v>
      </c>
      <c r="B40" t="s">
        <v>1786</v>
      </c>
      <c r="E40">
        <v>48</v>
      </c>
      <c r="F40">
        <v>48</v>
      </c>
      <c r="H40" t="s">
        <v>41</v>
      </c>
      <c r="I40" t="s">
        <v>1269</v>
      </c>
      <c r="J40" t="s">
        <v>1279</v>
      </c>
      <c r="K40" t="s">
        <v>1323</v>
      </c>
      <c r="L40" t="s">
        <v>1345</v>
      </c>
      <c r="R40" s="12" t="s">
        <v>1848</v>
      </c>
    </row>
    <row r="41" spans="1:18" x14ac:dyDescent="0.3">
      <c r="A41" s="13" t="s">
        <v>1382</v>
      </c>
      <c r="B41" t="s">
        <v>1787</v>
      </c>
      <c r="E41">
        <v>48</v>
      </c>
      <c r="F41">
        <v>48</v>
      </c>
      <c r="H41" t="s">
        <v>41</v>
      </c>
      <c r="I41" t="s">
        <v>1276</v>
      </c>
      <c r="J41" t="s">
        <v>1283</v>
      </c>
      <c r="K41" t="s">
        <v>1328</v>
      </c>
      <c r="L41" t="s">
        <v>1350</v>
      </c>
      <c r="R41" s="12" t="s">
        <v>1849</v>
      </c>
    </row>
    <row r="42" spans="1:18" x14ac:dyDescent="0.3">
      <c r="A42" s="13" t="s">
        <v>1390</v>
      </c>
      <c r="B42" t="s">
        <v>1788</v>
      </c>
      <c r="E42">
        <v>48</v>
      </c>
      <c r="F42">
        <v>48</v>
      </c>
      <c r="H42" t="s">
        <v>41</v>
      </c>
      <c r="I42" t="s">
        <v>1299</v>
      </c>
      <c r="J42" t="s">
        <v>1300</v>
      </c>
      <c r="K42" t="s">
        <v>1334</v>
      </c>
      <c r="L42" t="s">
        <v>1358</v>
      </c>
      <c r="R42" s="12" t="s">
        <v>1850</v>
      </c>
    </row>
    <row r="43" spans="1:18" x14ac:dyDescent="0.3">
      <c r="A43" s="13" t="s">
        <v>1383</v>
      </c>
      <c r="B43" t="s">
        <v>1789</v>
      </c>
      <c r="E43">
        <v>48</v>
      </c>
      <c r="F43">
        <v>48</v>
      </c>
      <c r="H43" t="s">
        <v>41</v>
      </c>
      <c r="I43" t="s">
        <v>1275</v>
      </c>
      <c r="J43" t="s">
        <v>1285</v>
      </c>
      <c r="K43" t="s">
        <v>1329</v>
      </c>
      <c r="L43" t="s">
        <v>1351</v>
      </c>
      <c r="R43" s="12" t="s">
        <v>1851</v>
      </c>
    </row>
    <row r="44" spans="1:18" x14ac:dyDescent="0.3">
      <c r="A44" s="13" t="s">
        <v>1384</v>
      </c>
      <c r="B44" t="s">
        <v>1790</v>
      </c>
      <c r="E44">
        <v>48</v>
      </c>
      <c r="F44">
        <v>48</v>
      </c>
      <c r="H44" t="s">
        <v>41</v>
      </c>
      <c r="I44" t="s">
        <v>1286</v>
      </c>
      <c r="J44" t="s">
        <v>1284</v>
      </c>
      <c r="K44" t="s">
        <v>1330</v>
      </c>
      <c r="L44" t="s">
        <v>1352</v>
      </c>
      <c r="R44" s="12" t="s">
        <v>1852</v>
      </c>
    </row>
    <row r="45" spans="1:18" x14ac:dyDescent="0.3">
      <c r="A45" s="13" t="s">
        <v>1385</v>
      </c>
      <c r="B45" t="s">
        <v>1791</v>
      </c>
      <c r="E45">
        <v>48</v>
      </c>
      <c r="F45">
        <v>48</v>
      </c>
      <c r="H45" t="s">
        <v>41</v>
      </c>
      <c r="I45" t="s">
        <v>1277</v>
      </c>
      <c r="J45" t="s">
        <v>1287</v>
      </c>
      <c r="K45" t="s">
        <v>1331</v>
      </c>
      <c r="L45" t="s">
        <v>1353</v>
      </c>
      <c r="R45" s="12" t="s">
        <v>1853</v>
      </c>
    </row>
    <row r="46" spans="1:18" x14ac:dyDescent="0.3">
      <c r="A46" s="13" t="s">
        <v>1386</v>
      </c>
      <c r="B46" t="s">
        <v>1792</v>
      </c>
      <c r="E46">
        <v>48</v>
      </c>
      <c r="F46">
        <v>48</v>
      </c>
      <c r="H46" t="s">
        <v>41</v>
      </c>
      <c r="I46" t="s">
        <v>1288</v>
      </c>
      <c r="J46" t="s">
        <v>1289</v>
      </c>
      <c r="K46" t="s">
        <v>1332</v>
      </c>
      <c r="L46" t="s">
        <v>1354</v>
      </c>
      <c r="R46" s="12" t="s">
        <v>1854</v>
      </c>
    </row>
    <row r="47" spans="1:18" x14ac:dyDescent="0.3">
      <c r="A47" s="13" t="s">
        <v>1395</v>
      </c>
      <c r="B47" t="s">
        <v>1793</v>
      </c>
      <c r="E47">
        <v>48</v>
      </c>
      <c r="F47">
        <v>48</v>
      </c>
      <c r="H47" t="s">
        <v>41</v>
      </c>
      <c r="I47" t="s">
        <v>1307</v>
      </c>
      <c r="J47" t="s">
        <v>1375</v>
      </c>
      <c r="K47" t="s">
        <v>1307</v>
      </c>
      <c r="L47" t="s">
        <v>1363</v>
      </c>
      <c r="R47" s="12" t="s">
        <v>1855</v>
      </c>
    </row>
    <row r="48" spans="1:18" x14ac:dyDescent="0.3">
      <c r="A48" s="13" t="s">
        <v>1396</v>
      </c>
      <c r="B48" t="s">
        <v>1794</v>
      </c>
      <c r="E48">
        <v>48</v>
      </c>
      <c r="F48">
        <v>48</v>
      </c>
      <c r="H48" t="s">
        <v>41</v>
      </c>
      <c r="I48" t="s">
        <v>1306</v>
      </c>
      <c r="J48" t="s">
        <v>1313</v>
      </c>
      <c r="K48" t="s">
        <v>1338</v>
      </c>
      <c r="L48" t="s">
        <v>1364</v>
      </c>
      <c r="R48" s="12" t="s">
        <v>1856</v>
      </c>
    </row>
    <row r="49" spans="1:18" x14ac:dyDescent="0.3">
      <c r="A49" s="13" t="s">
        <v>1393</v>
      </c>
      <c r="B49" t="s">
        <v>1795</v>
      </c>
      <c r="E49">
        <v>48</v>
      </c>
      <c r="F49">
        <v>48</v>
      </c>
      <c r="H49" t="s">
        <v>41</v>
      </c>
      <c r="I49" t="s">
        <v>1308</v>
      </c>
      <c r="J49" t="s">
        <v>1373</v>
      </c>
      <c r="K49" t="s">
        <v>1336</v>
      </c>
      <c r="L49" t="s">
        <v>1361</v>
      </c>
      <c r="R49" s="12" t="s">
        <v>1857</v>
      </c>
    </row>
    <row r="50" spans="1:18" x14ac:dyDescent="0.3">
      <c r="A50" s="13" t="s">
        <v>1394</v>
      </c>
      <c r="B50" t="s">
        <v>1796</v>
      </c>
      <c r="E50">
        <v>48</v>
      </c>
      <c r="F50">
        <v>48</v>
      </c>
      <c r="H50" t="s">
        <v>41</v>
      </c>
      <c r="I50" t="s">
        <v>1311</v>
      </c>
      <c r="J50" t="s">
        <v>1374</v>
      </c>
      <c r="K50" t="s">
        <v>1337</v>
      </c>
      <c r="L50" t="s">
        <v>1362</v>
      </c>
      <c r="R50" s="12" t="s">
        <v>1858</v>
      </c>
    </row>
    <row r="51" spans="1:18" x14ac:dyDescent="0.3">
      <c r="A51" s="13" t="s">
        <v>1392</v>
      </c>
      <c r="B51" t="s">
        <v>1797</v>
      </c>
      <c r="E51">
        <v>48</v>
      </c>
      <c r="F51">
        <v>48</v>
      </c>
      <c r="H51" t="s">
        <v>41</v>
      </c>
      <c r="I51" t="s">
        <v>1309</v>
      </c>
      <c r="J51" t="s">
        <v>1372</v>
      </c>
      <c r="K51" t="s">
        <v>1335</v>
      </c>
      <c r="L51" t="s">
        <v>1360</v>
      </c>
      <c r="R51" s="12" t="s">
        <v>1859</v>
      </c>
    </row>
    <row r="52" spans="1:18" x14ac:dyDescent="0.3">
      <c r="A52" s="13" t="s">
        <v>1409</v>
      </c>
      <c r="B52" t="s">
        <v>1798</v>
      </c>
      <c r="E52">
        <v>96</v>
      </c>
      <c r="F52">
        <v>48</v>
      </c>
      <c r="H52" t="s">
        <v>41</v>
      </c>
      <c r="I52" t="s">
        <v>1411</v>
      </c>
      <c r="J52" t="s">
        <v>1410</v>
      </c>
      <c r="K52" t="s">
        <v>1412</v>
      </c>
      <c r="L52" t="s">
        <v>1413</v>
      </c>
      <c r="R52" s="12" t="s">
        <v>1860</v>
      </c>
    </row>
    <row r="53" spans="1:18" x14ac:dyDescent="0.3">
      <c r="A53" s="13" t="s">
        <v>1391</v>
      </c>
      <c r="B53" t="s">
        <v>1799</v>
      </c>
      <c r="E53">
        <v>48</v>
      </c>
      <c r="F53">
        <v>48</v>
      </c>
      <c r="H53" t="s">
        <v>41</v>
      </c>
      <c r="I53" t="s">
        <v>1310</v>
      </c>
      <c r="J53" t="s">
        <v>1312</v>
      </c>
      <c r="K53" t="s">
        <v>1310</v>
      </c>
      <c r="L53" t="s">
        <v>1359</v>
      </c>
      <c r="R53" s="12" t="s">
        <v>1861</v>
      </c>
    </row>
    <row r="54" spans="1:18" x14ac:dyDescent="0.3">
      <c r="A54" s="13" t="s">
        <v>1389</v>
      </c>
      <c r="B54" t="s">
        <v>1800</v>
      </c>
      <c r="E54">
        <v>48</v>
      </c>
      <c r="F54">
        <v>48</v>
      </c>
      <c r="H54" t="s">
        <v>41</v>
      </c>
      <c r="I54" t="s">
        <v>1297</v>
      </c>
      <c r="J54" t="s">
        <v>1298</v>
      </c>
      <c r="K54" t="s">
        <v>1297</v>
      </c>
      <c r="L54" t="s">
        <v>1357</v>
      </c>
      <c r="R54" s="12" t="s">
        <v>1862</v>
      </c>
    </row>
    <row r="55" spans="1:18" x14ac:dyDescent="0.3">
      <c r="A55" s="13" t="s">
        <v>1408</v>
      </c>
      <c r="B55" t="s">
        <v>1801</v>
      </c>
      <c r="E55">
        <v>48</v>
      </c>
      <c r="F55">
        <v>48</v>
      </c>
      <c r="H55" t="s">
        <v>41</v>
      </c>
      <c r="I55" t="s">
        <v>1406</v>
      </c>
      <c r="J55" t="s">
        <v>1404</v>
      </c>
      <c r="K55" t="s">
        <v>1405</v>
      </c>
      <c r="L55" t="s">
        <v>1407</v>
      </c>
      <c r="R55" s="12" t="s">
        <v>1863</v>
      </c>
    </row>
    <row r="56" spans="1:18" x14ac:dyDescent="0.3">
      <c r="A56" s="13" t="s">
        <v>1398</v>
      </c>
      <c r="B56" t="s">
        <v>1802</v>
      </c>
      <c r="E56">
        <v>48</v>
      </c>
      <c r="F56">
        <v>48</v>
      </c>
      <c r="H56" t="s">
        <v>41</v>
      </c>
      <c r="I56" t="s">
        <v>1304</v>
      </c>
      <c r="J56" t="s">
        <v>1316</v>
      </c>
      <c r="K56" t="s">
        <v>1304</v>
      </c>
      <c r="L56" t="s">
        <v>1366</v>
      </c>
      <c r="R56" s="12" t="s">
        <v>1864</v>
      </c>
    </row>
    <row r="57" spans="1:18" x14ac:dyDescent="0.3">
      <c r="A57" s="13" t="s">
        <v>1399</v>
      </c>
      <c r="B57" t="s">
        <v>1803</v>
      </c>
      <c r="E57">
        <v>48</v>
      </c>
      <c r="F57">
        <v>48</v>
      </c>
      <c r="H57" t="s">
        <v>41</v>
      </c>
      <c r="I57" t="s">
        <v>1305</v>
      </c>
      <c r="J57" t="s">
        <v>1317</v>
      </c>
      <c r="K57" t="s">
        <v>1305</v>
      </c>
      <c r="L57" t="s">
        <v>1367</v>
      </c>
      <c r="R57" s="12" t="s">
        <v>1865</v>
      </c>
    </row>
    <row r="58" spans="1:18" x14ac:dyDescent="0.3">
      <c r="A58" s="13" t="s">
        <v>1397</v>
      </c>
      <c r="B58" t="s">
        <v>1804</v>
      </c>
      <c r="E58">
        <v>48</v>
      </c>
      <c r="F58">
        <v>48</v>
      </c>
      <c r="H58" t="s">
        <v>41</v>
      </c>
      <c r="I58" t="s">
        <v>1315</v>
      </c>
      <c r="J58" t="s">
        <v>1314</v>
      </c>
      <c r="K58" t="s">
        <v>1339</v>
      </c>
      <c r="L58" t="s">
        <v>1365</v>
      </c>
      <c r="R58" s="12" t="s">
        <v>1866</v>
      </c>
    </row>
    <row r="59" spans="1:18" x14ac:dyDescent="0.3">
      <c r="A59" s="13" t="s">
        <v>1495</v>
      </c>
      <c r="B59" t="s">
        <v>1805</v>
      </c>
      <c r="E59">
        <v>48</v>
      </c>
      <c r="F59">
        <v>48</v>
      </c>
      <c r="H59" t="s">
        <v>1421</v>
      </c>
      <c r="I59" t="s">
        <v>1447</v>
      </c>
      <c r="J59" t="s">
        <v>1471</v>
      </c>
      <c r="K59" t="s">
        <v>1447</v>
      </c>
      <c r="L59" t="s">
        <v>1519</v>
      </c>
      <c r="R59" s="12" t="s">
        <v>1867</v>
      </c>
    </row>
    <row r="60" spans="1:18" x14ac:dyDescent="0.3">
      <c r="A60" s="13" t="s">
        <v>1487</v>
      </c>
      <c r="B60" t="s">
        <v>1806</v>
      </c>
      <c r="E60">
        <v>48</v>
      </c>
      <c r="F60">
        <v>48</v>
      </c>
      <c r="H60" t="s">
        <v>1421</v>
      </c>
      <c r="I60" t="s">
        <v>1439</v>
      </c>
      <c r="J60" t="s">
        <v>1463</v>
      </c>
      <c r="K60" t="s">
        <v>1439</v>
      </c>
      <c r="L60" t="s">
        <v>1511</v>
      </c>
      <c r="R60" s="12" t="s">
        <v>1868</v>
      </c>
    </row>
    <row r="61" spans="1:18" x14ac:dyDescent="0.3">
      <c r="A61" s="13" t="s">
        <v>1497</v>
      </c>
      <c r="B61" t="s">
        <v>1807</v>
      </c>
      <c r="E61">
        <v>48</v>
      </c>
      <c r="F61">
        <v>48</v>
      </c>
      <c r="H61" t="s">
        <v>1421</v>
      </c>
      <c r="I61" t="s">
        <v>1449</v>
      </c>
      <c r="J61" t="s">
        <v>1473</v>
      </c>
      <c r="K61" t="s">
        <v>1449</v>
      </c>
      <c r="L61" t="s">
        <v>1521</v>
      </c>
      <c r="R61" s="12" t="s">
        <v>1869</v>
      </c>
    </row>
    <row r="62" spans="1:18" x14ac:dyDescent="0.3">
      <c r="A62" s="13" t="s">
        <v>1491</v>
      </c>
      <c r="B62" t="s">
        <v>1808</v>
      </c>
      <c r="E62">
        <v>48</v>
      </c>
      <c r="F62">
        <v>48</v>
      </c>
      <c r="H62" t="s">
        <v>1421</v>
      </c>
      <c r="I62" t="s">
        <v>1444</v>
      </c>
      <c r="J62" t="s">
        <v>1467</v>
      </c>
      <c r="K62" t="s">
        <v>1444</v>
      </c>
      <c r="L62" t="s">
        <v>1515</v>
      </c>
      <c r="R62" s="12" t="s">
        <v>1870</v>
      </c>
    </row>
    <row r="63" spans="1:18" x14ac:dyDescent="0.3">
      <c r="A63" s="13" t="s">
        <v>1493</v>
      </c>
      <c r="B63" t="s">
        <v>1809</v>
      </c>
      <c r="E63">
        <v>48</v>
      </c>
      <c r="F63">
        <v>48</v>
      </c>
      <c r="H63" t="s">
        <v>1421</v>
      </c>
      <c r="I63" t="s">
        <v>1445</v>
      </c>
      <c r="J63" t="s">
        <v>1469</v>
      </c>
      <c r="K63" t="s">
        <v>1445</v>
      </c>
      <c r="L63" t="s">
        <v>1517</v>
      </c>
      <c r="R63" s="12" t="s">
        <v>1871</v>
      </c>
    </row>
    <row r="64" spans="1:18" x14ac:dyDescent="0.3">
      <c r="A64" s="13" t="s">
        <v>1489</v>
      </c>
      <c r="B64" t="s">
        <v>1810</v>
      </c>
      <c r="E64">
        <v>48</v>
      </c>
      <c r="F64">
        <v>48</v>
      </c>
      <c r="H64" t="s">
        <v>1421</v>
      </c>
      <c r="I64" t="s">
        <v>1441</v>
      </c>
      <c r="J64" t="s">
        <v>1465</v>
      </c>
      <c r="K64" t="s">
        <v>1441</v>
      </c>
      <c r="L64" t="s">
        <v>1513</v>
      </c>
      <c r="R64" s="12" t="s">
        <v>1872</v>
      </c>
    </row>
    <row r="65" spans="1:18" x14ac:dyDescent="0.3">
      <c r="A65" s="13" t="s">
        <v>1483</v>
      </c>
      <c r="B65" t="s">
        <v>1811</v>
      </c>
      <c r="E65">
        <v>48</v>
      </c>
      <c r="F65">
        <v>48</v>
      </c>
      <c r="H65" t="s">
        <v>1421</v>
      </c>
      <c r="I65" t="s">
        <v>1435</v>
      </c>
      <c r="J65" t="s">
        <v>1459</v>
      </c>
      <c r="K65" t="s">
        <v>1435</v>
      </c>
      <c r="L65" t="s">
        <v>1507</v>
      </c>
      <c r="R65" s="12" t="s">
        <v>1873</v>
      </c>
    </row>
    <row r="66" spans="1:18" x14ac:dyDescent="0.3">
      <c r="A66" s="13" t="s">
        <v>1475</v>
      </c>
      <c r="B66" t="s">
        <v>1812</v>
      </c>
      <c r="E66">
        <v>48</v>
      </c>
      <c r="F66">
        <v>48</v>
      </c>
      <c r="H66" t="s">
        <v>1421</v>
      </c>
      <c r="I66" t="s">
        <v>1427</v>
      </c>
      <c r="J66" t="s">
        <v>1452</v>
      </c>
      <c r="K66" t="s">
        <v>1427</v>
      </c>
      <c r="L66" t="s">
        <v>1499</v>
      </c>
      <c r="R66" s="12" t="s">
        <v>1874</v>
      </c>
    </row>
    <row r="67" spans="1:18" x14ac:dyDescent="0.3">
      <c r="A67" s="13" t="s">
        <v>1485</v>
      </c>
      <c r="B67" t="s">
        <v>1813</v>
      </c>
      <c r="E67">
        <v>48</v>
      </c>
      <c r="F67">
        <v>48</v>
      </c>
      <c r="H67" t="s">
        <v>1421</v>
      </c>
      <c r="I67" t="s">
        <v>1437</v>
      </c>
      <c r="J67" t="s">
        <v>1461</v>
      </c>
      <c r="K67" t="s">
        <v>1437</v>
      </c>
      <c r="L67" t="s">
        <v>1509</v>
      </c>
      <c r="R67" s="12" t="s">
        <v>1875</v>
      </c>
    </row>
    <row r="68" spans="1:18" x14ac:dyDescent="0.3">
      <c r="A68" s="13" t="s">
        <v>2259</v>
      </c>
      <c r="B68" t="s">
        <v>2255</v>
      </c>
      <c r="E68">
        <v>72</v>
      </c>
      <c r="F68">
        <v>48</v>
      </c>
      <c r="H68" t="s">
        <v>1421</v>
      </c>
      <c r="I68" t="s">
        <v>2256</v>
      </c>
      <c r="J68" t="s">
        <v>2258</v>
      </c>
      <c r="K68" t="s">
        <v>2256</v>
      </c>
      <c r="L68" t="s">
        <v>2257</v>
      </c>
      <c r="R68" s="12" t="s">
        <v>2260</v>
      </c>
    </row>
    <row r="69" spans="1:18" x14ac:dyDescent="0.3">
      <c r="A69" s="13" t="s">
        <v>1479</v>
      </c>
      <c r="B69" t="s">
        <v>1814</v>
      </c>
      <c r="E69">
        <v>48</v>
      </c>
      <c r="F69">
        <v>48</v>
      </c>
      <c r="H69" t="s">
        <v>1421</v>
      </c>
      <c r="I69" t="s">
        <v>1431</v>
      </c>
      <c r="J69" t="s">
        <v>1451</v>
      </c>
      <c r="K69" t="s">
        <v>1431</v>
      </c>
      <c r="L69" t="s">
        <v>1503</v>
      </c>
      <c r="R69" s="12" t="s">
        <v>1876</v>
      </c>
    </row>
    <row r="70" spans="1:18" x14ac:dyDescent="0.3">
      <c r="A70" s="13" t="s">
        <v>1481</v>
      </c>
      <c r="B70" t="s">
        <v>1815</v>
      </c>
      <c r="E70">
        <v>48</v>
      </c>
      <c r="F70">
        <v>48</v>
      </c>
      <c r="H70" t="s">
        <v>1421</v>
      </c>
      <c r="I70" t="s">
        <v>1433</v>
      </c>
      <c r="J70" t="s">
        <v>1457</v>
      </c>
      <c r="K70" t="s">
        <v>1433</v>
      </c>
      <c r="L70" t="s">
        <v>1505</v>
      </c>
      <c r="R70" s="12" t="s">
        <v>1877</v>
      </c>
    </row>
    <row r="71" spans="1:18" x14ac:dyDescent="0.3">
      <c r="A71" s="13" t="s">
        <v>1477</v>
      </c>
      <c r="B71" t="s">
        <v>1816</v>
      </c>
      <c r="E71">
        <v>48</v>
      </c>
      <c r="F71">
        <v>48</v>
      </c>
      <c r="H71" t="s">
        <v>1421</v>
      </c>
      <c r="I71" t="s">
        <v>1429</v>
      </c>
      <c r="J71" t="s">
        <v>1454</v>
      </c>
      <c r="K71" t="s">
        <v>1429</v>
      </c>
      <c r="L71" t="s">
        <v>1501</v>
      </c>
      <c r="R71" s="12" t="s">
        <v>1878</v>
      </c>
    </row>
    <row r="72" spans="1:18" x14ac:dyDescent="0.3">
      <c r="A72" s="13" t="s">
        <v>1496</v>
      </c>
      <c r="B72" t="s">
        <v>1817</v>
      </c>
      <c r="E72">
        <v>48</v>
      </c>
      <c r="F72">
        <v>48</v>
      </c>
      <c r="H72" t="s">
        <v>1421</v>
      </c>
      <c r="I72" t="s">
        <v>1448</v>
      </c>
      <c r="J72" t="s">
        <v>1472</v>
      </c>
      <c r="K72" t="s">
        <v>1448</v>
      </c>
      <c r="L72" t="s">
        <v>1520</v>
      </c>
      <c r="R72" s="12" t="s">
        <v>1879</v>
      </c>
    </row>
    <row r="73" spans="1:18" x14ac:dyDescent="0.3">
      <c r="A73" s="13" t="s">
        <v>1488</v>
      </c>
      <c r="B73" t="s">
        <v>1818</v>
      </c>
      <c r="E73">
        <v>48</v>
      </c>
      <c r="F73">
        <v>48</v>
      </c>
      <c r="H73" t="s">
        <v>1421</v>
      </c>
      <c r="I73" t="s">
        <v>1440</v>
      </c>
      <c r="J73" t="s">
        <v>1464</v>
      </c>
      <c r="K73" t="s">
        <v>1440</v>
      </c>
      <c r="L73" t="s">
        <v>1512</v>
      </c>
      <c r="R73" s="12" t="s">
        <v>1880</v>
      </c>
    </row>
    <row r="74" spans="1:18" x14ac:dyDescent="0.3">
      <c r="A74" s="13" t="s">
        <v>1498</v>
      </c>
      <c r="B74" t="s">
        <v>1819</v>
      </c>
      <c r="E74">
        <v>48</v>
      </c>
      <c r="F74">
        <v>48</v>
      </c>
      <c r="H74" t="s">
        <v>1421</v>
      </c>
      <c r="I74" t="s">
        <v>1450</v>
      </c>
      <c r="J74" t="s">
        <v>1474</v>
      </c>
      <c r="K74" t="s">
        <v>1450</v>
      </c>
      <c r="L74" t="s">
        <v>1522</v>
      </c>
      <c r="R74" s="12" t="s">
        <v>1881</v>
      </c>
    </row>
    <row r="75" spans="1:18" x14ac:dyDescent="0.3">
      <c r="A75" s="13" t="s">
        <v>1492</v>
      </c>
      <c r="B75" t="s">
        <v>1820</v>
      </c>
      <c r="E75">
        <v>48</v>
      </c>
      <c r="F75">
        <v>48</v>
      </c>
      <c r="H75" t="s">
        <v>1421</v>
      </c>
      <c r="I75" t="s">
        <v>1443</v>
      </c>
      <c r="J75" t="s">
        <v>1468</v>
      </c>
      <c r="K75" t="s">
        <v>1443</v>
      </c>
      <c r="L75" t="s">
        <v>1516</v>
      </c>
      <c r="R75" s="12" t="s">
        <v>1882</v>
      </c>
    </row>
    <row r="76" spans="1:18" x14ac:dyDescent="0.3">
      <c r="A76" s="13" t="s">
        <v>1494</v>
      </c>
      <c r="B76" t="s">
        <v>1821</v>
      </c>
      <c r="E76">
        <v>48</v>
      </c>
      <c r="F76">
        <v>48</v>
      </c>
      <c r="H76" t="s">
        <v>1421</v>
      </c>
      <c r="I76" t="s">
        <v>1446</v>
      </c>
      <c r="J76" t="s">
        <v>1470</v>
      </c>
      <c r="K76" t="s">
        <v>1446</v>
      </c>
      <c r="L76" t="s">
        <v>1518</v>
      </c>
      <c r="R76" s="12" t="s">
        <v>1883</v>
      </c>
    </row>
    <row r="77" spans="1:18" x14ac:dyDescent="0.3">
      <c r="A77" s="13" t="s">
        <v>1490</v>
      </c>
      <c r="B77" t="s">
        <v>1822</v>
      </c>
      <c r="E77">
        <v>48</v>
      </c>
      <c r="F77">
        <v>48</v>
      </c>
      <c r="H77" t="s">
        <v>1421</v>
      </c>
      <c r="I77" t="s">
        <v>1442</v>
      </c>
      <c r="J77" t="s">
        <v>1466</v>
      </c>
      <c r="K77" t="s">
        <v>1442</v>
      </c>
      <c r="L77" t="s">
        <v>1514</v>
      </c>
      <c r="R77" s="12" t="s">
        <v>1884</v>
      </c>
    </row>
    <row r="78" spans="1:18" x14ac:dyDescent="0.3">
      <c r="A78" s="13" t="s">
        <v>1484</v>
      </c>
      <c r="B78" t="s">
        <v>1823</v>
      </c>
      <c r="E78">
        <v>48</v>
      </c>
      <c r="F78">
        <v>48</v>
      </c>
      <c r="H78" t="s">
        <v>1421</v>
      </c>
      <c r="I78" t="s">
        <v>1436</v>
      </c>
      <c r="J78" t="s">
        <v>1460</v>
      </c>
      <c r="K78" t="s">
        <v>1436</v>
      </c>
      <c r="L78" t="s">
        <v>1508</v>
      </c>
      <c r="R78" s="12" t="s">
        <v>1885</v>
      </c>
    </row>
    <row r="79" spans="1:18" x14ac:dyDescent="0.3">
      <c r="A79" s="13" t="s">
        <v>1476</v>
      </c>
      <c r="B79" t="s">
        <v>1824</v>
      </c>
      <c r="E79">
        <v>48</v>
      </c>
      <c r="F79">
        <v>48</v>
      </c>
      <c r="H79" t="s">
        <v>1421</v>
      </c>
      <c r="I79" t="s">
        <v>1428</v>
      </c>
      <c r="J79" t="s">
        <v>1453</v>
      </c>
      <c r="K79" t="s">
        <v>1428</v>
      </c>
      <c r="L79" t="s">
        <v>1500</v>
      </c>
      <c r="R79" s="12" t="s">
        <v>1886</v>
      </c>
    </row>
    <row r="80" spans="1:18" x14ac:dyDescent="0.3">
      <c r="A80" s="13" t="s">
        <v>1486</v>
      </c>
      <c r="B80" t="s">
        <v>1825</v>
      </c>
      <c r="E80">
        <v>48</v>
      </c>
      <c r="F80">
        <v>48</v>
      </c>
      <c r="H80" t="s">
        <v>1421</v>
      </c>
      <c r="I80" t="s">
        <v>1438</v>
      </c>
      <c r="J80" t="s">
        <v>1462</v>
      </c>
      <c r="K80" t="s">
        <v>1438</v>
      </c>
      <c r="L80" t="s">
        <v>1510</v>
      </c>
      <c r="R80" s="12" t="s">
        <v>1887</v>
      </c>
    </row>
    <row r="81" spans="1:18" x14ac:dyDescent="0.3">
      <c r="A81" s="13" t="s">
        <v>1480</v>
      </c>
      <c r="B81" t="s">
        <v>1826</v>
      </c>
      <c r="E81">
        <v>48</v>
      </c>
      <c r="F81">
        <v>48</v>
      </c>
      <c r="H81" t="s">
        <v>1421</v>
      </c>
      <c r="I81" t="s">
        <v>1432</v>
      </c>
      <c r="J81" t="s">
        <v>1456</v>
      </c>
      <c r="K81" t="s">
        <v>1432</v>
      </c>
      <c r="L81" t="s">
        <v>1504</v>
      </c>
      <c r="R81" s="12" t="s">
        <v>1888</v>
      </c>
    </row>
    <row r="82" spans="1:18" x14ac:dyDescent="0.3">
      <c r="A82" s="13" t="s">
        <v>1482</v>
      </c>
      <c r="B82" t="s">
        <v>1827</v>
      </c>
      <c r="E82">
        <v>48</v>
      </c>
      <c r="F82">
        <v>48</v>
      </c>
      <c r="H82" t="s">
        <v>1421</v>
      </c>
      <c r="I82" t="s">
        <v>1434</v>
      </c>
      <c r="J82" t="s">
        <v>1458</v>
      </c>
      <c r="K82" t="s">
        <v>1434</v>
      </c>
      <c r="L82" t="s">
        <v>1506</v>
      </c>
      <c r="R82" s="12" t="s">
        <v>1889</v>
      </c>
    </row>
    <row r="83" spans="1:18" x14ac:dyDescent="0.3">
      <c r="A83" s="13" t="s">
        <v>1478</v>
      </c>
      <c r="B83" t="s">
        <v>1828</v>
      </c>
      <c r="E83">
        <v>48</v>
      </c>
      <c r="F83">
        <v>48</v>
      </c>
      <c r="H83" t="s">
        <v>1421</v>
      </c>
      <c r="I83" t="s">
        <v>1430</v>
      </c>
      <c r="J83" t="s">
        <v>1455</v>
      </c>
      <c r="K83" t="s">
        <v>1430</v>
      </c>
      <c r="L83" t="s">
        <v>1502</v>
      </c>
      <c r="R83" s="12" t="s">
        <v>1890</v>
      </c>
    </row>
    <row r="84" spans="1:18" x14ac:dyDescent="0.3">
      <c r="A84" s="13" t="s">
        <v>1662</v>
      </c>
      <c r="B84" t="s">
        <v>1829</v>
      </c>
      <c r="E84">
        <v>48</v>
      </c>
      <c r="F84">
        <v>48</v>
      </c>
      <c r="H84" t="s">
        <v>1220</v>
      </c>
      <c r="I84" t="s">
        <v>1675</v>
      </c>
      <c r="J84" t="s">
        <v>1677</v>
      </c>
      <c r="K84" t="s">
        <v>1676</v>
      </c>
      <c r="L84" t="s">
        <v>1678</v>
      </c>
      <c r="R84" s="12" t="s">
        <v>1891</v>
      </c>
    </row>
    <row r="85" spans="1:18" x14ac:dyDescent="0.3">
      <c r="A85" s="13" t="s">
        <v>1938</v>
      </c>
      <c r="B85" t="s">
        <v>1937</v>
      </c>
      <c r="E85">
        <v>48</v>
      </c>
      <c r="F85">
        <v>48</v>
      </c>
      <c r="H85" t="s">
        <v>1220</v>
      </c>
      <c r="I85" t="s">
        <v>2080</v>
      </c>
      <c r="J85" t="s">
        <v>1945</v>
      </c>
      <c r="K85" t="s">
        <v>2080</v>
      </c>
      <c r="L85" t="s">
        <v>1946</v>
      </c>
      <c r="R85" s="12" t="s">
        <v>2102</v>
      </c>
    </row>
    <row r="86" spans="1:18" x14ac:dyDescent="0.3">
      <c r="A86" s="13" t="s">
        <v>1939</v>
      </c>
      <c r="B86" t="s">
        <v>1942</v>
      </c>
      <c r="E86">
        <v>48</v>
      </c>
      <c r="F86">
        <v>48</v>
      </c>
      <c r="H86" t="s">
        <v>1220</v>
      </c>
      <c r="I86" t="s">
        <v>2081</v>
      </c>
      <c r="J86" t="s">
        <v>1947</v>
      </c>
      <c r="K86" t="s">
        <v>2081</v>
      </c>
      <c r="L86" t="s">
        <v>1948</v>
      </c>
      <c r="R86" s="12" t="s">
        <v>2103</v>
      </c>
    </row>
    <row r="87" spans="1:18" x14ac:dyDescent="0.3">
      <c r="A87" s="13" t="s">
        <v>1940</v>
      </c>
      <c r="B87" t="s">
        <v>1944</v>
      </c>
      <c r="E87">
        <v>48</v>
      </c>
      <c r="F87">
        <v>48</v>
      </c>
      <c r="H87" t="s">
        <v>1220</v>
      </c>
      <c r="I87" t="s">
        <v>2082</v>
      </c>
      <c r="J87" t="s">
        <v>1949</v>
      </c>
      <c r="K87" t="s">
        <v>2082</v>
      </c>
      <c r="L87" t="s">
        <v>1950</v>
      </c>
      <c r="R87" s="12" t="s">
        <v>2104</v>
      </c>
    </row>
    <row r="88" spans="1:18" x14ac:dyDescent="0.3">
      <c r="A88" s="13" t="s">
        <v>1941</v>
      </c>
      <c r="B88" t="s">
        <v>1943</v>
      </c>
      <c r="E88">
        <v>48</v>
      </c>
      <c r="F88">
        <v>48</v>
      </c>
      <c r="H88" t="s">
        <v>1220</v>
      </c>
      <c r="I88" t="s">
        <v>2083</v>
      </c>
      <c r="J88" t="s">
        <v>1951</v>
      </c>
      <c r="K88" t="s">
        <v>2083</v>
      </c>
      <c r="L88" t="s">
        <v>1952</v>
      </c>
      <c r="R88" s="12" t="s">
        <v>2105</v>
      </c>
    </row>
    <row r="89" spans="1:18" x14ac:dyDescent="0.3">
      <c r="A89" s="13" t="s">
        <v>1698</v>
      </c>
      <c r="B89" t="s">
        <v>1830</v>
      </c>
      <c r="E89">
        <v>48</v>
      </c>
      <c r="F89">
        <v>48</v>
      </c>
      <c r="H89" t="s">
        <v>1220</v>
      </c>
      <c r="I89" t="s">
        <v>1699</v>
      </c>
      <c r="J89" t="s">
        <v>1704</v>
      </c>
      <c r="K89" t="s">
        <v>2093</v>
      </c>
      <c r="L89" t="s">
        <v>1700</v>
      </c>
      <c r="R89" s="12" t="s">
        <v>2106</v>
      </c>
    </row>
    <row r="90" spans="1:18" x14ac:dyDescent="0.3">
      <c r="A90" s="13" t="s">
        <v>2072</v>
      </c>
      <c r="B90" t="s">
        <v>2074</v>
      </c>
      <c r="E90">
        <v>48</v>
      </c>
      <c r="F90">
        <v>48</v>
      </c>
      <c r="H90" t="s">
        <v>1220</v>
      </c>
      <c r="I90" t="s">
        <v>2084</v>
      </c>
      <c r="J90" t="s">
        <v>2088</v>
      </c>
      <c r="K90" t="s">
        <v>2092</v>
      </c>
      <c r="L90" t="s">
        <v>2097</v>
      </c>
      <c r="R90" s="12" t="s">
        <v>2107</v>
      </c>
    </row>
    <row r="91" spans="1:18" x14ac:dyDescent="0.3">
      <c r="A91" s="13" t="s">
        <v>2073</v>
      </c>
      <c r="B91" t="s">
        <v>2076</v>
      </c>
      <c r="E91">
        <v>48</v>
      </c>
      <c r="F91">
        <v>48</v>
      </c>
      <c r="H91" t="s">
        <v>1220</v>
      </c>
      <c r="I91" t="s">
        <v>2085</v>
      </c>
      <c r="J91" t="s">
        <v>2089</v>
      </c>
      <c r="K91" t="s">
        <v>2094</v>
      </c>
      <c r="L91" t="s">
        <v>2098</v>
      </c>
      <c r="R91" s="12" t="s">
        <v>2108</v>
      </c>
    </row>
    <row r="92" spans="1:18" x14ac:dyDescent="0.3">
      <c r="A92" s="13" t="s">
        <v>2075</v>
      </c>
      <c r="B92" t="s">
        <v>2077</v>
      </c>
      <c r="E92">
        <v>48</v>
      </c>
      <c r="F92">
        <v>48</v>
      </c>
      <c r="H92" t="s">
        <v>1220</v>
      </c>
      <c r="I92" t="s">
        <v>2086</v>
      </c>
      <c r="J92" t="s">
        <v>2090</v>
      </c>
      <c r="K92" t="s">
        <v>2095</v>
      </c>
      <c r="L92" t="s">
        <v>2099</v>
      </c>
      <c r="R92" s="12" t="s">
        <v>2109</v>
      </c>
    </row>
    <row r="93" spans="1:18" x14ac:dyDescent="0.3">
      <c r="A93" s="13" t="s">
        <v>2078</v>
      </c>
      <c r="B93" t="s">
        <v>2079</v>
      </c>
      <c r="E93">
        <v>48</v>
      </c>
      <c r="F93">
        <v>48</v>
      </c>
      <c r="H93" t="s">
        <v>1220</v>
      </c>
      <c r="I93" t="s">
        <v>2087</v>
      </c>
      <c r="J93" t="s">
        <v>2091</v>
      </c>
      <c r="K93" t="s">
        <v>2096</v>
      </c>
      <c r="L93" t="s">
        <v>2100</v>
      </c>
      <c r="R93" s="12" t="s">
        <v>2110</v>
      </c>
    </row>
    <row r="94" spans="1:18" x14ac:dyDescent="0.3">
      <c r="A94" s="13" t="s">
        <v>1713</v>
      </c>
      <c r="B94" t="s">
        <v>1831</v>
      </c>
      <c r="E94">
        <v>48</v>
      </c>
      <c r="F94">
        <v>48</v>
      </c>
      <c r="H94" t="s">
        <v>1220</v>
      </c>
      <c r="I94" t="s">
        <v>1714</v>
      </c>
      <c r="J94" t="s">
        <v>1716</v>
      </c>
      <c r="K94" t="s">
        <v>1715</v>
      </c>
      <c r="L94" t="s">
        <v>1717</v>
      </c>
      <c r="R94" s="12" t="s">
        <v>1892</v>
      </c>
    </row>
    <row r="95" spans="1:18" x14ac:dyDescent="0.3">
      <c r="A95" s="13" t="s">
        <v>1685</v>
      </c>
      <c r="B95" t="s">
        <v>1832</v>
      </c>
      <c r="E95">
        <v>48</v>
      </c>
      <c r="F95">
        <v>48</v>
      </c>
      <c r="H95" t="s">
        <v>1220</v>
      </c>
      <c r="I95" t="s">
        <v>1679</v>
      </c>
      <c r="J95" t="s">
        <v>1681</v>
      </c>
      <c r="K95" t="s">
        <v>1680</v>
      </c>
      <c r="L95" t="s">
        <v>1682</v>
      </c>
      <c r="R95" s="12" t="s">
        <v>1893</v>
      </c>
    </row>
    <row r="96" spans="1:18" x14ac:dyDescent="0.3">
      <c r="A96" s="13" t="s">
        <v>1701</v>
      </c>
      <c r="B96" t="s">
        <v>1833</v>
      </c>
      <c r="E96">
        <v>48</v>
      </c>
      <c r="F96">
        <v>48</v>
      </c>
      <c r="H96" t="s">
        <v>1220</v>
      </c>
      <c r="I96" t="s">
        <v>1702</v>
      </c>
      <c r="J96" t="s">
        <v>1705</v>
      </c>
      <c r="K96" t="s">
        <v>1703</v>
      </c>
      <c r="L96" t="s">
        <v>1706</v>
      </c>
      <c r="R96" s="12" t="s">
        <v>1894</v>
      </c>
    </row>
    <row r="97" spans="1:18" x14ac:dyDescent="0.3">
      <c r="A97" s="13" t="s">
        <v>1709</v>
      </c>
      <c r="B97" t="s">
        <v>1708</v>
      </c>
      <c r="E97">
        <v>48</v>
      </c>
      <c r="F97">
        <v>48</v>
      </c>
      <c r="H97" t="s">
        <v>1220</v>
      </c>
      <c r="I97" t="s">
        <v>1707</v>
      </c>
      <c r="J97" t="s">
        <v>1711</v>
      </c>
      <c r="K97" t="s">
        <v>1710</v>
      </c>
      <c r="L97" t="s">
        <v>1712</v>
      </c>
      <c r="R97" s="12" t="s">
        <v>1718</v>
      </c>
    </row>
    <row r="98" spans="1:18" x14ac:dyDescent="0.3">
      <c r="A98" s="13" t="s">
        <v>1138</v>
      </c>
      <c r="B98" t="s">
        <v>1149</v>
      </c>
      <c r="D98" t="s">
        <v>724</v>
      </c>
      <c r="E98">
        <v>48</v>
      </c>
      <c r="F98">
        <v>48</v>
      </c>
      <c r="H98" t="s">
        <v>1220</v>
      </c>
      <c r="I98" t="s">
        <v>1140</v>
      </c>
      <c r="J98" t="s">
        <v>1144</v>
      </c>
      <c r="K98" t="s">
        <v>1142</v>
      </c>
      <c r="L98" t="s">
        <v>1146</v>
      </c>
      <c r="R98" s="12" t="s">
        <v>1628</v>
      </c>
    </row>
    <row r="99" spans="1:18" x14ac:dyDescent="0.3">
      <c r="A99" s="13" t="s">
        <v>1139</v>
      </c>
      <c r="B99" t="s">
        <v>1148</v>
      </c>
      <c r="D99" t="s">
        <v>724</v>
      </c>
      <c r="E99">
        <v>48</v>
      </c>
      <c r="F99">
        <v>48</v>
      </c>
      <c r="H99" t="s">
        <v>1220</v>
      </c>
      <c r="I99" t="s">
        <v>1141</v>
      </c>
      <c r="J99" t="s">
        <v>1145</v>
      </c>
      <c r="K99" t="s">
        <v>1143</v>
      </c>
      <c r="L99" t="s">
        <v>1147</v>
      </c>
      <c r="R99" s="12" t="s">
        <v>1629</v>
      </c>
    </row>
    <row r="100" spans="1:18" x14ac:dyDescent="0.3">
      <c r="A100" s="13" t="s">
        <v>1686</v>
      </c>
      <c r="B100" t="s">
        <v>1683</v>
      </c>
      <c r="E100">
        <v>48</v>
      </c>
      <c r="F100">
        <v>48</v>
      </c>
      <c r="H100" t="s">
        <v>1220</v>
      </c>
      <c r="I100" t="s">
        <v>1688</v>
      </c>
      <c r="J100" t="s">
        <v>1692</v>
      </c>
      <c r="K100" t="s">
        <v>1690</v>
      </c>
      <c r="L100" t="s">
        <v>1693</v>
      </c>
      <c r="R100" s="12" t="s">
        <v>1696</v>
      </c>
    </row>
    <row r="101" spans="1:18" x14ac:dyDescent="0.3">
      <c r="A101" s="13" t="s">
        <v>1687</v>
      </c>
      <c r="B101" t="s">
        <v>1684</v>
      </c>
      <c r="E101">
        <v>48</v>
      </c>
      <c r="F101">
        <v>48</v>
      </c>
      <c r="H101" t="s">
        <v>1220</v>
      </c>
      <c r="I101" t="s">
        <v>1689</v>
      </c>
      <c r="J101" t="s">
        <v>1694</v>
      </c>
      <c r="K101" t="s">
        <v>1691</v>
      </c>
      <c r="L101" t="s">
        <v>1695</v>
      </c>
      <c r="R101" s="12" t="s">
        <v>1697</v>
      </c>
    </row>
    <row r="102" spans="1:18" x14ac:dyDescent="0.3">
      <c r="A102" s="13" t="s">
        <v>2007</v>
      </c>
      <c r="B102" t="s">
        <v>2006</v>
      </c>
      <c r="E102">
        <v>144</v>
      </c>
      <c r="F102">
        <v>48</v>
      </c>
      <c r="H102" t="s">
        <v>1220</v>
      </c>
      <c r="I102" t="s">
        <v>296</v>
      </c>
      <c r="J102" t="s">
        <v>2044</v>
      </c>
      <c r="K102" t="s">
        <v>728</v>
      </c>
      <c r="L102" t="s">
        <v>2046</v>
      </c>
      <c r="R102" s="12" t="s">
        <v>2123</v>
      </c>
    </row>
    <row r="103" spans="1:18" x14ac:dyDescent="0.3">
      <c r="A103" s="13" t="s">
        <v>2010</v>
      </c>
      <c r="B103" t="s">
        <v>2008</v>
      </c>
      <c r="E103">
        <v>144</v>
      </c>
      <c r="F103">
        <v>48</v>
      </c>
      <c r="H103" t="s">
        <v>1220</v>
      </c>
      <c r="I103" t="s">
        <v>2028</v>
      </c>
      <c r="J103" t="s">
        <v>2045</v>
      </c>
      <c r="K103" t="s">
        <v>2038</v>
      </c>
      <c r="L103" t="s">
        <v>2057</v>
      </c>
      <c r="R103" s="12" t="s">
        <v>2124</v>
      </c>
    </row>
    <row r="104" spans="1:18" x14ac:dyDescent="0.3">
      <c r="A104" s="13" t="s">
        <v>2012</v>
      </c>
      <c r="B104" t="s">
        <v>2009</v>
      </c>
      <c r="E104">
        <v>120</v>
      </c>
      <c r="F104">
        <v>48</v>
      </c>
      <c r="H104" t="s">
        <v>2206</v>
      </c>
      <c r="I104" t="s">
        <v>2029</v>
      </c>
      <c r="J104" t="s">
        <v>2047</v>
      </c>
      <c r="K104" t="s">
        <v>2029</v>
      </c>
      <c r="L104" t="s">
        <v>2058</v>
      </c>
      <c r="R104" s="12" t="s">
        <v>2211</v>
      </c>
    </row>
    <row r="105" spans="1:18" x14ac:dyDescent="0.3">
      <c r="A105" s="13" t="s">
        <v>2013</v>
      </c>
      <c r="B105" t="s">
        <v>2011</v>
      </c>
      <c r="E105">
        <v>120</v>
      </c>
      <c r="F105">
        <v>48</v>
      </c>
      <c r="H105" t="s">
        <v>2206</v>
      </c>
      <c r="I105" t="s">
        <v>2030</v>
      </c>
      <c r="J105" t="s">
        <v>2048</v>
      </c>
      <c r="K105" t="s">
        <v>2030</v>
      </c>
      <c r="L105" t="s">
        <v>2059</v>
      </c>
      <c r="R105" s="12" t="s">
        <v>2212</v>
      </c>
    </row>
    <row r="106" spans="1:18" x14ac:dyDescent="0.3">
      <c r="A106" s="13" t="s">
        <v>2015</v>
      </c>
      <c r="B106" t="s">
        <v>2014</v>
      </c>
      <c r="E106">
        <v>48</v>
      </c>
      <c r="F106">
        <v>48</v>
      </c>
      <c r="H106" t="s">
        <v>2206</v>
      </c>
      <c r="I106" t="s">
        <v>2031</v>
      </c>
      <c r="J106" t="s">
        <v>2049</v>
      </c>
      <c r="K106" t="s">
        <v>2043</v>
      </c>
      <c r="L106" t="s">
        <v>2060</v>
      </c>
      <c r="R106" s="12" t="s">
        <v>2213</v>
      </c>
    </row>
    <row r="107" spans="1:18" x14ac:dyDescent="0.3">
      <c r="A107" s="13" t="s">
        <v>2017</v>
      </c>
      <c r="B107" t="s">
        <v>2016</v>
      </c>
      <c r="E107">
        <v>96</v>
      </c>
      <c r="F107">
        <v>48</v>
      </c>
      <c r="H107" t="s">
        <v>2206</v>
      </c>
      <c r="I107" t="s">
        <v>2032</v>
      </c>
      <c r="J107" t="s">
        <v>2050</v>
      </c>
      <c r="K107" t="s">
        <v>2039</v>
      </c>
      <c r="L107" t="s">
        <v>2061</v>
      </c>
      <c r="R107" s="12" t="s">
        <v>2214</v>
      </c>
    </row>
    <row r="108" spans="1:18" x14ac:dyDescent="0.3">
      <c r="A108" s="13" t="s">
        <v>2019</v>
      </c>
      <c r="B108" t="s">
        <v>2018</v>
      </c>
      <c r="E108">
        <v>48</v>
      </c>
      <c r="F108">
        <v>48</v>
      </c>
      <c r="H108" t="s">
        <v>2206</v>
      </c>
      <c r="I108" t="s">
        <v>2033</v>
      </c>
      <c r="J108" t="s">
        <v>2051</v>
      </c>
      <c r="K108" t="s">
        <v>2040</v>
      </c>
      <c r="L108" t="s">
        <v>2062</v>
      </c>
      <c r="R108" s="12" t="s">
        <v>2215</v>
      </c>
    </row>
    <row r="109" spans="1:18" x14ac:dyDescent="0.3">
      <c r="A109" s="13" t="s">
        <v>2021</v>
      </c>
      <c r="B109" t="s">
        <v>2020</v>
      </c>
      <c r="E109">
        <v>48</v>
      </c>
      <c r="F109">
        <v>48</v>
      </c>
      <c r="H109" t="s">
        <v>2206</v>
      </c>
      <c r="I109" t="s">
        <v>2036</v>
      </c>
      <c r="J109" t="s">
        <v>2052</v>
      </c>
      <c r="K109" t="s">
        <v>2041</v>
      </c>
      <c r="L109" t="s">
        <v>2063</v>
      </c>
      <c r="R109" s="12" t="s">
        <v>2216</v>
      </c>
    </row>
    <row r="110" spans="1:18" x14ac:dyDescent="0.3">
      <c r="A110" s="13" t="s">
        <v>2023</v>
      </c>
      <c r="B110" t="s">
        <v>2022</v>
      </c>
      <c r="E110">
        <v>48</v>
      </c>
      <c r="F110">
        <v>48</v>
      </c>
      <c r="H110" t="s">
        <v>2206</v>
      </c>
      <c r="I110" t="s">
        <v>2034</v>
      </c>
      <c r="J110" t="s">
        <v>2053</v>
      </c>
      <c r="K110" t="s">
        <v>2054</v>
      </c>
      <c r="L110" t="s">
        <v>2064</v>
      </c>
      <c r="R110" s="12" t="s">
        <v>2217</v>
      </c>
    </row>
    <row r="111" spans="1:18" x14ac:dyDescent="0.3">
      <c r="A111" s="13" t="s">
        <v>2027</v>
      </c>
      <c r="B111" t="s">
        <v>2026</v>
      </c>
      <c r="E111">
        <v>72</v>
      </c>
      <c r="F111">
        <v>48</v>
      </c>
      <c r="H111" t="s">
        <v>2206</v>
      </c>
      <c r="I111" t="s">
        <v>2037</v>
      </c>
      <c r="J111" t="s">
        <v>2055</v>
      </c>
      <c r="K111" t="s">
        <v>2037</v>
      </c>
      <c r="L111" t="s">
        <v>2066</v>
      </c>
      <c r="R111" s="12" t="s">
        <v>2218</v>
      </c>
    </row>
    <row r="112" spans="1:18" x14ac:dyDescent="0.3">
      <c r="A112" s="13" t="s">
        <v>2067</v>
      </c>
      <c r="B112" t="s">
        <v>2226</v>
      </c>
      <c r="E112">
        <v>72</v>
      </c>
      <c r="F112">
        <v>48</v>
      </c>
      <c r="H112" t="s">
        <v>2206</v>
      </c>
      <c r="I112" t="s">
        <v>2221</v>
      </c>
      <c r="J112" t="s">
        <v>2223</v>
      </c>
      <c r="K112" t="s">
        <v>2222</v>
      </c>
      <c r="L112" t="s">
        <v>2224</v>
      </c>
      <c r="R112" s="12" t="s">
        <v>2227</v>
      </c>
    </row>
    <row r="113" spans="1:18" x14ac:dyDescent="0.3">
      <c r="A113" s="13" t="s">
        <v>2225</v>
      </c>
      <c r="B113" t="s">
        <v>2068</v>
      </c>
      <c r="E113">
        <v>72</v>
      </c>
      <c r="F113">
        <v>48</v>
      </c>
      <c r="H113" t="s">
        <v>2206</v>
      </c>
      <c r="I113" t="s">
        <v>2069</v>
      </c>
      <c r="J113" t="s">
        <v>2070</v>
      </c>
      <c r="K113" t="s">
        <v>2069</v>
      </c>
      <c r="L113" t="s">
        <v>2070</v>
      </c>
      <c r="R113" s="12" t="s">
        <v>2228</v>
      </c>
    </row>
    <row r="114" spans="1:18" x14ac:dyDescent="0.3">
      <c r="A114" s="13" t="s">
        <v>2025</v>
      </c>
      <c r="B114" t="s">
        <v>2024</v>
      </c>
      <c r="E114">
        <v>48</v>
      </c>
      <c r="F114">
        <v>48</v>
      </c>
      <c r="H114" t="s">
        <v>2206</v>
      </c>
      <c r="I114" t="s">
        <v>2035</v>
      </c>
      <c r="J114" t="s">
        <v>2056</v>
      </c>
      <c r="K114" t="s">
        <v>2042</v>
      </c>
      <c r="L114" t="s">
        <v>2065</v>
      </c>
      <c r="R114" s="12" t="s">
        <v>2219</v>
      </c>
    </row>
    <row r="115" spans="1:18" x14ac:dyDescent="0.3">
      <c r="A115" s="13" t="s">
        <v>2101</v>
      </c>
      <c r="B115" t="s">
        <v>2112</v>
      </c>
      <c r="E115">
        <v>72</v>
      </c>
      <c r="F115">
        <v>48</v>
      </c>
      <c r="H115" t="s">
        <v>1220</v>
      </c>
      <c r="I115" t="s">
        <v>2116</v>
      </c>
      <c r="J115" t="s">
        <v>2117</v>
      </c>
      <c r="K115" t="s">
        <v>2115</v>
      </c>
      <c r="L115" t="s">
        <v>2118</v>
      </c>
      <c r="R115" s="12" t="s">
        <v>2125</v>
      </c>
    </row>
    <row r="116" spans="1:18" x14ac:dyDescent="0.3">
      <c r="A116" s="13" t="s">
        <v>2113</v>
      </c>
      <c r="B116" t="s">
        <v>2114</v>
      </c>
      <c r="E116">
        <v>72</v>
      </c>
      <c r="F116">
        <v>48</v>
      </c>
      <c r="H116" t="s">
        <v>1220</v>
      </c>
      <c r="I116" t="s">
        <v>2119</v>
      </c>
      <c r="J116" t="s">
        <v>2121</v>
      </c>
      <c r="K116" t="s">
        <v>2120</v>
      </c>
      <c r="L116" t="s">
        <v>2122</v>
      </c>
      <c r="R116" s="12" t="s">
        <v>2126</v>
      </c>
    </row>
    <row r="117" spans="1:18" x14ac:dyDescent="0.3">
      <c r="A117" s="13" t="s">
        <v>1265</v>
      </c>
      <c r="B117" t="s">
        <v>1253</v>
      </c>
      <c r="E117">
        <v>48</v>
      </c>
      <c r="F117">
        <v>48</v>
      </c>
      <c r="H117" t="s">
        <v>1247</v>
      </c>
      <c r="I117" t="s">
        <v>1255</v>
      </c>
      <c r="J117" t="s">
        <v>1262</v>
      </c>
      <c r="K117" t="s">
        <v>1255</v>
      </c>
      <c r="L117" t="s">
        <v>2071</v>
      </c>
      <c r="R117" s="12" t="s">
        <v>2111</v>
      </c>
    </row>
    <row r="118" spans="1:18" x14ac:dyDescent="0.3">
      <c r="A118" s="13" t="s">
        <v>1237</v>
      </c>
      <c r="B118" t="s">
        <v>1248</v>
      </c>
      <c r="E118">
        <v>48</v>
      </c>
      <c r="F118">
        <v>48</v>
      </c>
      <c r="H118" t="s">
        <v>1247</v>
      </c>
      <c r="I118" t="s">
        <v>1241</v>
      </c>
      <c r="J118" t="s">
        <v>1241</v>
      </c>
      <c r="K118" t="s">
        <v>1245</v>
      </c>
      <c r="L118" t="s">
        <v>1245</v>
      </c>
      <c r="R118" s="12" t="s">
        <v>1635</v>
      </c>
    </row>
    <row r="119" spans="1:18" x14ac:dyDescent="0.3">
      <c r="A119" s="13" t="s">
        <v>1236</v>
      </c>
      <c r="B119" t="s">
        <v>1249</v>
      </c>
      <c r="E119">
        <v>48</v>
      </c>
      <c r="F119">
        <v>48</v>
      </c>
      <c r="H119" t="s">
        <v>1247</v>
      </c>
      <c r="I119" t="s">
        <v>1239</v>
      </c>
      <c r="J119" t="s">
        <v>1239</v>
      </c>
      <c r="K119" t="s">
        <v>1243</v>
      </c>
      <c r="L119" t="s">
        <v>1243</v>
      </c>
      <c r="R119" s="12" t="s">
        <v>1636</v>
      </c>
    </row>
    <row r="120" spans="1:18" x14ac:dyDescent="0.3">
      <c r="A120" s="13" t="s">
        <v>1263</v>
      </c>
      <c r="B120" t="s">
        <v>1250</v>
      </c>
      <c r="E120">
        <v>48</v>
      </c>
      <c r="F120">
        <v>48</v>
      </c>
      <c r="H120" t="s">
        <v>1247</v>
      </c>
      <c r="I120" t="s">
        <v>1257</v>
      </c>
      <c r="J120" t="s">
        <v>1257</v>
      </c>
      <c r="K120" t="s">
        <v>1259</v>
      </c>
      <c r="L120" t="s">
        <v>1259</v>
      </c>
      <c r="R120" s="12" t="s">
        <v>1637</v>
      </c>
    </row>
    <row r="121" spans="1:18" x14ac:dyDescent="0.3">
      <c r="A121" s="13" t="s">
        <v>1235</v>
      </c>
      <c r="B121" t="s">
        <v>1252</v>
      </c>
      <c r="E121">
        <v>48</v>
      </c>
      <c r="F121">
        <v>48</v>
      </c>
      <c r="H121" t="s">
        <v>1247</v>
      </c>
      <c r="I121" t="s">
        <v>1240</v>
      </c>
      <c r="J121" t="s">
        <v>1240</v>
      </c>
      <c r="K121" t="s">
        <v>1244</v>
      </c>
      <c r="L121" t="s">
        <v>1244</v>
      </c>
      <c r="R121" s="12" t="s">
        <v>1638</v>
      </c>
    </row>
    <row r="122" spans="1:18" x14ac:dyDescent="0.3">
      <c r="A122" s="13" t="s">
        <v>1264</v>
      </c>
      <c r="B122" t="s">
        <v>1251</v>
      </c>
      <c r="E122">
        <v>48</v>
      </c>
      <c r="F122">
        <v>48</v>
      </c>
      <c r="H122" t="s">
        <v>1247</v>
      </c>
      <c r="I122" t="s">
        <v>1258</v>
      </c>
      <c r="J122" t="s">
        <v>1258</v>
      </c>
      <c r="K122" t="s">
        <v>1260</v>
      </c>
      <c r="L122" t="s">
        <v>1260</v>
      </c>
      <c r="R122" s="12" t="s">
        <v>1639</v>
      </c>
    </row>
    <row r="123" spans="1:18" x14ac:dyDescent="0.3">
      <c r="A123" s="13" t="s">
        <v>1238</v>
      </c>
      <c r="B123" t="s">
        <v>1267</v>
      </c>
      <c r="E123">
        <v>48</v>
      </c>
      <c r="F123">
        <v>48</v>
      </c>
      <c r="H123" t="s">
        <v>1247</v>
      </c>
      <c r="I123" t="s">
        <v>1242</v>
      </c>
      <c r="J123" t="s">
        <v>1242</v>
      </c>
      <c r="K123" t="s">
        <v>1246</v>
      </c>
      <c r="L123" t="s">
        <v>1246</v>
      </c>
      <c r="R123" s="12" t="s">
        <v>1640</v>
      </c>
    </row>
    <row r="124" spans="1:18" x14ac:dyDescent="0.3">
      <c r="A124" s="13" t="s">
        <v>1266</v>
      </c>
      <c r="B124" t="s">
        <v>1254</v>
      </c>
      <c r="E124">
        <v>48</v>
      </c>
      <c r="F124">
        <v>48</v>
      </c>
      <c r="H124" t="s">
        <v>1247</v>
      </c>
      <c r="I124" t="s">
        <v>1256</v>
      </c>
      <c r="J124" t="s">
        <v>1256</v>
      </c>
      <c r="K124" t="s">
        <v>1261</v>
      </c>
      <c r="L124" t="s">
        <v>1261</v>
      </c>
      <c r="R124" s="12" t="s">
        <v>1641</v>
      </c>
    </row>
    <row r="125" spans="1:18" x14ac:dyDescent="0.3">
      <c r="A125" s="13" t="s">
        <v>2140</v>
      </c>
      <c r="B125" t="s">
        <v>2139</v>
      </c>
      <c r="E125">
        <v>72</v>
      </c>
      <c r="F125">
        <v>72</v>
      </c>
      <c r="H125" t="s">
        <v>2173</v>
      </c>
      <c r="I125" t="s">
        <v>2238</v>
      </c>
      <c r="J125" t="s">
        <v>2144</v>
      </c>
      <c r="K125" t="s">
        <v>2239</v>
      </c>
      <c r="L125" t="s">
        <v>2145</v>
      </c>
      <c r="R125" s="12" t="s">
        <v>2240</v>
      </c>
    </row>
    <row r="126" spans="1:18" x14ac:dyDescent="0.3">
      <c r="A126" s="13" t="s">
        <v>2143</v>
      </c>
      <c r="B126" t="s">
        <v>2141</v>
      </c>
      <c r="E126">
        <v>72</v>
      </c>
      <c r="F126">
        <v>48</v>
      </c>
      <c r="H126" t="s">
        <v>2173</v>
      </c>
      <c r="I126" t="s">
        <v>2146</v>
      </c>
      <c r="J126" t="s">
        <v>2148</v>
      </c>
      <c r="K126" t="s">
        <v>2147</v>
      </c>
      <c r="L126" t="s">
        <v>2149</v>
      </c>
      <c r="R126" s="12" t="s">
        <v>2229</v>
      </c>
    </row>
    <row r="127" spans="1:18" x14ac:dyDescent="0.3">
      <c r="A127" s="13" t="s">
        <v>2142</v>
      </c>
      <c r="B127" t="s">
        <v>2159</v>
      </c>
      <c r="E127">
        <v>48</v>
      </c>
      <c r="F127">
        <v>48</v>
      </c>
      <c r="H127" t="s">
        <v>2173</v>
      </c>
      <c r="I127" t="s">
        <v>2162</v>
      </c>
      <c r="J127" t="s">
        <v>2164</v>
      </c>
      <c r="K127" t="s">
        <v>2163</v>
      </c>
      <c r="L127" t="s">
        <v>2165</v>
      </c>
      <c r="R127" s="12" t="s">
        <v>2230</v>
      </c>
    </row>
    <row r="128" spans="1:18" x14ac:dyDescent="0.3">
      <c r="A128" s="13" t="s">
        <v>2160</v>
      </c>
      <c r="B128" t="s">
        <v>2161</v>
      </c>
      <c r="E128">
        <v>48</v>
      </c>
      <c r="F128">
        <v>48</v>
      </c>
      <c r="H128" t="s">
        <v>2173</v>
      </c>
      <c r="I128" t="s">
        <v>2166</v>
      </c>
      <c r="J128" t="s">
        <v>2168</v>
      </c>
      <c r="K128" t="s">
        <v>2167</v>
      </c>
      <c r="L128" t="s">
        <v>2169</v>
      </c>
      <c r="R128" s="12" t="s">
        <v>2231</v>
      </c>
    </row>
    <row r="129" spans="1:18" x14ac:dyDescent="0.3">
      <c r="A129" s="13" t="s">
        <v>1721</v>
      </c>
      <c r="B129" t="s">
        <v>1834</v>
      </c>
      <c r="E129">
        <v>48</v>
      </c>
      <c r="F129">
        <v>48</v>
      </c>
      <c r="H129" t="s">
        <v>43</v>
      </c>
      <c r="I129" t="s">
        <v>1722</v>
      </c>
      <c r="J129" t="s">
        <v>1724</v>
      </c>
      <c r="K129" t="s">
        <v>1723</v>
      </c>
      <c r="L129" t="s">
        <v>1725</v>
      </c>
      <c r="R129" s="12" t="s">
        <v>1895</v>
      </c>
    </row>
    <row r="130" spans="1:18" x14ac:dyDescent="0.3">
      <c r="A130" s="13" t="s">
        <v>1134</v>
      </c>
      <c r="B130" t="s">
        <v>1835</v>
      </c>
      <c r="C130" t="s">
        <v>299</v>
      </c>
      <c r="D130" t="s">
        <v>724</v>
      </c>
      <c r="E130">
        <v>48</v>
      </c>
      <c r="F130">
        <v>48</v>
      </c>
      <c r="H130" t="s">
        <v>43</v>
      </c>
      <c r="I130" t="s">
        <v>1135</v>
      </c>
      <c r="J130" t="s">
        <v>1136</v>
      </c>
      <c r="K130" t="s">
        <v>1135</v>
      </c>
      <c r="L130" t="s">
        <v>1137</v>
      </c>
      <c r="R130" s="12" t="s">
        <v>1896</v>
      </c>
    </row>
    <row r="131" spans="1:18" x14ac:dyDescent="0.3">
      <c r="A131" s="13" t="s">
        <v>1590</v>
      </c>
      <c r="B131" t="s">
        <v>1836</v>
      </c>
      <c r="E131">
        <v>48</v>
      </c>
      <c r="F131">
        <v>48</v>
      </c>
      <c r="H131" t="s">
        <v>43</v>
      </c>
      <c r="I131" t="s">
        <v>1586</v>
      </c>
      <c r="J131" t="s">
        <v>1588</v>
      </c>
      <c r="K131" t="s">
        <v>1587</v>
      </c>
      <c r="L131" t="s">
        <v>1589</v>
      </c>
      <c r="R131" s="12" t="s">
        <v>1897</v>
      </c>
    </row>
    <row r="132" spans="1:18" x14ac:dyDescent="0.3">
      <c r="A132" s="13" t="s">
        <v>1599</v>
      </c>
      <c r="B132" t="s">
        <v>2241</v>
      </c>
      <c r="E132">
        <v>192</v>
      </c>
      <c r="F132">
        <v>48</v>
      </c>
      <c r="H132" t="s">
        <v>43</v>
      </c>
      <c r="I132" t="s">
        <v>1591</v>
      </c>
      <c r="J132" t="s">
        <v>1596</v>
      </c>
      <c r="K132" t="s">
        <v>1594</v>
      </c>
      <c r="L132" t="s">
        <v>1597</v>
      </c>
      <c r="R132" s="12" t="s">
        <v>2243</v>
      </c>
    </row>
    <row r="133" spans="1:18" x14ac:dyDescent="0.3">
      <c r="A133" s="13" t="s">
        <v>1600</v>
      </c>
      <c r="B133" t="s">
        <v>2242</v>
      </c>
      <c r="E133">
        <v>288</v>
      </c>
      <c r="F133">
        <v>96</v>
      </c>
      <c r="H133" t="s">
        <v>43</v>
      </c>
      <c r="I133" t="s">
        <v>1593</v>
      </c>
      <c r="J133" t="s">
        <v>1592</v>
      </c>
      <c r="K133" t="s">
        <v>1595</v>
      </c>
      <c r="L133" t="s">
        <v>1598</v>
      </c>
      <c r="R133" s="12" t="s">
        <v>2244</v>
      </c>
    </row>
    <row r="134" spans="1:18" x14ac:dyDescent="0.3">
      <c r="A134" s="13" t="s">
        <v>1609</v>
      </c>
      <c r="B134" t="s">
        <v>1837</v>
      </c>
      <c r="E134">
        <v>48</v>
      </c>
      <c r="F134">
        <v>48</v>
      </c>
      <c r="H134" t="s">
        <v>44</v>
      </c>
      <c r="I134" t="s">
        <v>1601</v>
      </c>
      <c r="J134" t="s">
        <v>1605</v>
      </c>
      <c r="K134" t="s">
        <v>1603</v>
      </c>
      <c r="L134" t="s">
        <v>1607</v>
      </c>
      <c r="R134" s="12" t="s">
        <v>1898</v>
      </c>
    </row>
    <row r="135" spans="1:18" x14ac:dyDescent="0.3">
      <c r="A135" s="13" t="s">
        <v>1610</v>
      </c>
      <c r="B135" t="s">
        <v>1838</v>
      </c>
      <c r="E135">
        <v>48</v>
      </c>
      <c r="F135">
        <v>48</v>
      </c>
      <c r="H135" t="s">
        <v>44</v>
      </c>
      <c r="I135" t="s">
        <v>1602</v>
      </c>
      <c r="J135" t="s">
        <v>1606</v>
      </c>
      <c r="K135" t="s">
        <v>1604</v>
      </c>
      <c r="L135" t="s">
        <v>1608</v>
      </c>
      <c r="R135" s="12" t="s">
        <v>1899</v>
      </c>
    </row>
    <row r="136" spans="1:18" x14ac:dyDescent="0.3">
      <c r="A136" s="13" t="s">
        <v>2171</v>
      </c>
      <c r="B136" t="s">
        <v>2181</v>
      </c>
      <c r="E136">
        <v>48</v>
      </c>
      <c r="F136">
        <v>24</v>
      </c>
      <c r="H136" t="s">
        <v>2173</v>
      </c>
      <c r="I136" t="s">
        <v>2176</v>
      </c>
      <c r="J136" t="s">
        <v>2183</v>
      </c>
      <c r="K136" t="s">
        <v>2184</v>
      </c>
      <c r="L136" t="s">
        <v>2178</v>
      </c>
      <c r="R136" s="12" t="s">
        <v>2187</v>
      </c>
    </row>
    <row r="137" spans="1:18" x14ac:dyDescent="0.3">
      <c r="A137" s="13" t="s">
        <v>2172</v>
      </c>
      <c r="B137" t="s">
        <v>2182</v>
      </c>
      <c r="E137">
        <v>48</v>
      </c>
      <c r="F137">
        <v>24</v>
      </c>
      <c r="H137" t="s">
        <v>2173</v>
      </c>
      <c r="I137" t="s">
        <v>2177</v>
      </c>
      <c r="J137" t="s">
        <v>2179</v>
      </c>
      <c r="K137" t="s">
        <v>2184</v>
      </c>
      <c r="L137" t="s">
        <v>2179</v>
      </c>
      <c r="R137" s="12" t="s">
        <v>2204</v>
      </c>
    </row>
    <row r="138" spans="1:18" x14ac:dyDescent="0.3">
      <c r="A138" s="13" t="s">
        <v>2203</v>
      </c>
      <c r="B138" t="s">
        <v>2245</v>
      </c>
      <c r="E138">
        <v>216</v>
      </c>
      <c r="F138">
        <v>48</v>
      </c>
      <c r="H138" t="s">
        <v>44</v>
      </c>
      <c r="I138" t="s">
        <v>1591</v>
      </c>
      <c r="J138" t="s">
        <v>1596</v>
      </c>
      <c r="K138" t="s">
        <v>1594</v>
      </c>
      <c r="L138" t="s">
        <v>1597</v>
      </c>
      <c r="R138" s="12" t="s">
        <v>2247</v>
      </c>
    </row>
    <row r="139" spans="1:18" x14ac:dyDescent="0.3">
      <c r="A139" s="13" t="s">
        <v>2205</v>
      </c>
      <c r="B139" t="s">
        <v>2246</v>
      </c>
      <c r="E139">
        <v>312</v>
      </c>
      <c r="F139">
        <v>96</v>
      </c>
      <c r="H139" t="s">
        <v>44</v>
      </c>
      <c r="I139" t="s">
        <v>1593</v>
      </c>
      <c r="J139" t="s">
        <v>1592</v>
      </c>
      <c r="K139" t="s">
        <v>1595</v>
      </c>
      <c r="L139" t="s">
        <v>1598</v>
      </c>
      <c r="R139" s="12" t="s">
        <v>2248</v>
      </c>
    </row>
    <row r="140" spans="1:18" x14ac:dyDescent="0.3">
      <c r="A140" s="13" t="s">
        <v>2233</v>
      </c>
      <c r="B140" t="s">
        <v>2232</v>
      </c>
      <c r="E140">
        <v>72</v>
      </c>
      <c r="F140">
        <v>48</v>
      </c>
      <c r="H140" t="s">
        <v>41</v>
      </c>
      <c r="I140" t="s">
        <v>2234</v>
      </c>
      <c r="J140" t="s">
        <v>2236</v>
      </c>
      <c r="K140" t="s">
        <v>2235</v>
      </c>
      <c r="L140" t="s">
        <v>2237</v>
      </c>
      <c r="R140" s="12" t="s">
        <v>2252</v>
      </c>
    </row>
    <row r="141" spans="1:18" x14ac:dyDescent="0.3">
      <c r="A141" s="13" t="s">
        <v>2262</v>
      </c>
      <c r="B141" t="s">
        <v>2283</v>
      </c>
      <c r="E141">
        <v>48</v>
      </c>
      <c r="F141">
        <v>48</v>
      </c>
      <c r="H141" t="s">
        <v>45</v>
      </c>
      <c r="I141" t="s">
        <v>2263</v>
      </c>
      <c r="J141" t="s">
        <v>2265</v>
      </c>
      <c r="K141" t="s">
        <v>2264</v>
      </c>
      <c r="L141" t="s">
        <v>2266</v>
      </c>
      <c r="R141" s="12" t="s">
        <v>2303</v>
      </c>
    </row>
    <row r="142" spans="1:18" x14ac:dyDescent="0.3">
      <c r="A142" s="13" t="s">
        <v>2279</v>
      </c>
      <c r="B142" t="s">
        <v>2284</v>
      </c>
      <c r="E142">
        <v>48</v>
      </c>
      <c r="F142">
        <v>48</v>
      </c>
      <c r="H142" t="s">
        <v>45</v>
      </c>
      <c r="I142" t="s">
        <v>2294</v>
      </c>
      <c r="J142" t="s">
        <v>2282</v>
      </c>
      <c r="K142" t="s">
        <v>2280</v>
      </c>
      <c r="L142" t="s">
        <v>2281</v>
      </c>
      <c r="R142" s="12" t="s">
        <v>2304</v>
      </c>
    </row>
    <row r="143" spans="1:18" x14ac:dyDescent="0.3">
      <c r="A143" s="13" t="s">
        <v>2288</v>
      </c>
      <c r="B143" t="s">
        <v>2285</v>
      </c>
      <c r="E143">
        <v>48</v>
      </c>
      <c r="F143">
        <v>48</v>
      </c>
      <c r="H143" t="s">
        <v>45</v>
      </c>
      <c r="I143" t="s">
        <v>2291</v>
      </c>
      <c r="J143" t="s">
        <v>2295</v>
      </c>
      <c r="K143" t="s">
        <v>2298</v>
      </c>
      <c r="L143" t="s">
        <v>2300</v>
      </c>
      <c r="R143" s="12" t="s">
        <v>2305</v>
      </c>
    </row>
    <row r="144" spans="1:18" x14ac:dyDescent="0.3">
      <c r="A144" s="13" t="s">
        <v>2289</v>
      </c>
      <c r="B144" t="s">
        <v>2286</v>
      </c>
      <c r="E144">
        <v>48</v>
      </c>
      <c r="F144">
        <v>48</v>
      </c>
      <c r="H144" t="s">
        <v>45</v>
      </c>
      <c r="I144" t="s">
        <v>2292</v>
      </c>
      <c r="J144" t="s">
        <v>2296</v>
      </c>
      <c r="K144" t="s">
        <v>2292</v>
      </c>
      <c r="L144" t="s">
        <v>2301</v>
      </c>
      <c r="R144" s="12" t="s">
        <v>2306</v>
      </c>
    </row>
    <row r="145" spans="1:18" x14ac:dyDescent="0.3">
      <c r="A145" s="13" t="s">
        <v>2290</v>
      </c>
      <c r="B145" t="s">
        <v>2287</v>
      </c>
      <c r="E145">
        <v>48</v>
      </c>
      <c r="F145">
        <v>48</v>
      </c>
      <c r="H145" t="s">
        <v>45</v>
      </c>
      <c r="I145" t="s">
        <v>2293</v>
      </c>
      <c r="J145" t="s">
        <v>2297</v>
      </c>
      <c r="K145" t="s">
        <v>2299</v>
      </c>
      <c r="L145" t="s">
        <v>2302</v>
      </c>
      <c r="R145" s="12" t="s">
        <v>2307</v>
      </c>
    </row>
    <row r="146" spans="1:18" x14ac:dyDescent="0.3">
      <c r="R146" s="12" t="s">
        <v>1611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K12" sqref="K12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1546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1548</v>
      </c>
      <c r="B2" t="s">
        <v>1559</v>
      </c>
      <c r="C2" t="s">
        <v>1558</v>
      </c>
      <c r="D2" t="s">
        <v>1557</v>
      </c>
      <c r="E2">
        <v>0</v>
      </c>
      <c r="F2" t="s">
        <v>1525</v>
      </c>
      <c r="G2" t="s">
        <v>1545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1616</v>
      </c>
      <c r="B3" t="s">
        <v>1559</v>
      </c>
      <c r="C3" t="s">
        <v>1558</v>
      </c>
      <c r="D3" t="s">
        <v>1558</v>
      </c>
      <c r="E3">
        <v>1</v>
      </c>
      <c r="F3" t="s">
        <v>1617</v>
      </c>
      <c r="G3" t="s">
        <v>1618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1549</v>
      </c>
      <c r="B4" t="s">
        <v>1560</v>
      </c>
      <c r="C4" t="s">
        <v>1561</v>
      </c>
      <c r="D4" t="s">
        <v>1562</v>
      </c>
      <c r="E4">
        <v>2</v>
      </c>
      <c r="F4" t="s">
        <v>1526</v>
      </c>
      <c r="G4" t="s">
        <v>1535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1550</v>
      </c>
      <c r="B5" t="s">
        <v>1563</v>
      </c>
      <c r="C5" t="s">
        <v>1564</v>
      </c>
      <c r="D5" t="s">
        <v>1561</v>
      </c>
      <c r="E5">
        <v>1</v>
      </c>
      <c r="F5" t="s">
        <v>1527</v>
      </c>
      <c r="G5" t="s">
        <v>1536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1551</v>
      </c>
      <c r="B6" t="s">
        <v>1567</v>
      </c>
      <c r="C6" t="s">
        <v>1566</v>
      </c>
      <c r="D6" t="s">
        <v>1565</v>
      </c>
      <c r="E6">
        <v>3</v>
      </c>
      <c r="F6" t="s">
        <v>1528</v>
      </c>
      <c r="G6" t="s">
        <v>1537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1552</v>
      </c>
      <c r="B7" t="s">
        <v>1568</v>
      </c>
      <c r="C7" t="s">
        <v>1569</v>
      </c>
      <c r="D7" t="s">
        <v>1570</v>
      </c>
      <c r="E7">
        <v>2</v>
      </c>
      <c r="F7" t="s">
        <v>1529</v>
      </c>
      <c r="G7" t="s">
        <v>1538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1553</v>
      </c>
      <c r="B8" t="s">
        <v>1571</v>
      </c>
      <c r="C8" t="s">
        <v>1572</v>
      </c>
      <c r="D8" t="s">
        <v>1573</v>
      </c>
      <c r="E8">
        <v>3</v>
      </c>
      <c r="F8" t="s">
        <v>1530</v>
      </c>
      <c r="G8" t="s">
        <v>1539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1554</v>
      </c>
      <c r="B9" t="s">
        <v>1574</v>
      </c>
      <c r="C9" t="s">
        <v>1575</v>
      </c>
      <c r="D9" t="s">
        <v>1576</v>
      </c>
      <c r="E9">
        <v>4</v>
      </c>
      <c r="F9" t="s">
        <v>1531</v>
      </c>
      <c r="G9" t="s">
        <v>1540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1555</v>
      </c>
      <c r="B10" t="s">
        <v>1577</v>
      </c>
      <c r="C10" t="s">
        <v>1578</v>
      </c>
      <c r="D10" t="s">
        <v>1579</v>
      </c>
      <c r="E10">
        <v>2</v>
      </c>
      <c r="F10" t="s">
        <v>1532</v>
      </c>
      <c r="G10" t="s">
        <v>1541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1556</v>
      </c>
      <c r="B11" t="s">
        <v>1580</v>
      </c>
      <c r="C11" t="s">
        <v>1581</v>
      </c>
      <c r="D11" t="s">
        <v>1582</v>
      </c>
      <c r="E11">
        <v>2</v>
      </c>
      <c r="F11" t="s">
        <v>1533</v>
      </c>
      <c r="G11" t="s">
        <v>1542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1547</v>
      </c>
      <c r="B12" t="s">
        <v>1583</v>
      </c>
      <c r="C12" t="s">
        <v>1584</v>
      </c>
      <c r="D12" t="s">
        <v>1585</v>
      </c>
      <c r="E12">
        <v>3</v>
      </c>
      <c r="F12" t="s">
        <v>1534</v>
      </c>
      <c r="G12" t="s">
        <v>1543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A3" sqref="A3:A4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1546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{"fe":{a:[1],m:0,desc:{"en-us":"Forward Euler","es-mx":"Adelante Euler"}}}</v>
      </c>
    </row>
    <row r="2" spans="1:8" x14ac:dyDescent="0.3">
      <c r="A2" t="s">
        <v>1548</v>
      </c>
      <c r="B2" t="s">
        <v>1558</v>
      </c>
      <c r="C2">
        <v>0</v>
      </c>
      <c r="D2" t="s">
        <v>1525</v>
      </c>
      <c r="E2" t="s">
        <v>1545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</v>
      </c>
    </row>
    <row r="3" spans="1:8" x14ac:dyDescent="0.3">
      <c r="B3" t="s">
        <v>2253</v>
      </c>
      <c r="C3">
        <v>1</v>
      </c>
      <c r="D3" t="s">
        <v>1617</v>
      </c>
      <c r="E3" t="s">
        <v>1618</v>
      </c>
      <c r="H3" t="str">
        <f>IF(ISBLANK(A3),"",""""&amp;A3&amp;""":{"&amp;$B$1&amp;":"&amp;B3&amp;","&amp;$C$1&amp;":"&amp;C3&amp;",desc:{"""&amp;$D$1&amp;""":"""&amp;D3&amp;""","""&amp;$E$1&amp;""":"""&amp;E3&amp;"""}}"&amp;IF(ISBLANK(A4),"",","))</f>
        <v/>
      </c>
    </row>
    <row r="4" spans="1:8" x14ac:dyDescent="0.3">
      <c r="B4" t="s">
        <v>2170</v>
      </c>
      <c r="C4">
        <v>1</v>
      </c>
      <c r="D4" t="s">
        <v>1527</v>
      </c>
      <c r="E4" t="s">
        <v>1536</v>
      </c>
      <c r="H4" t="str">
        <f t="shared" ref="H4:H16" si="0">IF(ISBLANK(A4),"",""""&amp;A4&amp;""":{"&amp;$B$1&amp;":"&amp;B4&amp;","&amp;$C$1&amp;":"&amp;C4&amp;",desc:{"""&amp;$D$1&amp;""":"""&amp;D4&amp;""","""&amp;$E$1&amp;""":"""&amp;E4&amp;"""}}"&amp;IF(ISBLANK(A5),"",","))</f>
        <v/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>IF(ISBLANK(A7),"",""""&amp;A7&amp;""":{"&amp;$B$1&amp;":"&amp;B7&amp;","&amp;$C$1&amp;":"&amp;C7&amp;",desc:{"""&amp;$D$1&amp;""":"""&amp;D7&amp;""","""&amp;$E$1&amp;""":"""&amp;E7&amp;"""}}"&amp;IF(ISBLANK(A8),"",","))</f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M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1039</v>
      </c>
      <c r="E1" t="s">
        <v>1040</v>
      </c>
      <c r="F1" t="s">
        <v>1038</v>
      </c>
      <c r="G1" t="s">
        <v>1037</v>
      </c>
      <c r="H1" t="s">
        <v>916</v>
      </c>
      <c r="I1" t="s">
        <v>917</v>
      </c>
      <c r="J1" t="s">
        <v>1042</v>
      </c>
      <c r="K1" t="s">
        <v>1043</v>
      </c>
      <c r="L1" t="s">
        <v>1041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1066</v>
      </c>
      <c r="C2" t="s">
        <v>1065</v>
      </c>
      <c r="D2" t="s">
        <v>1069</v>
      </c>
      <c r="E2" t="s">
        <v>1068</v>
      </c>
      <c r="F2" t="s">
        <v>1067</v>
      </c>
      <c r="G2" t="s">
        <v>1070</v>
      </c>
      <c r="H2" t="s">
        <v>724</v>
      </c>
      <c r="I2" t="s">
        <v>724</v>
      </c>
      <c r="J2" t="s">
        <v>1060</v>
      </c>
      <c r="K2" t="s">
        <v>1059</v>
      </c>
      <c r="L2" t="s">
        <v>918</v>
      </c>
      <c r="M2" t="s">
        <v>1152</v>
      </c>
      <c r="N2" t="s">
        <v>1150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1105</v>
      </c>
      <c r="B3" t="s">
        <v>1054</v>
      </c>
      <c r="C3" t="s">
        <v>1053</v>
      </c>
      <c r="D3" t="s">
        <v>1057</v>
      </c>
      <c r="E3" t="s">
        <v>1056</v>
      </c>
      <c r="F3" t="s">
        <v>1055</v>
      </c>
      <c r="G3" t="s">
        <v>1058</v>
      </c>
      <c r="H3" t="s">
        <v>724</v>
      </c>
      <c r="I3" t="s">
        <v>724</v>
      </c>
      <c r="J3" t="s">
        <v>1060</v>
      </c>
      <c r="K3" t="s">
        <v>1059</v>
      </c>
      <c r="L3" t="s">
        <v>918</v>
      </c>
      <c r="M3" t="s">
        <v>1098</v>
      </c>
      <c r="N3" t="s">
        <v>1120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1106</v>
      </c>
      <c r="B4" t="s">
        <v>1078</v>
      </c>
      <c r="C4" t="s">
        <v>1077</v>
      </c>
      <c r="D4" t="s">
        <v>1081</v>
      </c>
      <c r="E4" t="s">
        <v>1080</v>
      </c>
      <c r="F4" t="s">
        <v>1079</v>
      </c>
      <c r="G4" t="s">
        <v>1082</v>
      </c>
      <c r="H4" t="s">
        <v>724</v>
      </c>
      <c r="I4" t="s">
        <v>724</v>
      </c>
      <c r="J4" t="s">
        <v>1060</v>
      </c>
      <c r="K4" t="s">
        <v>1059</v>
      </c>
      <c r="L4" t="s">
        <v>918</v>
      </c>
      <c r="M4" t="s">
        <v>1099</v>
      </c>
      <c r="N4" t="s">
        <v>1121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1107</v>
      </c>
      <c r="B5" t="s">
        <v>1090</v>
      </c>
      <c r="C5" t="s">
        <v>1089</v>
      </c>
      <c r="D5" t="s">
        <v>1093</v>
      </c>
      <c r="E5" t="s">
        <v>1092</v>
      </c>
      <c r="F5" t="s">
        <v>1091</v>
      </c>
      <c r="G5" t="s">
        <v>1094</v>
      </c>
      <c r="H5" t="s">
        <v>1044</v>
      </c>
      <c r="I5" t="s">
        <v>724</v>
      </c>
      <c r="J5" t="s">
        <v>1051</v>
      </c>
      <c r="K5" t="s">
        <v>1052</v>
      </c>
      <c r="L5" t="s">
        <v>918</v>
      </c>
      <c r="M5" t="s">
        <v>1100</v>
      </c>
      <c r="N5" t="s">
        <v>1122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1108</v>
      </c>
      <c r="B6" t="s">
        <v>1096</v>
      </c>
      <c r="C6" t="s">
        <v>1095</v>
      </c>
      <c r="D6" t="s">
        <v>1057</v>
      </c>
      <c r="E6" t="s">
        <v>1056</v>
      </c>
      <c r="F6" t="s">
        <v>1097</v>
      </c>
      <c r="G6" t="s">
        <v>1058</v>
      </c>
      <c r="H6" t="s">
        <v>724</v>
      </c>
      <c r="I6" t="s">
        <v>724</v>
      </c>
      <c r="J6" t="s">
        <v>1060</v>
      </c>
      <c r="K6" t="s">
        <v>1059</v>
      </c>
      <c r="L6" t="s">
        <v>918</v>
      </c>
      <c r="M6" t="s">
        <v>1104</v>
      </c>
      <c r="N6" t="s">
        <v>1123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1764</v>
      </c>
      <c r="D7" t="s">
        <v>1765</v>
      </c>
      <c r="E7" t="s">
        <v>1770</v>
      </c>
      <c r="F7" t="s">
        <v>1766</v>
      </c>
      <c r="G7" t="s">
        <v>1766</v>
      </c>
      <c r="H7" t="s">
        <v>1767</v>
      </c>
      <c r="I7" t="s">
        <v>1771</v>
      </c>
      <c r="J7" t="s">
        <v>1051</v>
      </c>
      <c r="K7" t="s">
        <v>1052</v>
      </c>
      <c r="L7" t="s">
        <v>921</v>
      </c>
      <c r="M7" t="s">
        <v>1153</v>
      </c>
      <c r="N7" t="s">
        <v>1151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1109</v>
      </c>
      <c r="B8" t="s">
        <v>724</v>
      </c>
      <c r="C8" t="s">
        <v>1061</v>
      </c>
      <c r="D8" t="s">
        <v>724</v>
      </c>
      <c r="E8" t="s">
        <v>1063</v>
      </c>
      <c r="F8" t="s">
        <v>1062</v>
      </c>
      <c r="G8" t="s">
        <v>1064</v>
      </c>
      <c r="H8" t="s">
        <v>1044</v>
      </c>
      <c r="I8" t="s">
        <v>1044</v>
      </c>
      <c r="J8" t="s">
        <v>1051</v>
      </c>
      <c r="K8" t="s">
        <v>1052</v>
      </c>
      <c r="L8" t="s">
        <v>921</v>
      </c>
      <c r="M8" t="s">
        <v>1101</v>
      </c>
      <c r="N8" t="s">
        <v>1124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1110</v>
      </c>
      <c r="B9" t="s">
        <v>1072</v>
      </c>
      <c r="C9" t="s">
        <v>1071</v>
      </c>
      <c r="D9" t="s">
        <v>1075</v>
      </c>
      <c r="E9" t="s">
        <v>1074</v>
      </c>
      <c r="F9" t="s">
        <v>1073</v>
      </c>
      <c r="G9" t="s">
        <v>1076</v>
      </c>
      <c r="H9" t="s">
        <v>1044</v>
      </c>
      <c r="I9" t="s">
        <v>1044</v>
      </c>
      <c r="J9" t="s">
        <v>1051</v>
      </c>
      <c r="K9" t="s">
        <v>1052</v>
      </c>
      <c r="L9" t="s">
        <v>921</v>
      </c>
      <c r="M9" t="s">
        <v>1102</v>
      </c>
      <c r="N9" t="s">
        <v>1125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1111</v>
      </c>
      <c r="B10" t="s">
        <v>1084</v>
      </c>
      <c r="C10" t="s">
        <v>1083</v>
      </c>
      <c r="D10" t="s">
        <v>1087</v>
      </c>
      <c r="E10" t="s">
        <v>1086</v>
      </c>
      <c r="F10" t="s">
        <v>1085</v>
      </c>
      <c r="G10" t="s">
        <v>1088</v>
      </c>
      <c r="H10" t="s">
        <v>1044</v>
      </c>
      <c r="I10" t="s">
        <v>1044</v>
      </c>
      <c r="J10" t="s">
        <v>1051</v>
      </c>
      <c r="K10" t="s">
        <v>1052</v>
      </c>
      <c r="L10" t="s">
        <v>921</v>
      </c>
      <c r="M10" t="s">
        <v>1103</v>
      </c>
      <c r="N10" t="s">
        <v>1126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1112</v>
      </c>
      <c r="B11" t="s">
        <v>1114</v>
      </c>
      <c r="C11" t="s">
        <v>1113</v>
      </c>
      <c r="D11" t="s">
        <v>1117</v>
      </c>
      <c r="E11" t="s">
        <v>1116</v>
      </c>
      <c r="F11" t="s">
        <v>1115</v>
      </c>
      <c r="G11" t="s">
        <v>1118</v>
      </c>
      <c r="H11" t="s">
        <v>1044</v>
      </c>
      <c r="I11" t="s">
        <v>1044</v>
      </c>
      <c r="J11" t="s">
        <v>1051</v>
      </c>
      <c r="K11" t="s">
        <v>1052</v>
      </c>
      <c r="L11" t="s">
        <v>921</v>
      </c>
      <c r="M11" t="s">
        <v>1119</v>
      </c>
      <c r="N11" t="s">
        <v>1127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1763</v>
      </c>
      <c r="B12" t="s">
        <v>1046</v>
      </c>
      <c r="C12" t="s">
        <v>1045</v>
      </c>
      <c r="D12" t="s">
        <v>1049</v>
      </c>
      <c r="E12" t="s">
        <v>1048</v>
      </c>
      <c r="F12" t="s">
        <v>1047</v>
      </c>
      <c r="G12" t="s">
        <v>1050</v>
      </c>
      <c r="H12" t="s">
        <v>1044</v>
      </c>
      <c r="I12" t="s">
        <v>1044</v>
      </c>
      <c r="J12" t="s">
        <v>1051</v>
      </c>
      <c r="K12" t="s">
        <v>1052</v>
      </c>
      <c r="L12" t="s">
        <v>921</v>
      </c>
      <c r="M12" t="s">
        <v>1768</v>
      </c>
      <c r="N12" t="s">
        <v>1769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1772</v>
      </c>
      <c r="B13" t="s">
        <v>1044</v>
      </c>
      <c r="C13" t="s">
        <v>1767</v>
      </c>
      <c r="D13" t="s">
        <v>1773</v>
      </c>
      <c r="E13" t="s">
        <v>1774</v>
      </c>
      <c r="F13" t="s">
        <v>1766</v>
      </c>
      <c r="G13" t="s">
        <v>1766</v>
      </c>
      <c r="H13" t="s">
        <v>1764</v>
      </c>
      <c r="I13" t="s">
        <v>1775</v>
      </c>
      <c r="J13" t="s">
        <v>1060</v>
      </c>
      <c r="K13" t="s">
        <v>1059</v>
      </c>
      <c r="L13" t="s">
        <v>918</v>
      </c>
      <c r="M13" t="s">
        <v>1104</v>
      </c>
      <c r="N13" t="s">
        <v>1123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sheetPr codeName="Sheet19"/>
  <dimension ref="A1:E26"/>
  <sheetViews>
    <sheetView workbookViewId="0">
      <selection activeCell="G11" sqref="G11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1743</v>
      </c>
      <c r="C1" t="s">
        <v>771</v>
      </c>
      <c r="D1" t="s">
        <v>1744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1748</v>
      </c>
      <c r="B2" t="s">
        <v>1745</v>
      </c>
      <c r="C2" t="s">
        <v>1746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1749</v>
      </c>
      <c r="B3" t="s">
        <v>686</v>
      </c>
      <c r="C3" t="s">
        <v>1759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1751</v>
      </c>
      <c r="B5" t="s">
        <v>740</v>
      </c>
      <c r="C5" s="1" t="s">
        <v>1747</v>
      </c>
      <c r="D5" t="str">
        <f t="shared" si="0"/>
        <v>"gLinesMajor":true,</v>
      </c>
    </row>
    <row r="6" spans="1:5" x14ac:dyDescent="0.3">
      <c r="A6" t="s">
        <v>1752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1754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1755</v>
      </c>
      <c r="B9" t="s">
        <v>759</v>
      </c>
      <c r="C9" s="1" t="s">
        <v>1747</v>
      </c>
      <c r="D9" t="str">
        <f t="shared" si="0"/>
        <v>"guidesEnabled":true,</v>
      </c>
    </row>
    <row r="10" spans="1:5" x14ac:dyDescent="0.3">
      <c r="A10" t="s">
        <v>1756</v>
      </c>
      <c r="B10" t="s">
        <v>857</v>
      </c>
      <c r="C10" s="1" t="s">
        <v>1747</v>
      </c>
      <c r="D10" t="str">
        <f t="shared" si="0"/>
        <v>"showLabels":true,</v>
      </c>
    </row>
    <row r="11" spans="1:5" x14ac:dyDescent="0.3">
      <c r="A11" t="s">
        <v>1757</v>
      </c>
      <c r="B11" t="s">
        <v>971</v>
      </c>
      <c r="C11" s="1" t="s">
        <v>39</v>
      </c>
      <c r="D11" t="str">
        <f t="shared" si="0"/>
        <v>"showExeOrder":false,</v>
      </c>
    </row>
    <row r="12" spans="1:5" x14ac:dyDescent="0.3">
      <c r="A12" t="s">
        <v>1029</v>
      </c>
      <c r="B12" t="s">
        <v>1028</v>
      </c>
      <c r="C12" s="1" t="s">
        <v>1747</v>
      </c>
      <c r="D12" t="str">
        <f t="shared" si="0"/>
        <v>"snapToGrid":true,</v>
      </c>
    </row>
    <row r="13" spans="1:5" x14ac:dyDescent="0.3">
      <c r="A13" t="s">
        <v>1758</v>
      </c>
      <c r="B13" t="s">
        <v>1762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javascriptKeycodes</vt:lpstr>
      <vt:lpstr>kBoardShortsExtra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2026-03-28T17:56:01Z</dcterms:modified>
</cp:coreProperties>
</file>