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B9A22026-6A6D-410D-AA25-01295B0E558A}" xr6:coauthVersionLast="44" xr6:coauthVersionMax="44" xr10:uidLastSave="{00000000-0000-0000-0000-000000000000}"/>
  <bookViews>
    <workbookView xWindow="-108" yWindow="-108" windowWidth="23256" windowHeight="12576" firstSheet="8" activeTab="10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3" l="1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" i="11" l="1"/>
  <c r="J4" i="11"/>
  <c r="I5" i="11"/>
  <c r="J5" i="11"/>
  <c r="I6" i="11"/>
  <c r="J6" i="11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K4" i="11"/>
  <c r="K5" i="11"/>
  <c r="K6" i="11"/>
  <c r="K3" i="1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<sst xmlns="http://schemas.openxmlformats.org/spreadsheetml/2006/main" count="1838" uniqueCount="1091">
  <si>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</si>
  <si>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</si>
  <si>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</si>
  <si>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</si>
  <si>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</si>
  <si>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</si>
  <si>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</si>
  <si>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</si>
  <si>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</si>
  <si>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</si>
  <si>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</si>
  <si>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</si>
  <si>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</si>
  <si>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</si>
  <si>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</si>
  <si>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</si>
  <si>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</si>
  <si>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</si>
  <si>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</si>
  <si>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</si>
  <si>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</si>
  <si>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</si>
  <si>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</si>
  <si>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</si>
  <si>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</si>
  <si>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</si>
  <si>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</si>
  <si>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</si>
  <si>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</si>
  <si>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</si>
  <si>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</si>
  <si>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</si>
  <si>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</si>
  <si>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</si>
  <si>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</si>
  <si>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</si>
  <si>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</si>
  <si>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</si>
  <si>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</si>
  <si>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</si>
  <si>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</si>
  <si>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</si>
  <si>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</si>
  <si>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</si>
  <si>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</si>
  <si>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</si>
  <si>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</si>
  <si>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</si>
  <si>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</si>
  <si>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</si>
  <si>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</si>
  <si>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</si>
  <si>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</si>
  <si>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</si>
  <si>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</si>
  <si>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</si>
  <si>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</si>
  <si>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</si>
  <si>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</si>
  <si>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</si>
  <si>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</si>
  <si>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</si>
  <si>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</si>
  <si>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</si>
  <si>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</si>
  <si>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</si>
  <si>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</si>
  <si>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</si>
  <si>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</si>
  <si>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</si>
  <si>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</si>
  <si>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</si>
  <si>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</si>
  <si>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</si>
  <si>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</si>
  <si>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</si>
  <si>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</si>
  <si>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</si>
  <si>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</si>
  <si>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</si>
  <si>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</si>
  <si>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</si>
  <si>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</si>
  <si>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</si>
  <si>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</si>
  <si>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</si>
  <si>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</si>
  <si>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</si>
  <si>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</si>
  <si>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</si>
  <si>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</si>
  <si>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</si>
  <si>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</si>
  <si>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</si>
  <si>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</si>
  <si>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</si>
  <si>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</si>
  <si>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</si>
  <si>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</si>
  <si>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</si>
  <si>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</si>
  <si>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</si>
  <si>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</si>
  <si>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</si>
  <si>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</si>
  <si>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</si>
  <si>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</si>
  <si>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</si>
  <si>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</si>
  <si>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</si>
  <si>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</si>
  <si>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</si>
  <si>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</si>
  <si>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</si>
  <si>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</si>
  <si>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</si>
  <si>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</si>
  <si>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</si>
  <si>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</si>
  <si>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</si>
  <si>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</si>
  <si>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</si>
  <si>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</si>
  <si>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</si>
  <si>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</si>
  <si>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</si>
  <si>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</si>
  <si>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</si>
  <si>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</si>
  <si>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</si>
  <si>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</si>
  <si>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</si>
  <si>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</si>
  <si>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</si>
  <si>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</si>
  <si>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</si>
  <si>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</si>
  <si>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</si>
  <si>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</si>
  <si>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</si>
  <si>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</si>
  <si>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</si>
  <si>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</si>
  <si>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</si>
  <si>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</si>
  <si>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</si>
  <si>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</si>
  <si>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</si>
  <si>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</si>
  <si>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</si>
  <si>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</si>
  <si>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</si>
  <si>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</si>
  <si>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</si>
  <si>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</si>
  <si>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</si>
  <si>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</si>
  <si>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</si>
  <si>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</si>
  <si>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</si>
  <si>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</si>
  <si>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</si>
  <si>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</si>
  <si>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</si>
  <si>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</si>
  <si>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</si>
  <si>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</si>
  <si>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</si>
  <si>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</si>
  <si>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</si>
  <si>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</si>
  <si>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</si>
  <si>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</si>
  <si>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</si>
  <si>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</si>
  <si>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</si>
  <si>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</si>
  <si>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</si>
  <si>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</si>
  <si>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</si>
  <si>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</si>
  <si>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</si>
  <si>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</si>
  <si>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</si>
  <si>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</si>
  <si>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</si>
  <si>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</si>
  <si>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</si>
  <si>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</si>
  <si>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</si>
  <si>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</si>
  <si>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</si>
  <si>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</si>
  <si>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</si>
  <si>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</si>
  <si>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</si>
  <si>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</si>
  <si>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</si>
  <si>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</si>
  <si>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</si>
  <si>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</si>
  <si>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</si>
  <si>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</si>
  <si>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</si>
  <si>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</si>
  <si>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</si>
  <si>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</si>
  <si>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</si>
  <si>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</si>
  <si>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</si>
  <si>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</si>
  <si>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</si>
  <si>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</si>
  <si>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</si>
  <si>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</si>
  <si>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</si>
  <si>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</si>
  <si>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</si>
  <si>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</si>
  <si>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</si>
  <si>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</si>
  <si>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</si>
  <si>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</si>
  <si>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</si>
  <si>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</si>
  <si>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</si>
  <si>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</si>
  <si>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</si>
  <si>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</si>
  <si>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</si>
  <si>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</si>
  <si>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</si>
  <si>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</si>
  <si>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</si>
  <si>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</si>
  <si>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</si>
  <si>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</si>
  <si>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</si>
  <si>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</si>
  <si>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</si>
  <si>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</si>
  <si>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</si>
  <si>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</si>
  <si>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</si>
  <si>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</si>
  <si>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</si>
  <si>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</si>
  <si>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</si>
  <si>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</si>
  <si>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</si>
  <si>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</si>
  <si>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</si>
  <si>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</si>
  <si>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</si>
  <si>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</si>
  <si>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</si>
  <si>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</si>
  <si>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</si>
  <si>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</si>
  <si>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</si>
  <si>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</si>
  <si>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</si>
  <si>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</si>
  <si>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</si>
  <si>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</si>
  <si>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</si>
  <si>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</si>
  <si>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</si>
  <si>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</si>
  <si>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</si>
  <si>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</si>
  <si>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</si>
  <si>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</si>
  <si>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</si>
  <si>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</si>
  <si>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</si>
  <si>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</si>
  <si>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</si>
  <si>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</si>
  <si>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</si>
  <si>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</si>
  <si>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</si>
  <si>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</si>
  <si>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</si>
  <si>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</si>
  <si>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</si>
  <si>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</si>
  <si>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</si>
  <si>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</si>
  <si>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</si>
  <si>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</si>
  <si>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</si>
  <si>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</si>
  <si>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</si>
  <si>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</si>
  <si>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</si>
  <si>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</si>
  <si>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</si>
  <si>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</si>
  <si>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</si>
  <si>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</si>
  <si>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</si>
  <si>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</si>
  <si>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</si>
  <si>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</si>
  <si>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</si>
  <si>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</si>
  <si>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</si>
  <si>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</si>
  <si>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</si>
  <si>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</si>
  <si>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</si>
  <si>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</si>
  <si>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</si>
  <si>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</si>
  <si>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</si>
  <si>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</si>
  <si>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</si>
  <si>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</si>
  <si>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</si>
  <si>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</si>
  <si>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</si>
  <si>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</si>
  <si>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</si>
  <si>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</si>
  <si>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</si>
  <si>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</si>
  <si>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</si>
  <si>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</si>
  <si>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</si>
  <si>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</si>
  <si>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</si>
  <si>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</si>
  <si>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</si>
  <si>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</si>
  <si>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</si>
  <si>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</si>
  <si>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</si>
  <si>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</si>
  <si>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</si>
  <si>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</si>
  <si>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</si>
  <si>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</si>
  <si>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</si>
  <si>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</si>
  <si>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</si>
  <si>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</si>
  <si>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</si>
  <si>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</si>
  <si>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</si>
  <si>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</si>
  <si>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</si>
  <si>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</si>
  <si>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</si>
  <si>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</si>
  <si>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</si>
  <si>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</si>
  <si>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</si>
  <si>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</si>
  <si>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</si>
  <si>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</si>
  <si>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</si>
  <si>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</si>
  <si>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</si>
  <si>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</si>
  <si>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</si>
  <si>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</si>
  <si>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</si>
  <si>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</si>
  <si>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</si>
  <si>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</si>
  <si>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</si>
  <si>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</si>
  <si>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</si>
  <si>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</si>
  <si>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</si>
  <si>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</si>
  <si>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</si>
  <si>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</si>
  <si>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</si>
  <si>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</si>
  <si>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</si>
  <si>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</si>
  <si>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</si>
  <si>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</si>
  <si>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</si>
  <si>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</si>
  <si>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</si>
  <si>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</si>
  <si>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</si>
  <si>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</si>
  <si>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</si>
  <si>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</si>
  <si>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</si>
  <si>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</si>
  <si>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</si>
  <si>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</si>
  <si>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</si>
  <si>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</si>
  <si>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</si>
  <si>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</si>
  <si>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</si>
  <si>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</si>
  <si>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</si>
  <si>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</si>
  <si>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</si>
  <si>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</si>
  <si>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</si>
  <si>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</si>
  <si>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</si>
  <si>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</si>
  <si>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</si>
  <si>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</si>
  <si>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</si>
  <si>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</si>
  <si>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</si>
  <si>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</si>
  <si>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</si>
  <si>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</si>
  <si>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</si>
  <si>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</si>
  <si>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</si>
  <si>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</si>
  <si>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</si>
  <si>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</si>
  <si>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</si>
  <si>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</si>
  <si>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</si>
  <si>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</si>
  <si>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</si>
  <si>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</si>
  <si>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</si>
  <si>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</si>
  <si>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</si>
  <si>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</si>
  <si>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</si>
  <si>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</si>
  <si>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</si>
  <si>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</si>
  <si>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</si>
  <si>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</si>
  <si>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</si>
  <si>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</si>
  <si>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</si>
  <si>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</si>
  <si>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</si>
  <si>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</si>
  <si>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</si>
  <si>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</si>
  <si>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</si>
  <si>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</si>
  <si>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</si>
  <si>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</si>
  <si>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</si>
  <si>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</si>
  <si>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</si>
  <si>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</si>
  <si>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</si>
  <si>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</si>
  <si>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</si>
  <si>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</si>
  <si>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</si>
  <si>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</si>
  <si>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</si>
  <si>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</si>
  <si>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</si>
  <si>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</si>
  <si>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</si>
  <si>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</si>
  <si>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</si>
  <si>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</si>
  <si>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</si>
  <si>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</si>
  <si>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</si>
  <si>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</si>
  <si>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</si>
  <si>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</si>
  <si>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</si>
  <si>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</si>
  <si>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</si>
  <si>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</si>
  <si>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</si>
  <si>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</si>
  <si>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</si>
  <si>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</si>
  <si>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</si>
  <si>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</si>
  <si>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</si>
  <si>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</si>
  <si>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</si>
  <si>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</si>
  <si>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</si>
  <si>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</si>
  <si>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</si>
  <si>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</si>
  <si>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</si>
  <si>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</si>
  <si>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</si>
  <si>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</si>
  <si>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</si>
  <si>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</si>
  <si>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</si>
  <si>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</si>
  <si>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</si>
  <si>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</si>
  <si>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</si>
  <si>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</si>
  <si>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</si>
  <si>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</si>
  <si>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</si>
  <si>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</si>
  <si>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</si>
  <si>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</si>
  <si>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</si>
  <si>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</si>
  <si>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</si>
  <si>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</si>
  <si>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</si>
  <si>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</si>
  <si>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</si>
  <si>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</si>
  <si>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</si>
  <si>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</si>
  <si>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</si>
  <si>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</si>
  <si>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</si>
  <si>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</si>
  <si>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</si>
  <si>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</si>
  <si>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</si>
  <si>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</si>
  <si>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</si>
  <si>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</si>
  <si>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</si>
  <si>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</si>
  <si>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</si>
  <si>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</si>
  <si>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</si>
  <si>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</si>
  <si>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</si>
  <si>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</si>
  <si>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</si>
  <si>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</si>
  <si>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</si>
  <si>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</si>
  <si>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</si>
  <si>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</si>
  <si>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</si>
  <si>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</si>
  <si>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</si>
  <si>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</si>
  <si>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</si>
  <si>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</si>
  <si>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</si>
  <si>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</si>
  <si>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</si>
  <si>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</si>
  <si>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</si>
  <si>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</si>
  <si>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</si>
  <si>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</si>
  <si>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</si>
  <si>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</si>
  <si>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</si>
  <si>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</si>
  <si>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</si>
  <si>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</si>
  <si>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</si>
  <si>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</si>
  <si>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</si>
  <si>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</si>
  <si>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</si>
  <si>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</si>
  <si>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</si>
  <si>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</si>
  <si>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</si>
  <si>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</si>
  <si>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</si>
  <si>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</si>
  <si>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</si>
  <si>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</si>
  <si>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</si>
  <si>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</si>
  <si>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</si>
  <si>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</si>
  <si>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</si>
  <si>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</si>
  <si>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</si>
  <si>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</si>
  <si>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</si>
  <si>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</si>
  <si>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</si>
  <si>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</si>
  <si>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</si>
  <si>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</si>
  <si>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</si>
  <si>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</si>
  <si>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</si>
  <si>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</si>
  <si>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</si>
  <si>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</si>
  <si>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</si>
  <si>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</si>
  <si>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</si>
  <si>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</si>
  <si>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</si>
  <si>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</si>
  <si>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</si>
  <si>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</si>
  <si>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</si>
  <si>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</si>
  <si>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</si>
  <si>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</si>
  <si>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</si>
  <si>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</si>
  <si>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</si>
  <si>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</si>
  <si>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</si>
  <si>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</si>
  <si>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</si>
  <si>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</si>
  <si>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</si>
  <si>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</si>
  <si>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</si>
  <si>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</si>
  <si>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</si>
  <si>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</si>
  <si>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</si>
  <si>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</si>
  <si>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</si>
  <si>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</si>
  <si>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</si>
  <si>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</si>
  <si>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</si>
  <si>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</si>
  <si>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</si>
  <si>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</si>
  <si>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</si>
  <si>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</si>
  <si>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</si>
  <si>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</si>
  <si>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</si>
  <si>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</si>
  <si>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</si>
  <si>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</si>
  <si>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</si>
  <si>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</si>
  <si>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</si>
  <si>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</si>
  <si>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</si>
  <si>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</si>
  <si>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</si>
  <si>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</si>
  <si>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</si>
  <si>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</si>
  <si>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</si>
  <si>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</si>
  <si>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</si>
  <si>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</si>
  <si>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</si>
  <si>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</si>
  <si>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</si>
  <si>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</si>
  <si>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</si>
  <si>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</si>
  <si>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</si>
  <si>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</si>
  <si>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</si>
  <si>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</si>
  <si>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</si>
  <si>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</si>
  <si>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</si>
  <si>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</si>
  <si>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</si>
  <si>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</si>
  <si>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</si>
  <si>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</si>
  <si>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</si>
  <si>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</si>
  <si>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</si>
  <si>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</si>
  <si>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</si>
  <si>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</si>
  <si>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</si>
  <si>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</si>
  <si>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</si>
  <si>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</si>
  <si>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</si>
  <si>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</si>
  <si>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</si>
  <si>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</si>
  <si>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</si>
  <si>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</si>
  <si>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</si>
  <si>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</si>
  <si>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</si>
  <si>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</si>
  <si>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</si>
  <si>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</si>
  <si>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</si>
  <si>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</si>
  <si>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</si>
  <si>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</si>
  <si>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</si>
  <si>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</si>
  <si>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</si>
  <si>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</si>
  <si>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</si>
  <si>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</si>
  <si>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</si>
  <si>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</si>
  <si>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</si>
  <si>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</si>
  <si>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</si>
  <si>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</si>
  <si>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</si>
  <si>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</si>
  <si>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</si>
  <si>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</si>
  <si>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</si>
  <si>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</si>
  <si>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</si>
  <si>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</si>
  <si>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</si>
  <si>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</si>
  <si>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</si>
  <si>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</si>
  <si>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</si>
  <si>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</si>
  <si>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</si>
  <si>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</si>
  <si>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</si>
  <si>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</si>
  <si>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</si>
  <si>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</si>
  <si>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</si>
  <si>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</si>
  <si>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</si>
  <si>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</si>
  <si>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</si>
  <si>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</si>
  <si>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</si>
  <si>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</si>
  <si>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</si>
  <si>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</si>
  <si>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</si>
  <si>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</si>
  <si>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</si>
  <si>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</si>
  <si>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</si>
  <si>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</si>
  <si>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</si>
  <si>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</si>
  <si>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</si>
  <si>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</si>
  <si>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</si>
  <si>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</si>
  <si>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</si>
  <si>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</si>
  <si>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</si>
  <si>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</si>
  <si>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</si>
  <si>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</si>
  <si>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</si>
  <si>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</si>
  <si>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</si>
  <si>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</si>
  <si>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</si>
  <si>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</si>
  <si>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</si>
  <si>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</si>
  <si>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</si>
  <si>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</si>
  <si>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</si>
  <si>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</si>
  <si>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</si>
  <si>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</si>
  <si>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</si>
  <si>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</si>
  <si>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</si>
  <si>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</si>
  <si>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</si>
  <si>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</si>
  <si>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</si>
  <si>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</si>
  <si>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</si>
  <si>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</si>
  <si>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</si>
  <si>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</si>
  <si>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</si>
  <si>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</si>
  <si>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</si>
  <si>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</si>
  <si>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</si>
  <si>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</si>
  <si>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</si>
  <si>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</si>
  <si>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</si>
  <si>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</si>
  <si>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</si>
  <si>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</si>
  <si>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</si>
  <si>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</si>
  <si>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</si>
  <si>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</si>
  <si>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</si>
  <si>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</si>
  <si>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</si>
  <si>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</si>
  <si>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</si>
  <si>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</si>
  <si>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</si>
  <si>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</si>
  <si>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</si>
  <si>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</si>
  <si>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</si>
  <si>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</si>
  <si>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</si>
  <si>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</si>
  <si>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</si>
  <si>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</si>
  <si>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</si>
  <si>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</si>
  <si>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</si>
  <si>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</si>
  <si>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</si>
  <si>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</si>
  <si>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</si>
  <si>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</si>
  <si>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</si>
  <si>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</si>
  <si>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</si>
  <si>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</si>
  <si>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</si>
  <si>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</si>
  <si>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</si>
  <si>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</si>
  <si>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</si>
  <si>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</si>
  <si>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</si>
  <si>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</si>
  <si>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</si>
  <si>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</si>
  <si>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</si>
  <si>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</si>
  <si>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</si>
  <si>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</si>
  <si>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</si>
  <si>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</si>
  <si>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</si>
  <si>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</si>
  <si>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</si>
  <si>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</si>
  <si>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</si>
  <si>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</si>
  <si>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</si>
  <si>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</si>
  <si>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</si>
  <si>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</si>
  <si>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</si>
  <si>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</si>
  <si>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</si>
  <si>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</si>
  <si>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</si>
  <si>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</si>
  <si>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</si>
  <si>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</si>
  <si>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</si>
  <si>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</si>
  <si>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</si>
  <si>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</si>
  <si>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</si>
  <si>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</si>
  <si>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</si>
  <si>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</si>
  <si>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</si>
  <si>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</si>
  <si>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</si>
  <si>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</si>
  <si>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</si>
  <si>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</si>
  <si>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</si>
  <si>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</si>
  <si>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</si>
  <si>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</si>
  <si>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</si>
  <si>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</si>
  <si>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</si>
  <si>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</si>
  <si>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</si>
  <si>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</si>
  <si>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</si>
  <si>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</si>
  <si>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</si>
  <si>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</si>
  <si>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</si>
  <si>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</si>
  <si>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</si>
  <si>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</si>
  <si>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</si>
  <si>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</si>
  <si>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</si>
  <si>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</si>
  <si>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</si>
  <si>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</si>
  <si>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</si>
  <si>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</si>
  <si>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</si>
  <si>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</si>
  <si>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</si>
  <si>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</si>
  <si>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</si>
  <si>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</si>
  <si>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</si>
  <si>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</si>
  <si>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</si>
  <si>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</si>
  <si>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</si>
  <si>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</si>
  <si>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</si>
  <si>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</si>
  <si>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</si>
  <si>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</si>
  <si>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</si>
  <si>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</si>
  <si>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</si>
  <si>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</si>
  <si>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</si>
  <si>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</si>
  <si>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</si>
  <si>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</si>
  <si>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</si>
  <si>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</si>
  <si>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</si>
  <si>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</si>
  <si>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</si>
  <si>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far fa-clone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</si>
  <si>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</si>
  <si>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</si>
  <si>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</si>
  <si>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</si>
  <si>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</si>
  <si>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</si>
  <si>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</si>
  <si>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</si>
  <si>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</si>
  <si>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</si>
  <si>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</si>
  <si>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</si>
  <si>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fa-sort-numeric-up-alt","kbShort":{"ctrl":true,"alt":false,"shift":false,"key":"r","keycode":"82","langCode":"key_r"},"text":{"en-us":"Rotate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fa-image","kbShort":{"ctrl":true,"alt":false,"shift":true,"key":"r","keycode":"82","langCode":"key_r"},"text":{"en-us":"Rotate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frente"},"prtBelow":false,"func":"mainSystem.graph.orderCells(false);mainSystem.refresh()"},{"icon":"far fa-clone","kbShort":{"ctrl":true,"alt":false,"shift":false,"key":"b","keycode":"66","langCode":"key_b"},"text":{"en-us":"Send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fa-magnet","kbShort":{"ctrl":true,"alt":false,"shift":false,"key":"t","keycode":"84","langCode":"key_t"},"text":{"en-us":"Execution order","es-mx":"Orden de ejecución"},"moreInfo":{"en-us":"Shows simulation order and errors","es-mx":"Muestra el orden de simulación y los errores."},"prtBelow":false,"func":"alert()"}]},{"icon":"fas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</si>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</sst>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opLeftCell="A134" workbookViewId="0">
      <selection activeCell="A155" sqref="A15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1066</v>
      </c>
      <c r="B155" t="s">
        <v>1078</v>
      </c>
      <c r="C155" t="s">
        <v>1080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1067</v>
      </c>
      <c r="B156" t="s">
        <v>1069</v>
      </c>
      <c r="C156" t="s">
        <v>1086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1068</v>
      </c>
      <c r="B157" t="s">
        <v>1079</v>
      </c>
      <c r="C157" t="s">
        <v>1081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1070</v>
      </c>
      <c r="B158" t="s">
        <v>1074</v>
      </c>
      <c r="C158" t="s">
        <v>1082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1071</v>
      </c>
      <c r="B159" t="s">
        <v>1075</v>
      </c>
      <c r="C159" t="s">
        <v>1083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1072</v>
      </c>
      <c r="B160" t="s">
        <v>1076</v>
      </c>
      <c r="C160" t="s">
        <v>1084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1073</v>
      </c>
      <c r="B161" t="s">
        <v>1077</v>
      </c>
      <c r="C161" t="s">
        <v>1085</v>
      </c>
      <c r="K161" t="str">
        <f t="shared" si="6"/>
        <v>"nSteps":"Next N-Steps to the simulation"}</v>
      </c>
      <c r="L161" t="str">
        <f t="shared" si="7"/>
        <v>"nSteps":"N pasos siguientes a la simulación"}</v>
      </c>
    </row>
    <row r="162" spans="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A19" zoomScaleNormal="100" workbookViewId="0">
      <selection activeCell="L33" sqref="L33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2" t="s">
        <v>341</v>
      </c>
      <c r="F1" s="22"/>
      <c r="G1" s="22"/>
      <c r="H1" s="22"/>
      <c r="I1" s="22"/>
      <c r="J1" s="22"/>
      <c r="K1" s="22"/>
      <c r="M1" s="22" t="s">
        <v>329</v>
      </c>
      <c r="N1" s="22"/>
      <c r="O1" s="22" t="s">
        <v>330</v>
      </c>
      <c r="P1" s="22"/>
      <c r="T1" s="18" t="s">
        <v>949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20">
        <f>IF(ISBLANK(H4), "", VLOOKUP(LOWER(H4), javascriptKeycodes!A:B, 2, FALSE))</f>
        <v>76</v>
      </c>
      <c r="J4" s="20" t="str">
        <f>IF(ISBLANK(H4), "", VLOOKUP(LOWER(H4), javascriptKeycodes!A:C, 3, FALSE))</f>
        <v>key_l</v>
      </c>
      <c r="K4" s="10" t="str">
        <f t="shared" ref="K4:K6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439</v>
      </c>
      <c r="P4" t="s">
        <v>479</v>
      </c>
    </row>
    <row r="5" spans="1:20" x14ac:dyDescent="0.3">
      <c r="A5">
        <v>3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20">
        <f>IF(ISBLANK(H5), "", VLOOKUP(LOWER(H5), javascriptKeycodes!A:B, 2, FALSE))</f>
        <v>83</v>
      </c>
      <c r="J5" s="20" t="str">
        <f>IF(ISBLANK(H5), "", VLOOKUP(LOWER(H5), javascriptKeycodes!A:C, 3, FALSE))</f>
        <v>key_s</v>
      </c>
      <c r="K5" s="10" t="str">
        <f t="shared" si="0"/>
        <v>CTRL_S</v>
      </c>
      <c r="L5" t="s">
        <v>921</v>
      </c>
      <c r="M5" t="s">
        <v>137</v>
      </c>
      <c r="N5" t="s">
        <v>197</v>
      </c>
      <c r="O5" t="s">
        <v>440</v>
      </c>
      <c r="P5" t="s">
        <v>480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0">
        <f>IF(ISBLANK(H6), "", VLOOKUP(LOWER(H6), javascriptKeycodes!A:B, 2, FALSE))</f>
        <v>79</v>
      </c>
      <c r="J6" s="20" t="str">
        <f>IF(ISBLANK(H6), "", VLOOKUP(LOWER(H6), javascriptKeycodes!A:C, 3, FALSE))</f>
        <v>key_o</v>
      </c>
      <c r="K6" s="10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1</v>
      </c>
      <c r="D7" t="s">
        <v>943</v>
      </c>
      <c r="E7" t="b">
        <v>1</v>
      </c>
      <c r="F7" s="21"/>
      <c r="G7" s="21"/>
      <c r="H7" s="21" t="s">
        <v>620</v>
      </c>
      <c r="I7" s="21">
        <f>IF(ISBLANK(H7), "", VLOOKUP(LOWER(H7), javascriptKeycodes!A:B, 2, FALSE))</f>
        <v>73</v>
      </c>
      <c r="J7" s="21" t="str">
        <f>IF(ISBLANK(H7), "", VLOOKUP(LOWER(H7), javascriptKeycodes!A:C, 3, FALSE))</f>
        <v>key_i</v>
      </c>
      <c r="K7" s="21" t="str">
        <f t="shared" ref="K7:K51" si="1">IF(E7,"CTRL_","")&amp;IF(F7,"ALT_","")&amp;IF(G7,"SHIFT_","")&amp;H7</f>
        <v>CTRL_I</v>
      </c>
      <c r="L7" t="s">
        <v>944</v>
      </c>
      <c r="M7" t="s">
        <v>946</v>
      </c>
      <c r="N7" t="s">
        <v>945</v>
      </c>
      <c r="O7" t="s">
        <v>947</v>
      </c>
      <c r="P7" t="s">
        <v>948</v>
      </c>
    </row>
    <row r="8" spans="1:20" x14ac:dyDescent="0.3">
      <c r="A8">
        <v>6</v>
      </c>
      <c r="B8" t="b">
        <v>0</v>
      </c>
      <c r="C8" t="b">
        <v>0</v>
      </c>
      <c r="D8" t="s">
        <v>154</v>
      </c>
      <c r="E8" t="b">
        <v>1</v>
      </c>
      <c r="F8" s="6"/>
      <c r="G8" s="6"/>
      <c r="H8" s="6" t="s">
        <v>251</v>
      </c>
      <c r="I8" s="21">
        <f>IF(ISBLANK(H8), "", VLOOKUP(LOWER(H8), javascriptKeycodes!A:B, 2, FALSE))</f>
        <v>74</v>
      </c>
      <c r="J8" s="21" t="str">
        <f>IF(ISBLANK(H8), "", VLOOKUP(LOWER(H8), javascriptKeycodes!A:C, 3, FALSE))</f>
        <v>key_j</v>
      </c>
      <c r="K8" s="21" t="str">
        <f t="shared" si="1"/>
        <v>CTRL_J</v>
      </c>
      <c r="L8" t="s">
        <v>272</v>
      </c>
      <c r="M8" t="s">
        <v>140</v>
      </c>
      <c r="N8" t="s">
        <v>193</v>
      </c>
      <c r="O8" t="s">
        <v>442</v>
      </c>
      <c r="P8" t="s">
        <v>482</v>
      </c>
    </row>
    <row r="9" spans="1:20" x14ac:dyDescent="0.3">
      <c r="A9">
        <v>7</v>
      </c>
      <c r="B9" t="b">
        <v>0</v>
      </c>
      <c r="C9" t="b">
        <v>1</v>
      </c>
      <c r="D9" t="s">
        <v>155</v>
      </c>
      <c r="E9" t="b">
        <v>1</v>
      </c>
      <c r="F9" s="6"/>
      <c r="G9" t="b">
        <v>1</v>
      </c>
      <c r="H9" s="6" t="s">
        <v>251</v>
      </c>
      <c r="I9" s="21">
        <f>IF(ISBLANK(H9), "", VLOOKUP(LOWER(H9), javascriptKeycodes!A:B, 2, FALSE))</f>
        <v>74</v>
      </c>
      <c r="J9" s="21" t="str">
        <f>IF(ISBLANK(H9), "", VLOOKUP(LOWER(H9), javascriptKeycodes!A:C, 3, FALSE))</f>
        <v>key_j</v>
      </c>
      <c r="K9" s="21" t="str">
        <f t="shared" si="1"/>
        <v>CTRL_SHIFT_J</v>
      </c>
      <c r="L9" t="s">
        <v>272</v>
      </c>
      <c r="M9" t="s">
        <v>139</v>
      </c>
      <c r="N9" t="s">
        <v>194</v>
      </c>
      <c r="O9" t="s">
        <v>443</v>
      </c>
      <c r="P9" t="s">
        <v>483</v>
      </c>
    </row>
    <row r="10" spans="1:20" x14ac:dyDescent="0.3">
      <c r="A10">
        <v>8</v>
      </c>
      <c r="B10" t="b">
        <v>0</v>
      </c>
      <c r="C10" t="b">
        <v>0</v>
      </c>
      <c r="D10" t="s">
        <v>156</v>
      </c>
      <c r="E10" t="b">
        <v>1</v>
      </c>
      <c r="F10" s="6"/>
      <c r="G10" s="6"/>
      <c r="H10" s="6" t="s">
        <v>248</v>
      </c>
      <c r="I10" s="21">
        <f>IF(ISBLANK(H10), "", VLOOKUP(LOWER(H10), javascriptKeycodes!A:B, 2, FALSE))</f>
        <v>80</v>
      </c>
      <c r="J10" s="21" t="str">
        <f>IF(ISBLANK(H10), "", VLOOKUP(LOWER(H10), javascriptKeycodes!A:C, 3, FALSE))</f>
        <v>key_p</v>
      </c>
      <c r="K10" s="21" t="str">
        <f t="shared" si="1"/>
        <v>CTRL_P</v>
      </c>
      <c r="L10" t="s">
        <v>272</v>
      </c>
      <c r="M10" t="s">
        <v>120</v>
      </c>
      <c r="N10" t="s">
        <v>195</v>
      </c>
      <c r="O10" t="s">
        <v>444</v>
      </c>
      <c r="P10" t="s">
        <v>484</v>
      </c>
    </row>
    <row r="11" spans="1:20" x14ac:dyDescent="0.3">
      <c r="A11">
        <v>9</v>
      </c>
      <c r="B11" t="b">
        <v>1</v>
      </c>
      <c r="C11" t="b">
        <v>0</v>
      </c>
      <c r="D11" t="s">
        <v>15</v>
      </c>
      <c r="F11" s="7" t="b">
        <v>1</v>
      </c>
      <c r="G11" s="6"/>
      <c r="H11" s="6" t="s">
        <v>243</v>
      </c>
      <c r="I11" s="21">
        <f>IF(ISBLANK(H11), "", VLOOKUP(LOWER(H11), javascriptKeycodes!A:B, 2, FALSE))</f>
        <v>83</v>
      </c>
      <c r="J11" s="21" t="str">
        <f>IF(ISBLANK(H11), "", VLOOKUP(LOWER(H11), javascriptKeycodes!A:C, 3, FALSE))</f>
        <v>key_s</v>
      </c>
      <c r="K11" s="21" t="str">
        <f t="shared" si="1"/>
        <v>ALT_S</v>
      </c>
      <c r="L11" t="s">
        <v>435</v>
      </c>
      <c r="M11" t="s">
        <v>136</v>
      </c>
      <c r="N11" t="s">
        <v>196</v>
      </c>
      <c r="O11" t="s">
        <v>445</v>
      </c>
      <c r="P11" t="s">
        <v>485</v>
      </c>
    </row>
    <row r="12" spans="1:20" x14ac:dyDescent="0.3">
      <c r="A12">
        <v>10</v>
      </c>
      <c r="B12" t="b">
        <v>0</v>
      </c>
      <c r="C12" t="b">
        <v>0</v>
      </c>
      <c r="D12" t="s">
        <v>157</v>
      </c>
      <c r="E12" t="b">
        <v>1</v>
      </c>
      <c r="F12" s="6"/>
      <c r="G12" s="6"/>
      <c r="H12" s="6" t="s">
        <v>249</v>
      </c>
      <c r="I12" s="21">
        <f>IF(ISBLANK(H12), "", VLOOKUP(LOWER(H12), javascriptKeycodes!A:B, 2, FALSE))</f>
        <v>85</v>
      </c>
      <c r="J12" s="21" t="str">
        <f>IF(ISBLANK(H12), "", VLOOKUP(LOWER(H12), javascriptKeycodes!A:C, 3, FALSE))</f>
        <v>key_u</v>
      </c>
      <c r="K12" s="21" t="str">
        <f t="shared" si="1"/>
        <v>CTRL_U</v>
      </c>
      <c r="L12" t="s">
        <v>887</v>
      </c>
      <c r="M12" t="s">
        <v>234</v>
      </c>
      <c r="N12" t="s">
        <v>235</v>
      </c>
      <c r="O12" t="s">
        <v>446</v>
      </c>
      <c r="P12" t="s">
        <v>486</v>
      </c>
    </row>
    <row r="13" spans="1:20" x14ac:dyDescent="0.3">
      <c r="A13">
        <v>11</v>
      </c>
      <c r="B13" t="b">
        <v>0</v>
      </c>
      <c r="C13" t="b">
        <v>0</v>
      </c>
      <c r="D13" t="s">
        <v>158</v>
      </c>
      <c r="E13" t="b">
        <v>1</v>
      </c>
      <c r="F13" s="6"/>
      <c r="G13" s="6"/>
      <c r="H13" s="6" t="s">
        <v>254</v>
      </c>
      <c r="I13" s="21">
        <f>IF(ISBLANK(H13), "", VLOOKUP(LOWER(H13), javascriptKeycodes!A:B, 2, FALSE))</f>
        <v>69</v>
      </c>
      <c r="J13" s="21" t="str">
        <f>IF(ISBLANK(H13), "", VLOOKUP(LOWER(H13), javascriptKeycodes!A:C, 3, FALSE))</f>
        <v>key_e</v>
      </c>
      <c r="K13" s="21" t="str">
        <f t="shared" si="1"/>
        <v>CTRL_E</v>
      </c>
      <c r="L13" t="s">
        <v>886</v>
      </c>
      <c r="M13" t="s">
        <v>201</v>
      </c>
      <c r="N13" t="s">
        <v>203</v>
      </c>
      <c r="O13" t="s">
        <v>447</v>
      </c>
      <c r="P13" t="s">
        <v>487</v>
      </c>
    </row>
    <row r="14" spans="1:20" x14ac:dyDescent="0.3">
      <c r="A14">
        <v>12</v>
      </c>
      <c r="B14" t="b">
        <v>0</v>
      </c>
      <c r="C14" t="b">
        <v>0</v>
      </c>
      <c r="D14" t="s">
        <v>19</v>
      </c>
      <c r="E14" t="b">
        <v>1</v>
      </c>
      <c r="F14" s="7"/>
      <c r="G14" s="7" t="b">
        <v>1</v>
      </c>
      <c r="H14" s="6" t="s">
        <v>243</v>
      </c>
      <c r="I14" s="21">
        <f>IF(ISBLANK(H14), "", VLOOKUP(LOWER(H14), javascriptKeycodes!A:B, 2, FALSE))</f>
        <v>83</v>
      </c>
      <c r="J14" s="21" t="str">
        <f>IF(ISBLANK(H14), "", VLOOKUP(LOWER(H14), javascriptKeycodes!A:C, 3, FALSE))</f>
        <v>key_s</v>
      </c>
      <c r="K14" s="21" t="str">
        <f t="shared" si="1"/>
        <v>CTRL_SHIFT_S</v>
      </c>
      <c r="L14" t="s">
        <v>272</v>
      </c>
      <c r="M14" t="s">
        <v>202</v>
      </c>
      <c r="N14" t="s">
        <v>204</v>
      </c>
      <c r="O14" t="s">
        <v>448</v>
      </c>
      <c r="P14" t="s">
        <v>488</v>
      </c>
    </row>
    <row r="15" spans="1:20" x14ac:dyDescent="0.3">
      <c r="A15">
        <v>13</v>
      </c>
      <c r="B15" t="b">
        <v>0</v>
      </c>
      <c r="C15" t="b">
        <v>1</v>
      </c>
      <c r="D15" t="s">
        <v>285</v>
      </c>
      <c r="E15" t="b">
        <v>1</v>
      </c>
      <c r="F15" s="6"/>
      <c r="G15" s="7" t="b">
        <v>1</v>
      </c>
      <c r="H15" s="6" t="s">
        <v>257</v>
      </c>
      <c r="I15" s="21">
        <f>IF(ISBLANK(H15), "", VLOOKUP(LOWER(H15), javascriptKeycodes!A:B, 2, FALSE))</f>
        <v>86</v>
      </c>
      <c r="J15" s="21" t="str">
        <f>IF(ISBLANK(H15), "", VLOOKUP(LOWER(H15), javascriptKeycodes!A:C, 3, FALSE))</f>
        <v>key_v</v>
      </c>
      <c r="K15" s="21" t="str">
        <f t="shared" si="1"/>
        <v>CTRL_SHIFT_V</v>
      </c>
      <c r="L15" t="s">
        <v>779</v>
      </c>
      <c r="M15" t="s">
        <v>888</v>
      </c>
      <c r="N15" t="s">
        <v>889</v>
      </c>
      <c r="O15" t="s">
        <v>890</v>
      </c>
      <c r="P15" t="s">
        <v>891</v>
      </c>
    </row>
    <row r="16" spans="1:20" x14ac:dyDescent="0.3">
      <c r="A16">
        <v>14</v>
      </c>
      <c r="B16" t="b">
        <v>0</v>
      </c>
      <c r="C16" t="b">
        <v>0</v>
      </c>
      <c r="D16" t="s">
        <v>159</v>
      </c>
      <c r="E16" t="b">
        <v>1</v>
      </c>
      <c r="F16" s="6"/>
      <c r="G16" s="6"/>
      <c r="H16" s="6" t="s">
        <v>255</v>
      </c>
      <c r="I16" s="21">
        <f>IF(ISBLANK(H16), "", VLOOKUP(LOWER(H16), javascriptKeycodes!A:B, 2, FALSE))</f>
        <v>75</v>
      </c>
      <c r="J16" s="21" t="str">
        <f>IF(ISBLANK(H16), "", VLOOKUP(LOWER(H16), javascriptKeycodes!A:C, 3, FALSE))</f>
        <v>key_k</v>
      </c>
      <c r="K16" s="21" t="str">
        <f t="shared" si="1"/>
        <v>CTRL_K</v>
      </c>
      <c r="L16" t="s">
        <v>892</v>
      </c>
      <c r="M16" t="s">
        <v>236</v>
      </c>
      <c r="N16" t="s">
        <v>205</v>
      </c>
      <c r="O16" t="s">
        <v>449</v>
      </c>
      <c r="P16" t="s">
        <v>489</v>
      </c>
    </row>
    <row r="17" spans="1:16" x14ac:dyDescent="0.3">
      <c r="A17">
        <v>15</v>
      </c>
      <c r="B17" t="b">
        <v>0</v>
      </c>
      <c r="C17" t="b">
        <v>0</v>
      </c>
      <c r="D17" t="s">
        <v>160</v>
      </c>
      <c r="E17" t="b">
        <v>1</v>
      </c>
      <c r="F17" s="6"/>
      <c r="G17" s="7" t="b">
        <v>1</v>
      </c>
      <c r="H17" s="6" t="s">
        <v>255</v>
      </c>
      <c r="I17" s="21">
        <f>IF(ISBLANK(H17), "", VLOOKUP(LOWER(H17), javascriptKeycodes!A:B, 2, FALSE))</f>
        <v>75</v>
      </c>
      <c r="J17" s="21" t="str">
        <f>IF(ISBLANK(H17), "", VLOOKUP(LOWER(H17), javascriptKeycodes!A:C, 3, FALSE))</f>
        <v>key_k</v>
      </c>
      <c r="K17" s="21" t="str">
        <f t="shared" si="1"/>
        <v>CTRL_SHIFT_K</v>
      </c>
      <c r="L17" t="s">
        <v>893</v>
      </c>
      <c r="M17" t="s">
        <v>237</v>
      </c>
      <c r="N17" t="s">
        <v>206</v>
      </c>
      <c r="O17" t="s">
        <v>450</v>
      </c>
      <c r="P17" t="s">
        <v>490</v>
      </c>
    </row>
    <row r="18" spans="1:16" x14ac:dyDescent="0.3">
      <c r="A18">
        <v>16</v>
      </c>
      <c r="B18" t="b">
        <v>1</v>
      </c>
      <c r="C18" t="b">
        <v>0</v>
      </c>
      <c r="D18" t="s">
        <v>188</v>
      </c>
      <c r="F18" s="7" t="b">
        <v>1</v>
      </c>
      <c r="G18" s="6"/>
      <c r="H18" s="6" t="s">
        <v>254</v>
      </c>
      <c r="I18" s="21">
        <f>IF(ISBLANK(H18), "", VLOOKUP(LOWER(H18), javascriptKeycodes!A:B, 2, FALSE))</f>
        <v>69</v>
      </c>
      <c r="J18" s="21" t="str">
        <f>IF(ISBLANK(H18), "", VLOOKUP(LOWER(H18), javascriptKeycodes!A:C, 3, FALSE))</f>
        <v>key_e</v>
      </c>
      <c r="K18" s="21" t="str">
        <f t="shared" si="1"/>
        <v>ALT_E</v>
      </c>
      <c r="L18" t="s">
        <v>435</v>
      </c>
      <c r="M18" t="s">
        <v>123</v>
      </c>
      <c r="N18" t="s">
        <v>214</v>
      </c>
      <c r="O18" t="s">
        <v>451</v>
      </c>
      <c r="P18" t="s">
        <v>491</v>
      </c>
    </row>
    <row r="19" spans="1:16" x14ac:dyDescent="0.3">
      <c r="A19">
        <v>17</v>
      </c>
      <c r="B19" t="b">
        <v>0</v>
      </c>
      <c r="C19" t="b">
        <v>1</v>
      </c>
      <c r="D19" t="s">
        <v>726</v>
      </c>
      <c r="E19" t="b">
        <v>1</v>
      </c>
      <c r="F19" t="b">
        <v>1</v>
      </c>
      <c r="G19" t="b">
        <v>1</v>
      </c>
      <c r="H19" s="16" t="s">
        <v>243</v>
      </c>
      <c r="I19" s="21">
        <f>IF(ISBLANK(H19), "", VLOOKUP(LOWER(H19), javascriptKeycodes!A:B, 2, FALSE))</f>
        <v>83</v>
      </c>
      <c r="J19" s="21" t="str">
        <f>IF(ISBLANK(H19), "", VLOOKUP(LOWER(H19), javascriptKeycodes!A:C, 3, FALSE))</f>
        <v>key_s</v>
      </c>
      <c r="K19" s="21" t="str">
        <f t="shared" si="1"/>
        <v>CTRL_ALT_SHIFT_S</v>
      </c>
      <c r="L19" t="s">
        <v>727</v>
      </c>
      <c r="M19" t="s">
        <v>693</v>
      </c>
      <c r="N19" t="s">
        <v>724</v>
      </c>
      <c r="O19" t="s">
        <v>694</v>
      </c>
      <c r="P19" t="s">
        <v>725</v>
      </c>
    </row>
    <row r="20" spans="1:16" x14ac:dyDescent="0.3">
      <c r="A20">
        <v>18</v>
      </c>
      <c r="B20" t="b">
        <v>0</v>
      </c>
      <c r="C20" t="b">
        <v>0</v>
      </c>
      <c r="D20" t="s">
        <v>271</v>
      </c>
      <c r="E20" t="b">
        <v>1</v>
      </c>
      <c r="F20" s="6"/>
      <c r="G20" s="6"/>
      <c r="H20" s="6" t="s">
        <v>264</v>
      </c>
      <c r="I20" s="21">
        <f>IF(ISBLANK(H20), "", VLOOKUP(LOWER(H20), javascriptKeycodes!A:B, 2, FALSE))</f>
        <v>65</v>
      </c>
      <c r="J20" s="21" t="str">
        <f>IF(ISBLANK(H20), "", VLOOKUP(LOWER(H20), javascriptKeycodes!A:C, 3, FALSE))</f>
        <v>key_a</v>
      </c>
      <c r="K20" s="21" t="str">
        <f t="shared" si="1"/>
        <v>CTRL_A</v>
      </c>
      <c r="L20" t="s">
        <v>894</v>
      </c>
      <c r="M20" t="s">
        <v>268</v>
      </c>
      <c r="N20" t="s">
        <v>436</v>
      </c>
      <c r="O20" t="s">
        <v>452</v>
      </c>
      <c r="P20" t="s">
        <v>492</v>
      </c>
    </row>
    <row r="21" spans="1:16" x14ac:dyDescent="0.3">
      <c r="A21">
        <v>19</v>
      </c>
      <c r="B21" t="b">
        <v>0</v>
      </c>
      <c r="C21" t="b">
        <v>1</v>
      </c>
      <c r="D21" t="s">
        <v>270</v>
      </c>
      <c r="E21" t="b">
        <v>1</v>
      </c>
      <c r="F21" s="6"/>
      <c r="G21" s="7" t="b">
        <v>1</v>
      </c>
      <c r="H21" s="6" t="s">
        <v>264</v>
      </c>
      <c r="I21" s="21">
        <f>IF(ISBLANK(H21), "", VLOOKUP(LOWER(H21), javascriptKeycodes!A:B, 2, FALSE))</f>
        <v>65</v>
      </c>
      <c r="J21" s="21" t="str">
        <f>IF(ISBLANK(H21), "", VLOOKUP(LOWER(H21), javascriptKeycodes!A:C, 3, FALSE))</f>
        <v>key_a</v>
      </c>
      <c r="K21" s="21" t="str">
        <f t="shared" si="1"/>
        <v>CTRL_SHIFT_A</v>
      </c>
      <c r="L21" t="s">
        <v>895</v>
      </c>
      <c r="M21" t="s">
        <v>269</v>
      </c>
      <c r="N21" t="s">
        <v>437</v>
      </c>
      <c r="O21" t="s">
        <v>453</v>
      </c>
      <c r="P21" t="s">
        <v>493</v>
      </c>
    </row>
    <row r="22" spans="1:16" x14ac:dyDescent="0.3">
      <c r="A22">
        <v>20</v>
      </c>
      <c r="B22" t="b">
        <v>0</v>
      </c>
      <c r="C22" t="b">
        <v>0</v>
      </c>
      <c r="D22" t="s">
        <v>161</v>
      </c>
      <c r="E22" t="b">
        <v>1</v>
      </c>
      <c r="F22" s="6"/>
      <c r="G22" s="21"/>
      <c r="H22" s="6" t="s">
        <v>256</v>
      </c>
      <c r="I22" s="21">
        <f>IF(ISBLANK(H22), "", VLOOKUP(LOWER(H22), javascriptKeycodes!A:B, 2, FALSE))</f>
        <v>88</v>
      </c>
      <c r="J22" s="21" t="str">
        <f>IF(ISBLANK(H22), "", VLOOKUP(LOWER(H22), javascriptKeycodes!A:C, 3, FALSE))</f>
        <v>key_x</v>
      </c>
      <c r="K22" s="21" t="str">
        <f t="shared" si="1"/>
        <v>CTRL_X</v>
      </c>
      <c r="L22" t="s">
        <v>942</v>
      </c>
      <c r="M22" t="s">
        <v>124</v>
      </c>
      <c r="N22" t="s">
        <v>208</v>
      </c>
      <c r="O22" t="s">
        <v>454</v>
      </c>
      <c r="P22" t="s">
        <v>494</v>
      </c>
    </row>
    <row r="23" spans="1:16" x14ac:dyDescent="0.3">
      <c r="A23">
        <v>21</v>
      </c>
      <c r="B23" t="b">
        <v>0</v>
      </c>
      <c r="C23" t="b">
        <v>0</v>
      </c>
      <c r="D23" t="s">
        <v>162</v>
      </c>
      <c r="E23" t="b">
        <v>1</v>
      </c>
      <c r="F23" s="6"/>
      <c r="G23" s="21"/>
      <c r="H23" s="6" t="s">
        <v>244</v>
      </c>
      <c r="I23" s="21">
        <f>IF(ISBLANK(H23), "", VLOOKUP(LOWER(H23), javascriptKeycodes!A:B, 2, FALSE))</f>
        <v>67</v>
      </c>
      <c r="J23" s="21" t="str">
        <f>IF(ISBLANK(H23), "", VLOOKUP(LOWER(H23), javascriptKeycodes!A:C, 3, FALSE))</f>
        <v>key_c</v>
      </c>
      <c r="K23" s="21" t="str">
        <f t="shared" si="1"/>
        <v>CTRL_C</v>
      </c>
      <c r="L23" t="s">
        <v>939</v>
      </c>
      <c r="M23" t="s">
        <v>125</v>
      </c>
      <c r="N23" t="s">
        <v>207</v>
      </c>
      <c r="O23" t="s">
        <v>455</v>
      </c>
      <c r="P23" t="s">
        <v>495</v>
      </c>
    </row>
    <row r="24" spans="1:16" x14ac:dyDescent="0.3">
      <c r="A24">
        <v>22</v>
      </c>
      <c r="B24" t="b">
        <v>0</v>
      </c>
      <c r="C24" t="b">
        <v>0</v>
      </c>
      <c r="D24" t="s">
        <v>163</v>
      </c>
      <c r="E24" t="b">
        <v>1</v>
      </c>
      <c r="F24" s="21"/>
      <c r="G24" s="21"/>
      <c r="H24" s="6" t="s">
        <v>257</v>
      </c>
      <c r="I24" s="21">
        <f>IF(ISBLANK(H24), "", VLOOKUP(LOWER(H24), javascriptKeycodes!A:B, 2, FALSE))</f>
        <v>86</v>
      </c>
      <c r="J24" s="21" t="str">
        <f>IF(ISBLANK(H24), "", VLOOKUP(LOWER(H24), javascriptKeycodes!A:C, 3, FALSE))</f>
        <v>key_v</v>
      </c>
      <c r="K24" s="21" t="str">
        <f t="shared" si="1"/>
        <v>CTRL_V</v>
      </c>
      <c r="L24" t="s">
        <v>940</v>
      </c>
      <c r="M24" t="s">
        <v>126</v>
      </c>
      <c r="N24" t="s">
        <v>209</v>
      </c>
      <c r="O24" t="s">
        <v>456</v>
      </c>
      <c r="P24" t="s">
        <v>496</v>
      </c>
    </row>
    <row r="25" spans="1:16" x14ac:dyDescent="0.3">
      <c r="A25">
        <v>23</v>
      </c>
      <c r="B25" t="b">
        <v>0</v>
      </c>
      <c r="C25" t="b">
        <v>0</v>
      </c>
      <c r="D25" t="s">
        <v>165</v>
      </c>
      <c r="E25" t="b">
        <v>1</v>
      </c>
      <c r="F25" s="6"/>
      <c r="G25" s="7" t="b">
        <v>1</v>
      </c>
      <c r="H25" s="6" t="s">
        <v>244</v>
      </c>
      <c r="I25" s="21">
        <f>IF(ISBLANK(H25), "", VLOOKUP(LOWER(H25), javascriptKeycodes!A:B, 2, FALSE))</f>
        <v>67</v>
      </c>
      <c r="J25" s="21" t="str">
        <f>IF(ISBLANK(H25), "", VLOOKUP(LOWER(H25), javascriptKeycodes!A:C, 3, FALSE))</f>
        <v>key_c</v>
      </c>
      <c r="K25" s="21" t="str">
        <f t="shared" si="1"/>
        <v>CTRL_SHIFT_C</v>
      </c>
      <c r="L25" t="s">
        <v>941</v>
      </c>
      <c r="M25" t="s">
        <v>164</v>
      </c>
      <c r="N25" t="s">
        <v>210</v>
      </c>
      <c r="O25" t="s">
        <v>457</v>
      </c>
      <c r="P25" t="s">
        <v>497</v>
      </c>
    </row>
    <row r="26" spans="1:16" x14ac:dyDescent="0.3">
      <c r="A26">
        <v>24</v>
      </c>
      <c r="B26" t="b">
        <v>0</v>
      </c>
      <c r="C26" t="b">
        <v>1</v>
      </c>
      <c r="D26" t="s">
        <v>166</v>
      </c>
      <c r="F26" s="6"/>
      <c r="G26" s="6"/>
      <c r="H26" s="6" t="s">
        <v>7</v>
      </c>
      <c r="I26" s="21">
        <f>IF(ISBLANK(H26), "", VLOOKUP(LOWER(H26), javascriptKeycodes!A:B, 2, FALSE))</f>
        <v>46</v>
      </c>
      <c r="J26" s="21" t="str">
        <f>IF(ISBLANK(H26), "", VLOOKUP(LOWER(H26), javascriptKeycodes!A:C, 3, FALSE))</f>
        <v>key_delete</v>
      </c>
      <c r="K26" s="21" t="str">
        <f t="shared" si="1"/>
        <v>delete</v>
      </c>
      <c r="L26" t="s">
        <v>896</v>
      </c>
      <c r="M26" t="s">
        <v>33</v>
      </c>
      <c r="N26" t="s">
        <v>211</v>
      </c>
      <c r="O26" t="s">
        <v>458</v>
      </c>
      <c r="P26" t="s">
        <v>498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1">
        <f>IF(ISBLANK(H27), "", VLOOKUP(LOWER(H27), javascriptKeycodes!A:B, 2, FALSE))</f>
        <v>90</v>
      </c>
      <c r="J27" s="21" t="str">
        <f>IF(ISBLANK(H27), "", VLOOKUP(LOWER(H27), javascriptKeycodes!A:C, 3, FALSE))</f>
        <v>key_z</v>
      </c>
      <c r="K27" s="21" t="str">
        <f t="shared" si="1"/>
        <v>CTRL_Z</v>
      </c>
      <c r="L27" t="s">
        <v>904</v>
      </c>
      <c r="M27" t="s">
        <v>143</v>
      </c>
      <c r="N27" t="s">
        <v>212</v>
      </c>
      <c r="O27" t="s">
        <v>459</v>
      </c>
      <c r="P27" t="s">
        <v>499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1">
        <f>IF(ISBLANK(H28), "", VLOOKUP(LOWER(H28), javascriptKeycodes!A:B, 2, FALSE))</f>
        <v>90</v>
      </c>
      <c r="J28" s="21" t="str">
        <f>IF(ISBLANK(H28), "", VLOOKUP(LOWER(H28), javascriptKeycodes!A:C, 3, FALSE))</f>
        <v>key_z</v>
      </c>
      <c r="K28" s="21" t="str">
        <f t="shared" si="1"/>
        <v>CTRL_SHIFT_Z</v>
      </c>
      <c r="L28" t="s">
        <v>903</v>
      </c>
      <c r="M28" t="s">
        <v>144</v>
      </c>
      <c r="N28" t="s">
        <v>213</v>
      </c>
      <c r="O28" t="s">
        <v>460</v>
      </c>
      <c r="P28" t="s">
        <v>500</v>
      </c>
    </row>
    <row r="29" spans="1:16" x14ac:dyDescent="0.3">
      <c r="A29">
        <v>27</v>
      </c>
      <c r="B29" t="b">
        <v>1</v>
      </c>
      <c r="C29" t="b">
        <v>0</v>
      </c>
      <c r="D29" t="s">
        <v>923</v>
      </c>
      <c r="F29" s="20" t="b">
        <v>1</v>
      </c>
      <c r="G29" s="20"/>
      <c r="H29" s="20" t="s">
        <v>621</v>
      </c>
      <c r="I29" s="21">
        <f>IF(ISBLANK(H29), "", VLOOKUP(LOWER(H29), javascriptKeycodes!A:B, 2, FALSE))</f>
        <v>78</v>
      </c>
      <c r="J29" s="21" t="str">
        <f>IF(ISBLANK(H29), "", VLOOKUP(LOWER(H29), javascriptKeycodes!A:C, 3, FALSE))</f>
        <v>key_n</v>
      </c>
      <c r="K29" s="21" t="str">
        <f t="shared" si="1"/>
        <v>ALT_N</v>
      </c>
      <c r="M29" t="s">
        <v>924</v>
      </c>
      <c r="N29" t="s">
        <v>926</v>
      </c>
      <c r="O29" t="s">
        <v>925</v>
      </c>
      <c r="P29" t="s">
        <v>927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1">
        <f>IF(ISBLANK(H30), "", VLOOKUP(LOWER(H30), javascriptKeycodes!A:B, 2, FALSE))</f>
        <v>107</v>
      </c>
      <c r="J30" s="21" t="str">
        <f>IF(ISBLANK(H30), "", VLOOKUP(LOWER(H30), javascriptKeycodes!A:C, 3, FALSE))</f>
        <v>key_add</v>
      </c>
      <c r="K30" s="21" t="str">
        <f t="shared" si="1"/>
        <v>CTRL_add</v>
      </c>
      <c r="L30" t="s">
        <v>900</v>
      </c>
      <c r="M30" t="s">
        <v>129</v>
      </c>
      <c r="N30" t="s">
        <v>216</v>
      </c>
      <c r="O30" t="s">
        <v>462</v>
      </c>
      <c r="P30" t="s">
        <v>502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1">
        <f>IF(ISBLANK(H31), "", VLOOKUP(LOWER(H31), javascriptKeycodes!A:B, 2, FALSE))</f>
        <v>109</v>
      </c>
      <c r="J31" s="21" t="str">
        <f>IF(ISBLANK(H31), "", VLOOKUP(LOWER(H31), javascriptKeycodes!A:C, 3, FALSE))</f>
        <v>key_sub</v>
      </c>
      <c r="K31" s="21" t="str">
        <f t="shared" si="1"/>
        <v>CTRL_subtract</v>
      </c>
      <c r="L31" t="s">
        <v>899</v>
      </c>
      <c r="M31" t="s">
        <v>128</v>
      </c>
      <c r="N31" t="s">
        <v>217</v>
      </c>
      <c r="O31" t="s">
        <v>463</v>
      </c>
      <c r="P31" t="s">
        <v>503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676</v>
      </c>
      <c r="I32" s="21">
        <f>IF(ISBLANK(H32), "", VLOOKUP(LOWER(H32), javascriptKeycodes!A:B, 2, FALSE))</f>
        <v>48</v>
      </c>
      <c r="J32" s="21" t="str">
        <f>IF(ISBLANK(H32), "", VLOOKUP(LOWER(H32), javascriptKeycodes!A:C, 3, FALSE))</f>
        <v>key_0</v>
      </c>
      <c r="K32" s="21" t="str">
        <f t="shared" si="1"/>
        <v>CTRL_K_0</v>
      </c>
      <c r="L32" t="s">
        <v>901</v>
      </c>
      <c r="M32" t="s">
        <v>131</v>
      </c>
      <c r="N32" t="s">
        <v>218</v>
      </c>
      <c r="O32" t="s">
        <v>464</v>
      </c>
      <c r="P32" t="s">
        <v>504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676</v>
      </c>
      <c r="I33" s="21">
        <f>IF(ISBLANK(H33), "", VLOOKUP(LOWER(H33), javascriptKeycodes!A:B, 2, FALSE))</f>
        <v>48</v>
      </c>
      <c r="J33" s="21" t="str">
        <f>IF(ISBLANK(H33), "", VLOOKUP(LOWER(H33), javascriptKeycodes!A:C, 3, FALSE))</f>
        <v>key_0</v>
      </c>
      <c r="K33" s="21" t="str">
        <f t="shared" si="1"/>
        <v>CTRL_SHIFT_K_0</v>
      </c>
      <c r="L33" t="s">
        <v>902</v>
      </c>
      <c r="M33" t="s">
        <v>130</v>
      </c>
      <c r="N33" t="s">
        <v>219</v>
      </c>
      <c r="O33" t="s">
        <v>465</v>
      </c>
      <c r="P33" t="s">
        <v>505</v>
      </c>
    </row>
    <row r="34" spans="1:16" x14ac:dyDescent="0.3">
      <c r="A34">
        <v>32</v>
      </c>
      <c r="B34" t="b">
        <v>0</v>
      </c>
      <c r="C34" t="b">
        <v>0</v>
      </c>
      <c r="D34" t="s">
        <v>777</v>
      </c>
      <c r="E34" t="b">
        <v>1</v>
      </c>
      <c r="F34" s="6" t="b">
        <v>1</v>
      </c>
      <c r="G34" s="19" t="b">
        <v>1</v>
      </c>
      <c r="H34" s="6" t="s">
        <v>264</v>
      </c>
      <c r="I34" s="21">
        <f>IF(ISBLANK(H34), "", VLOOKUP(LOWER(H34), javascriptKeycodes!A:B, 2, FALSE))</f>
        <v>65</v>
      </c>
      <c r="J34" s="21" t="str">
        <f>IF(ISBLANK(H34), "", VLOOKUP(LOWER(H34), javascriptKeycodes!A:C, 3, FALSE))</f>
        <v>key_a</v>
      </c>
      <c r="K34" s="21" t="str">
        <f t="shared" si="1"/>
        <v>CTRL_ALT_SHIFT_A</v>
      </c>
      <c r="L34" t="s">
        <v>272</v>
      </c>
      <c r="M34" t="s">
        <v>222</v>
      </c>
      <c r="N34" t="s">
        <v>223</v>
      </c>
      <c r="O34" t="s">
        <v>469</v>
      </c>
      <c r="P34" t="s">
        <v>509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1">
        <f>IF(ISBLANK(H35), "", VLOOKUP(LOWER(H35), javascriptKeycodes!A:B, 2, FALSE))</f>
        <v>86</v>
      </c>
      <c r="J35" s="21" t="str">
        <f>IF(ISBLANK(H35), "", VLOOKUP(LOWER(H35), javascriptKeycodes!A:C, 3, FALSE))</f>
        <v>key_v</v>
      </c>
      <c r="K35" s="21" t="str">
        <f t="shared" si="1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501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/>
      <c r="G36" s="9" t="b">
        <v>1</v>
      </c>
      <c r="H36" s="9" t="s">
        <v>261</v>
      </c>
      <c r="I36" s="21">
        <f>IF(ISBLANK(H36), "", VLOOKUP(LOWER(H36), javascriptKeycodes!A:B, 2, FALSE))</f>
        <v>70</v>
      </c>
      <c r="J36" s="21" t="str">
        <f>IF(ISBLANK(H36), "", VLOOKUP(LOWER(H36), javascriptKeycodes!A:C, 3, FALSE))</f>
        <v>key_f</v>
      </c>
      <c r="K36" s="21" t="str">
        <f t="shared" si="1"/>
        <v>CTRL_SHIFT_F</v>
      </c>
      <c r="L36" t="s">
        <v>690</v>
      </c>
      <c r="M36" t="s">
        <v>686</v>
      </c>
      <c r="N36" t="s">
        <v>687</v>
      </c>
      <c r="O36" t="s">
        <v>688</v>
      </c>
      <c r="P36" t="s">
        <v>689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1">
        <f>IF(ISBLANK(H37), "", VLOOKUP(LOWER(H37), javascriptKeycodes!A:B, 2, FALSE))</f>
        <v>77</v>
      </c>
      <c r="J37" s="21" t="str">
        <f>IF(ISBLANK(H37), "", VLOOKUP(LOWER(H37), javascriptKeycodes!A:C, 3, FALSE))</f>
        <v>key_m</v>
      </c>
      <c r="K37" s="21" t="str">
        <f t="shared" si="1"/>
        <v>CTRL_M</v>
      </c>
      <c r="L37" t="s">
        <v>897</v>
      </c>
      <c r="M37" t="s">
        <v>145</v>
      </c>
      <c r="N37" t="s">
        <v>220</v>
      </c>
      <c r="O37" t="s">
        <v>466</v>
      </c>
      <c r="P37" t="s">
        <v>506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1">
        <f>IF(ISBLANK(H38), "", VLOOKUP(LOWER(H38), javascriptKeycodes!A:B, 2, FALSE))</f>
        <v>77</v>
      </c>
      <c r="J38" s="21" t="str">
        <f>IF(ISBLANK(H38), "", VLOOKUP(LOWER(H38), javascriptKeycodes!A:C, 3, FALSE))</f>
        <v>key_m</v>
      </c>
      <c r="K38" s="21" t="str">
        <f t="shared" si="1"/>
        <v>CTRL_SHIFT_M</v>
      </c>
      <c r="L38" t="s">
        <v>898</v>
      </c>
      <c r="M38" t="s">
        <v>146</v>
      </c>
      <c r="N38" t="s">
        <v>221</v>
      </c>
      <c r="O38" t="s">
        <v>467</v>
      </c>
      <c r="P38" t="s">
        <v>507</v>
      </c>
    </row>
    <row r="39" spans="1:16" x14ac:dyDescent="0.3">
      <c r="A39">
        <v>37</v>
      </c>
      <c r="B39" t="b">
        <v>0</v>
      </c>
      <c r="C39" t="b">
        <v>0</v>
      </c>
      <c r="D39" t="s">
        <v>280</v>
      </c>
      <c r="E39" t="b">
        <v>1</v>
      </c>
      <c r="F39" s="6"/>
      <c r="G39" s="6"/>
      <c r="H39" s="6" t="s">
        <v>250</v>
      </c>
      <c r="I39" s="21">
        <f>IF(ISBLANK(H39), "", VLOOKUP(LOWER(H39), javascriptKeycodes!A:B, 2, FALSE))</f>
        <v>82</v>
      </c>
      <c r="J39" s="21" t="str">
        <f>IF(ISBLANK(H39), "", VLOOKUP(LOWER(H39), javascriptKeycodes!A:C, 3, FALSE))</f>
        <v>key_r</v>
      </c>
      <c r="K39" s="21" t="str">
        <f t="shared" si="1"/>
        <v>CTRL_R</v>
      </c>
      <c r="L39" t="s">
        <v>914</v>
      </c>
      <c r="M39" t="s">
        <v>905</v>
      </c>
      <c r="N39" t="s">
        <v>906</v>
      </c>
      <c r="O39" t="s">
        <v>909</v>
      </c>
      <c r="P39" t="s">
        <v>911</v>
      </c>
    </row>
    <row r="40" spans="1:16" x14ac:dyDescent="0.3">
      <c r="A40">
        <v>38</v>
      </c>
      <c r="B40" t="b">
        <v>0</v>
      </c>
      <c r="C40" t="b">
        <v>1</v>
      </c>
      <c r="D40" t="s">
        <v>177</v>
      </c>
      <c r="E40" t="b">
        <v>1</v>
      </c>
      <c r="F40" s="6"/>
      <c r="G40" s="6" t="b">
        <v>1</v>
      </c>
      <c r="H40" s="6" t="s">
        <v>250</v>
      </c>
      <c r="I40" s="21">
        <f>IF(ISBLANK(H40), "", VLOOKUP(LOWER(H40), javascriptKeycodes!A:B, 2, FALSE))</f>
        <v>82</v>
      </c>
      <c r="J40" s="21" t="str">
        <f>IF(ISBLANK(H40), "", VLOOKUP(LOWER(H40), javascriptKeycodes!A:C, 3, FALSE))</f>
        <v>key_r</v>
      </c>
      <c r="K40" s="21" t="str">
        <f t="shared" si="1"/>
        <v>CTRL_SHIFT_R</v>
      </c>
      <c r="L40" t="s">
        <v>913</v>
      </c>
      <c r="M40" t="s">
        <v>908</v>
      </c>
      <c r="N40" t="s">
        <v>907</v>
      </c>
      <c r="O40" t="s">
        <v>910</v>
      </c>
      <c r="P40" t="s">
        <v>912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1">
        <f>IF(ISBLANK(H41), "", VLOOKUP(LOWER(H41), javascriptKeycodes!A:B, 2, FALSE))</f>
        <v>70</v>
      </c>
      <c r="J41" s="21" t="str">
        <f>IF(ISBLANK(H41), "", VLOOKUP(LOWER(H41), javascriptKeycodes!A:C, 3, FALSE))</f>
        <v>key_f</v>
      </c>
      <c r="K41" s="21" t="str">
        <f t="shared" si="1"/>
        <v>CTRL_F</v>
      </c>
      <c r="L41" t="s">
        <v>937</v>
      </c>
      <c r="M41" t="s">
        <v>928</v>
      </c>
      <c r="N41" t="s">
        <v>932</v>
      </c>
      <c r="O41" t="s">
        <v>930</v>
      </c>
      <c r="P41" t="s">
        <v>934</v>
      </c>
    </row>
    <row r="42" spans="1:16" x14ac:dyDescent="0.3">
      <c r="A42">
        <v>40</v>
      </c>
      <c r="B42" t="b">
        <v>0</v>
      </c>
      <c r="C42" t="b">
        <v>0</v>
      </c>
      <c r="D42" t="s">
        <v>936</v>
      </c>
      <c r="E42" t="b">
        <v>1</v>
      </c>
      <c r="F42" s="20"/>
      <c r="G42" s="20"/>
      <c r="H42" s="20" t="s">
        <v>265</v>
      </c>
      <c r="I42" s="21">
        <f>IF(ISBLANK(H42), "", VLOOKUP(LOWER(H42), javascriptKeycodes!A:B, 2, FALSE))</f>
        <v>66</v>
      </c>
      <c r="J42" s="21" t="str">
        <f>IF(ISBLANK(H42), "", VLOOKUP(LOWER(H42), javascriptKeycodes!A:C, 3, FALSE))</f>
        <v>key_b</v>
      </c>
      <c r="K42" s="21" t="str">
        <f t="shared" si="1"/>
        <v>CTRL_B</v>
      </c>
      <c r="L42" t="s">
        <v>938</v>
      </c>
      <c r="M42" t="s">
        <v>929</v>
      </c>
      <c r="N42" t="s">
        <v>933</v>
      </c>
      <c r="O42" t="s">
        <v>931</v>
      </c>
      <c r="P42" t="s">
        <v>935</v>
      </c>
    </row>
    <row r="43" spans="1:16" x14ac:dyDescent="0.3">
      <c r="A43">
        <v>41</v>
      </c>
      <c r="B43" t="b">
        <v>0</v>
      </c>
      <c r="C43" t="b">
        <v>0</v>
      </c>
      <c r="D43" t="s">
        <v>178</v>
      </c>
      <c r="E43" t="b">
        <v>1</v>
      </c>
      <c r="F43" s="6"/>
      <c r="G43" s="6"/>
      <c r="H43" s="6" t="s">
        <v>262</v>
      </c>
      <c r="I43" s="21">
        <f>IF(ISBLANK(H43), "", VLOOKUP(LOWER(H43), javascriptKeycodes!A:B, 2, FALSE))</f>
        <v>84</v>
      </c>
      <c r="J43" s="21" t="str">
        <f>IF(ISBLANK(H43), "", VLOOKUP(LOWER(H43), javascriptKeycodes!A:C, 3, FALSE))</f>
        <v>key_t</v>
      </c>
      <c r="K43" s="21" t="str">
        <f t="shared" si="1"/>
        <v>CTRL_T</v>
      </c>
      <c r="L43" t="s">
        <v>272</v>
      </c>
      <c r="M43" t="s">
        <v>279</v>
      </c>
      <c r="N43" t="s">
        <v>281</v>
      </c>
      <c r="O43" t="s">
        <v>468</v>
      </c>
      <c r="P43" t="s">
        <v>508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1">
        <f>IF(ISBLANK(H44), "", VLOOKUP(LOWER(H44), javascriptKeycodes!A:B, 2, FALSE))</f>
        <v>65</v>
      </c>
      <c r="J44" s="21" t="str">
        <f>IF(ISBLANK(H44), "", VLOOKUP(LOWER(H44), javascriptKeycodes!A:C, 3, FALSE))</f>
        <v>key_a</v>
      </c>
      <c r="K44" s="21" t="str">
        <f t="shared" si="1"/>
        <v>ALT_A</v>
      </c>
      <c r="L44" t="s">
        <v>272</v>
      </c>
      <c r="M44" t="s">
        <v>122</v>
      </c>
      <c r="N44" t="s">
        <v>227</v>
      </c>
      <c r="O44" t="s">
        <v>470</v>
      </c>
      <c r="P44" t="s">
        <v>510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1" t="str">
        <f>IF(ISBLANK(H45), "", VLOOKUP(LOWER(H45), javascriptKeycodes!A:B, 2, FALSE))</f>
        <v/>
      </c>
      <c r="J45" s="21" t="str">
        <f>IF(ISBLANK(H45), "", VLOOKUP(LOWER(H45), javascriptKeycodes!A:C, 3, FALSE))</f>
        <v/>
      </c>
      <c r="K45" s="21" t="str">
        <f t="shared" si="1"/>
        <v/>
      </c>
      <c r="L45" t="s">
        <v>272</v>
      </c>
      <c r="M45" t="s">
        <v>150</v>
      </c>
      <c r="N45" t="s">
        <v>228</v>
      </c>
      <c r="O45" t="s">
        <v>471</v>
      </c>
      <c r="P45" t="s">
        <v>511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1">
        <f>IF(ISBLANK(H46), "", VLOOKUP(LOWER(H46), javascriptKeycodes!A:B, 2, FALSE))</f>
        <v>66</v>
      </c>
      <c r="J46" s="21" t="str">
        <f>IF(ISBLANK(H46), "", VLOOKUP(LOWER(H46), javascriptKeycodes!A:C, 3, FALSE))</f>
        <v>key_b</v>
      </c>
      <c r="K46" s="21" t="str">
        <f t="shared" si="1"/>
        <v>CTRL_SHIFT_B</v>
      </c>
      <c r="L46" t="s">
        <v>272</v>
      </c>
      <c r="M46" t="s">
        <v>121</v>
      </c>
      <c r="N46" t="s">
        <v>229</v>
      </c>
      <c r="O46" t="s">
        <v>472</v>
      </c>
      <c r="P46" t="s">
        <v>512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1">
        <f>IF(ISBLANK(H47), "", VLOOKUP(LOWER(H47), javascriptKeycodes!A:B, 2, FALSE))</f>
        <v>87</v>
      </c>
      <c r="J47" s="21" t="str">
        <f>IF(ISBLANK(H47), "", VLOOKUP(LOWER(H47), javascriptKeycodes!A:C, 3, FALSE))</f>
        <v>key_w</v>
      </c>
      <c r="K47" s="21" t="str">
        <f t="shared" si="1"/>
        <v>CTRL_W</v>
      </c>
      <c r="L47" t="s">
        <v>272</v>
      </c>
      <c r="M47" t="s">
        <v>119</v>
      </c>
      <c r="N47" t="s">
        <v>230</v>
      </c>
      <c r="O47" t="s">
        <v>473</v>
      </c>
      <c r="P47" t="s">
        <v>513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1">
        <f>IF(ISBLANK(H48), "", VLOOKUP(LOWER(H48), javascriptKeycodes!A:B, 2, FALSE))</f>
        <v>72</v>
      </c>
      <c r="J48" s="21" t="str">
        <f>IF(ISBLANK(H48), "", VLOOKUP(LOWER(H48), javascriptKeycodes!A:C, 3, FALSE))</f>
        <v>key_h</v>
      </c>
      <c r="K48" s="21" t="str">
        <f t="shared" si="1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514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245</v>
      </c>
      <c r="I49" s="21">
        <f>IF(ISBLANK(H49), "", VLOOKUP(LOWER(H49), javascriptKeycodes!A:B, 2, FALSE))</f>
        <v>68</v>
      </c>
      <c r="J49" s="21" t="str">
        <f>IF(ISBLANK(H49), "", VLOOKUP(LOWER(H49), javascriptKeycodes!A:C, 3, FALSE))</f>
        <v>key_d</v>
      </c>
      <c r="K49" s="21" t="str">
        <f t="shared" si="1"/>
        <v>CTRL_D</v>
      </c>
      <c r="L49" t="s">
        <v>272</v>
      </c>
      <c r="M49" t="s">
        <v>148</v>
      </c>
      <c r="N49" t="s">
        <v>232</v>
      </c>
      <c r="O49" t="s">
        <v>475</v>
      </c>
      <c r="P49" t="s">
        <v>515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/>
      <c r="H50" s="6" t="s">
        <v>267</v>
      </c>
      <c r="I50" s="21">
        <f>IF(ISBLANK(H50), "", VLOOKUP(LOWER(H50), javascriptKeycodes!A:B, 2, FALSE))</f>
        <v>72</v>
      </c>
      <c r="J50" s="21" t="str">
        <f>IF(ISBLANK(H50), "", VLOOKUP(LOWER(H50), javascriptKeycodes!A:C, 3, FALSE))</f>
        <v>key_h</v>
      </c>
      <c r="K50" s="21" t="str">
        <f t="shared" si="1"/>
        <v>CTRL_H</v>
      </c>
      <c r="L50" t="s">
        <v>272</v>
      </c>
      <c r="M50" t="s">
        <v>184</v>
      </c>
      <c r="N50" t="s">
        <v>233</v>
      </c>
      <c r="O50" t="s">
        <v>476</v>
      </c>
      <c r="P50" t="s">
        <v>516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1" t="str">
        <f>IF(ISBLANK(H51), "", VLOOKUP(LOWER(H51), javascriptKeycodes!A:B, 2, FALSE))</f>
        <v/>
      </c>
      <c r="J51" s="21" t="str">
        <f>IF(ISBLANK(H51), "", VLOOKUP(LOWER(H51), javascriptKeycodes!A:C, 3, FALSE))</f>
        <v/>
      </c>
      <c r="K51" s="21" t="str">
        <f t="shared" si="1"/>
        <v/>
      </c>
      <c r="L51" t="s">
        <v>272</v>
      </c>
      <c r="M51" t="s">
        <v>149</v>
      </c>
      <c r="N51" t="s">
        <v>233</v>
      </c>
      <c r="O51" t="s">
        <v>477</v>
      </c>
      <c r="P51" t="s">
        <v>516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tabSelected="1"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1087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1088</v>
      </c>
      <c r="H7" s="13" t="str">
        <f t="shared" si="0"/>
        <v>down arrow</v>
      </c>
      <c r="I7" s="13" t="str">
        <f>IF(ISBLANK(menu!K8),"",menu!K8)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1089</v>
      </c>
      <c r="H8" s="13" t="str">
        <f t="shared" si="0"/>
        <v>right arrow</v>
      </c>
      <c r="I8" s="13" t="str">
        <f>IF(ISBLANK(menu!K9),"",menu!K9)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1090</v>
      </c>
      <c r="H9" s="13" t="str">
        <f t="shared" si="0"/>
        <v>left arrow</v>
      </c>
      <c r="I9" s="13" t="str">
        <f>IF(ISBLANK(menu!K10),"",menu!K10)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IF(ISBLANK(menu!K11),"",menu!K11)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IF(ISBLANK(menu!K12),"",menu!K12)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IF(ISBLANK(menu!K13),"",menu!K13)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IF(ISBLANK(menu!K14),"",menu!K14)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IF(ISBLANK(menu!K15),"",menu!K15)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IF(ISBLANK(menu!K16),"",menu!K16)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IF(ISBLANK(menu!K17),"",menu!K17)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IF(ISBLANK(menu!K18),"",menu!K18)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IF(ISBLANK(menu!K20),"",menu!K20)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IF(ISBLANK(menu!K21),"",menu!K21)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IF(ISBLANK(menu!K22),"",menu!K22)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IF(ISBLANK(menu!K23),"",menu!K23)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IF(ISBLANK(menu!K24),"",menu!K24)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IF(ISBLANK(menu!K25),"",menu!K25)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IF(ISBLANK(menu!K26),"",menu!K26)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0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3" t="s">
        <v>329</v>
      </c>
      <c r="D1" s="23"/>
      <c r="E1" s="23" t="s">
        <v>330</v>
      </c>
      <c r="F1" s="23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5"/>
  <sheetViews>
    <sheetView workbookViewId="0">
      <selection activeCell="A5" sqref="A5"/>
    </sheetView>
  </sheetViews>
  <sheetFormatPr defaultRowHeight="14.4" x14ac:dyDescent="0.3"/>
  <cols>
    <col min="2" max="2" width="35.5546875" customWidth="1"/>
  </cols>
  <sheetData>
    <row r="1" spans="1:18" x14ac:dyDescent="0.3">
      <c r="I1" s="23" t="s">
        <v>329</v>
      </c>
      <c r="J1" s="23"/>
      <c r="K1" s="23" t="s">
        <v>330</v>
      </c>
      <c r="L1" s="23"/>
      <c r="R1" s="18" t="s">
        <v>1065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t="s">
        <v>1059</v>
      </c>
      <c r="B5" t="s">
        <v>1058</v>
      </c>
      <c r="C5" t="s">
        <v>299</v>
      </c>
      <c r="D5" t="s">
        <v>735</v>
      </c>
      <c r="E5">
        <v>50</v>
      </c>
      <c r="F5">
        <v>50</v>
      </c>
      <c r="G5" t="s">
        <v>1060</v>
      </c>
      <c r="H5" t="s">
        <v>54</v>
      </c>
      <c r="I5" t="s">
        <v>1061</v>
      </c>
      <c r="J5" t="s">
        <v>1062</v>
      </c>
      <c r="K5" t="s">
        <v>1063</v>
      </c>
      <c r="L5" t="s">
        <v>1064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950</v>
      </c>
      <c r="B1" t="s">
        <v>951</v>
      </c>
      <c r="C1" t="s">
        <v>952</v>
      </c>
      <c r="D1" t="s">
        <v>953</v>
      </c>
      <c r="E1" t="s">
        <v>954</v>
      </c>
      <c r="F1" t="s">
        <v>955</v>
      </c>
      <c r="G1" t="s">
        <v>329</v>
      </c>
      <c r="H1" t="s">
        <v>330</v>
      </c>
      <c r="K1" s="15" t="s">
        <v>1016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976</v>
      </c>
      <c r="B2" t="s">
        <v>956</v>
      </c>
      <c r="C2" t="s">
        <v>957</v>
      </c>
      <c r="D2" t="s">
        <v>958</v>
      </c>
      <c r="E2" t="s">
        <v>959</v>
      </c>
      <c r="F2" t="s">
        <v>960</v>
      </c>
      <c r="G2" t="s">
        <v>961</v>
      </c>
      <c r="H2" t="s">
        <v>962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1017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1057</v>
      </c>
      <c r="B3" t="s">
        <v>964</v>
      </c>
      <c r="C3" t="s">
        <v>965</v>
      </c>
      <c r="D3" t="s">
        <v>966</v>
      </c>
      <c r="E3" t="s">
        <v>967</v>
      </c>
      <c r="F3" t="s">
        <v>968</v>
      </c>
      <c r="G3" t="s">
        <v>969</v>
      </c>
      <c r="H3" t="s">
        <v>970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977</v>
      </c>
      <c r="B4" t="s">
        <v>971</v>
      </c>
      <c r="C4" t="s">
        <v>972</v>
      </c>
      <c r="D4" t="s">
        <v>973</v>
      </c>
      <c r="E4" t="s">
        <v>974</v>
      </c>
      <c r="F4" t="s">
        <v>975</v>
      </c>
      <c r="G4" t="s">
        <v>978</v>
      </c>
      <c r="H4" t="s">
        <v>978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990</v>
      </c>
      <c r="B5" t="s">
        <v>979</v>
      </c>
      <c r="C5" t="s">
        <v>980</v>
      </c>
      <c r="D5" t="s">
        <v>981</v>
      </c>
      <c r="E5" t="s">
        <v>982</v>
      </c>
      <c r="F5" t="s">
        <v>983</v>
      </c>
      <c r="G5" t="s">
        <v>984</v>
      </c>
      <c r="H5" t="s">
        <v>985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991</v>
      </c>
      <c r="B6" t="s">
        <v>986</v>
      </c>
      <c r="C6" t="s">
        <v>987</v>
      </c>
      <c r="D6" t="s">
        <v>981</v>
      </c>
      <c r="E6" t="s">
        <v>988</v>
      </c>
      <c r="F6" t="s">
        <v>989</v>
      </c>
      <c r="G6" t="s">
        <v>992</v>
      </c>
      <c r="H6" t="s">
        <v>993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997</v>
      </c>
      <c r="B7" t="s">
        <v>994</v>
      </c>
      <c r="C7" t="s">
        <v>995</v>
      </c>
      <c r="D7" t="s">
        <v>981</v>
      </c>
      <c r="E7" t="s">
        <v>996</v>
      </c>
      <c r="F7" t="s">
        <v>983</v>
      </c>
      <c r="G7" t="s">
        <v>998</v>
      </c>
      <c r="H7" t="s">
        <v>999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1010</v>
      </c>
      <c r="B8" t="s">
        <v>1000</v>
      </c>
      <c r="C8" t="s">
        <v>1001</v>
      </c>
      <c r="D8" t="s">
        <v>1002</v>
      </c>
      <c r="E8" t="s">
        <v>1003</v>
      </c>
      <c r="F8" t="s">
        <v>1004</v>
      </c>
      <c r="G8" t="s">
        <v>1012</v>
      </c>
      <c r="H8" t="s">
        <v>1013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1011</v>
      </c>
      <c r="B9" t="s">
        <v>1005</v>
      </c>
      <c r="C9" t="s">
        <v>1006</v>
      </c>
      <c r="D9" t="s">
        <v>1007</v>
      </c>
      <c r="E9" t="s">
        <v>1008</v>
      </c>
      <c r="F9" t="s">
        <v>1009</v>
      </c>
      <c r="G9" t="s">
        <v>1014</v>
      </c>
      <c r="H9" t="s">
        <v>1015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1037</v>
      </c>
      <c r="B10" t="s">
        <v>1018</v>
      </c>
      <c r="C10" t="s">
        <v>1019</v>
      </c>
      <c r="D10" t="s">
        <v>1020</v>
      </c>
      <c r="E10" t="s">
        <v>1021</v>
      </c>
      <c r="F10" t="s">
        <v>1022</v>
      </c>
      <c r="G10" t="s">
        <v>1041</v>
      </c>
      <c r="H10" t="s">
        <v>1042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1038</v>
      </c>
      <c r="B11" t="s">
        <v>1023</v>
      </c>
      <c r="C11" t="s">
        <v>1024</v>
      </c>
      <c r="D11" t="s">
        <v>1025</v>
      </c>
      <c r="E11" t="s">
        <v>1026</v>
      </c>
      <c r="F11" t="s">
        <v>1027</v>
      </c>
      <c r="G11" t="s">
        <v>1043</v>
      </c>
      <c r="H11" t="s">
        <v>1044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1039</v>
      </c>
      <c r="B12" t="s">
        <v>1028</v>
      </c>
      <c r="C12" t="s">
        <v>1029</v>
      </c>
      <c r="D12" t="s">
        <v>1030</v>
      </c>
      <c r="E12" t="s">
        <v>1031</v>
      </c>
      <c r="F12" t="s">
        <v>735</v>
      </c>
      <c r="G12" t="s">
        <v>1045</v>
      </c>
      <c r="H12" t="s">
        <v>1046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1040</v>
      </c>
      <c r="B13" t="s">
        <v>1032</v>
      </c>
      <c r="C13" t="s">
        <v>1033</v>
      </c>
      <c r="D13" t="s">
        <v>1034</v>
      </c>
      <c r="E13" t="s">
        <v>1035</v>
      </c>
      <c r="F13" t="s">
        <v>1036</v>
      </c>
      <c r="G13" t="s">
        <v>1047</v>
      </c>
      <c r="H13" t="s">
        <v>1048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1054</v>
      </c>
      <c r="B14" t="s">
        <v>1049</v>
      </c>
      <c r="C14" t="s">
        <v>1050</v>
      </c>
      <c r="D14" t="s">
        <v>1051</v>
      </c>
      <c r="E14" t="s">
        <v>1052</v>
      </c>
      <c r="F14" t="s">
        <v>1053</v>
      </c>
      <c r="G14" t="s">
        <v>1055</v>
      </c>
      <c r="H14" t="s">
        <v>1056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963</v>
      </c>
      <c r="C15" t="s">
        <v>963</v>
      </c>
      <c r="D15" t="s">
        <v>963</v>
      </c>
      <c r="E15" t="s">
        <v>963</v>
      </c>
      <c r="F15" t="s">
        <v>963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963</v>
      </c>
      <c r="C16" t="s">
        <v>963</v>
      </c>
      <c r="D16" t="s">
        <v>963</v>
      </c>
      <c r="E16" t="s">
        <v>963</v>
      </c>
      <c r="F16" t="s">
        <v>963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963</v>
      </c>
      <c r="C17" t="s">
        <v>963</v>
      </c>
      <c r="D17" t="s">
        <v>963</v>
      </c>
      <c r="E17" t="s">
        <v>963</v>
      </c>
      <c r="F17" t="s">
        <v>963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2020-04-14T04:02:21Z</dcterms:modified>
</cp:coreProperties>
</file>