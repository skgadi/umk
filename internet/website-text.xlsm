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Suresh\git\umk\internet\"/>
    </mc:Choice>
  </mc:AlternateContent>
  <xr:revisionPtr revIDLastSave="0" documentId="13_ncr:1_{9AE422B2-8587-4079-88E8-26FDCD602C4F}" xr6:coauthVersionLast="47" xr6:coauthVersionMax="47" xr10:uidLastSave="{00000000-0000-0000-0000-000000000000}"/>
  <bookViews>
    <workbookView xWindow="-108" yWindow="-108" windowWidth="23256" windowHeight="12576" activeTab="3" xr2:uid="{8467AF14-AB62-4EB9-86FA-B8B9AA9C4E04}"/>
  </bookViews>
  <sheets>
    <sheet name="GeneratePages" sheetId="2" r:id="rId1"/>
    <sheet name="privacy-policy" sheetId="22" r:id="rId2"/>
    <sheet name="404" sheetId="20" r:id="rId3"/>
    <sheet name="_index" sheetId="3" r:id="rId4"/>
    <sheet name="about" sheetId="10" r:id="rId5"/>
    <sheet name="medical-procedures" sheetId="11" r:id="rId6"/>
    <sheet name="members" sheetId="13" r:id="rId7"/>
    <sheet name="packages" sheetId="14" r:id="rId8"/>
    <sheet name="contact" sheetId="15" r:id="rId9"/>
    <sheet name="sign-in" sheetId="18" r:id="rId10"/>
    <sheet name="verify-email" sheetId="19" r:id="rId11"/>
    <sheet name="MainSlider" sheetId="1" r:id="rId12"/>
    <sheet name="MainHighlights" sheetId="5" r:id="rId13"/>
    <sheet name="WhyUs" sheetId="6" r:id="rId14"/>
    <sheet name="MembersList" sheetId="8" r:id="rId15"/>
    <sheet name="MembersList (2)" sheetId="17" r:id="rId16"/>
    <sheet name="MedicalSpecialities" sheetId="9" r:id="rId17"/>
    <sheet name="Procedures" sheetId="12" r:id="rId1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6" i="3" l="1"/>
  <c r="F86" i="3"/>
  <c r="G86" i="3"/>
  <c r="E87" i="3"/>
  <c r="F87" i="3"/>
  <c r="G87" i="3"/>
  <c r="E88" i="3"/>
  <c r="F88" i="3"/>
  <c r="G88" i="3"/>
  <c r="E89" i="3"/>
  <c r="F89" i="3"/>
  <c r="G89" i="3"/>
  <c r="E90" i="3"/>
  <c r="F90" i="3"/>
  <c r="G90" i="3"/>
  <c r="E91" i="3"/>
  <c r="F91" i="3"/>
  <c r="G91" i="3"/>
  <c r="E92" i="3"/>
  <c r="F92" i="3"/>
  <c r="G92" i="3"/>
  <c r="E93" i="3"/>
  <c r="F93" i="3"/>
  <c r="G93" i="3"/>
  <c r="E94" i="3"/>
  <c r="F94" i="3"/>
  <c r="G94" i="3"/>
  <c r="G81" i="22"/>
  <c r="F81" i="22"/>
  <c r="E81" i="22"/>
  <c r="G80" i="22"/>
  <c r="F80" i="22"/>
  <c r="E80" i="22"/>
  <c r="G79" i="22"/>
  <c r="F79" i="22"/>
  <c r="E79" i="22"/>
  <c r="G78" i="22"/>
  <c r="F78" i="22"/>
  <c r="E78" i="22"/>
  <c r="G77" i="22"/>
  <c r="F77" i="22"/>
  <c r="E77" i="22"/>
  <c r="G76" i="22"/>
  <c r="F76" i="22"/>
  <c r="E76" i="22"/>
  <c r="G75" i="22"/>
  <c r="F75" i="22"/>
  <c r="E75" i="22"/>
  <c r="G74" i="22"/>
  <c r="F74" i="22"/>
  <c r="E74" i="22"/>
  <c r="G73" i="22"/>
  <c r="F73" i="22"/>
  <c r="E73" i="22"/>
  <c r="G72" i="22"/>
  <c r="F72" i="22"/>
  <c r="E72" i="22"/>
  <c r="G71" i="22"/>
  <c r="F71" i="22"/>
  <c r="E71" i="22"/>
  <c r="G70" i="22"/>
  <c r="F70" i="22"/>
  <c r="E70" i="22"/>
  <c r="G69" i="22"/>
  <c r="F69" i="22"/>
  <c r="E69" i="22"/>
  <c r="G68" i="22"/>
  <c r="F68" i="22"/>
  <c r="E68" i="22"/>
  <c r="G67" i="22"/>
  <c r="F67" i="22"/>
  <c r="E67" i="22"/>
  <c r="G66" i="22"/>
  <c r="F66" i="22"/>
  <c r="E66" i="22"/>
  <c r="G65" i="22"/>
  <c r="F65" i="22"/>
  <c r="E65" i="22"/>
  <c r="G64" i="22"/>
  <c r="F64" i="22"/>
  <c r="E64" i="22"/>
  <c r="G63" i="22"/>
  <c r="F63" i="22"/>
  <c r="E63" i="22"/>
  <c r="G62" i="22"/>
  <c r="F62" i="22"/>
  <c r="E62" i="22"/>
  <c r="G61" i="22"/>
  <c r="F61" i="22"/>
  <c r="E61" i="22"/>
  <c r="G60" i="22"/>
  <c r="F60" i="22"/>
  <c r="E60" i="22"/>
  <c r="G59" i="22"/>
  <c r="F59" i="22"/>
  <c r="E59" i="22"/>
  <c r="G58" i="22"/>
  <c r="F58" i="22"/>
  <c r="E58" i="22"/>
  <c r="G57" i="22"/>
  <c r="F57" i="22"/>
  <c r="E57" i="22"/>
  <c r="G56" i="22"/>
  <c r="F56" i="22"/>
  <c r="E56" i="22"/>
  <c r="G55" i="22"/>
  <c r="F55" i="22"/>
  <c r="E55" i="22"/>
  <c r="G54" i="22"/>
  <c r="F54" i="22"/>
  <c r="E54" i="22"/>
  <c r="G53" i="22"/>
  <c r="F53" i="22"/>
  <c r="E53" i="22"/>
  <c r="G52" i="22"/>
  <c r="F52" i="22"/>
  <c r="E52" i="22"/>
  <c r="G51" i="22"/>
  <c r="F51" i="22"/>
  <c r="E51" i="22"/>
  <c r="G50" i="22"/>
  <c r="F50" i="22"/>
  <c r="E50" i="22"/>
  <c r="G49" i="22"/>
  <c r="F49" i="22"/>
  <c r="E49" i="22"/>
  <c r="G48" i="22"/>
  <c r="F48" i="22"/>
  <c r="E48" i="22"/>
  <c r="G47" i="22"/>
  <c r="F47" i="22"/>
  <c r="E47" i="22"/>
  <c r="G46" i="22"/>
  <c r="F46" i="22"/>
  <c r="E46" i="22"/>
  <c r="G45" i="22"/>
  <c r="F45" i="22"/>
  <c r="E45" i="22"/>
  <c r="G44" i="22"/>
  <c r="F44" i="22"/>
  <c r="E44" i="22"/>
  <c r="G43" i="22"/>
  <c r="F43" i="22"/>
  <c r="E43" i="22"/>
  <c r="G42" i="22"/>
  <c r="F42" i="22"/>
  <c r="E42" i="22"/>
  <c r="G41" i="22"/>
  <c r="F41" i="22"/>
  <c r="E41" i="22"/>
  <c r="G40" i="22"/>
  <c r="F40" i="22"/>
  <c r="E40" i="22"/>
  <c r="G39" i="22"/>
  <c r="F39" i="22"/>
  <c r="E39" i="22"/>
  <c r="G38" i="22"/>
  <c r="F38" i="22"/>
  <c r="E38" i="22"/>
  <c r="G37" i="22"/>
  <c r="F37" i="22"/>
  <c r="E37" i="22"/>
  <c r="G36" i="22"/>
  <c r="F36" i="22"/>
  <c r="E36" i="22"/>
  <c r="G35" i="22"/>
  <c r="F35" i="22"/>
  <c r="E35" i="22"/>
  <c r="G34" i="22"/>
  <c r="F34" i="22"/>
  <c r="E34" i="22"/>
  <c r="G33" i="22"/>
  <c r="F33" i="22"/>
  <c r="E33" i="22"/>
  <c r="G32" i="22"/>
  <c r="F32" i="22"/>
  <c r="E32" i="22"/>
  <c r="G31" i="22"/>
  <c r="F31" i="22"/>
  <c r="E31" i="22"/>
  <c r="G30" i="22"/>
  <c r="F30" i="22"/>
  <c r="E30" i="22"/>
  <c r="G29" i="22"/>
  <c r="F29" i="22"/>
  <c r="E29" i="22"/>
  <c r="G28" i="22"/>
  <c r="F28" i="22"/>
  <c r="E28" i="22"/>
  <c r="G27" i="22"/>
  <c r="F27" i="22"/>
  <c r="E27" i="22"/>
  <c r="G26" i="22"/>
  <c r="F26" i="22"/>
  <c r="E26" i="22"/>
  <c r="G25" i="22"/>
  <c r="F25" i="22"/>
  <c r="E25" i="22"/>
  <c r="G24" i="22"/>
  <c r="F24" i="22"/>
  <c r="E24" i="22"/>
  <c r="F23" i="22"/>
  <c r="F22" i="22"/>
  <c r="E22" i="22"/>
  <c r="F21" i="22"/>
  <c r="E21" i="22"/>
  <c r="C20" i="22"/>
  <c r="E19" i="22"/>
  <c r="F19" i="22" s="1"/>
  <c r="C19" i="22"/>
  <c r="C18" i="22"/>
  <c r="C17" i="22"/>
  <c r="C16" i="22"/>
  <c r="C15" i="22"/>
  <c r="C14" i="22"/>
  <c r="E13" i="22"/>
  <c r="F13" i="22" s="1"/>
  <c r="C13" i="22"/>
  <c r="G12" i="22"/>
  <c r="E12" i="22"/>
  <c r="C12" i="22"/>
  <c r="F12" i="22" s="1"/>
  <c r="G11" i="22"/>
  <c r="F11" i="22"/>
  <c r="E11" i="22"/>
  <c r="C11" i="22"/>
  <c r="G10" i="22"/>
  <c r="E10" i="22"/>
  <c r="C10" i="22"/>
  <c r="F10" i="22" s="1"/>
  <c r="G9" i="22"/>
  <c r="F9" i="22"/>
  <c r="E9" i="22"/>
  <c r="C9" i="22"/>
  <c r="G8" i="22"/>
  <c r="F8" i="22"/>
  <c r="E8" i="22"/>
  <c r="G7" i="22"/>
  <c r="F7" i="22"/>
  <c r="E7" i="22"/>
  <c r="G6" i="22"/>
  <c r="F6" i="22"/>
  <c r="E6" i="22"/>
  <c r="G5" i="22"/>
  <c r="F5" i="22"/>
  <c r="E5" i="22"/>
  <c r="G4" i="22"/>
  <c r="F4" i="22"/>
  <c r="E4" i="22"/>
  <c r="G3" i="22"/>
  <c r="F3" i="22"/>
  <c r="E3" i="22"/>
  <c r="G2" i="22"/>
  <c r="F2" i="22"/>
  <c r="E2" i="22"/>
  <c r="G1" i="22" l="1"/>
  <c r="E1" i="22"/>
  <c r="F1" i="22"/>
  <c r="F1" i="20"/>
  <c r="G1" i="20"/>
  <c r="E1" i="20"/>
  <c r="F22" i="20"/>
  <c r="E22" i="20"/>
  <c r="E21" i="20"/>
  <c r="F21" i="20" s="1"/>
  <c r="F23" i="20"/>
  <c r="E25" i="3"/>
  <c r="F25" i="3"/>
  <c r="G81" i="20"/>
  <c r="F81" i="20"/>
  <c r="E81" i="20"/>
  <c r="G80" i="20"/>
  <c r="F80" i="20"/>
  <c r="E80" i="20"/>
  <c r="G79" i="20"/>
  <c r="F79" i="20"/>
  <c r="E79" i="20"/>
  <c r="G78" i="20"/>
  <c r="F78" i="20"/>
  <c r="E78" i="20"/>
  <c r="G77" i="20"/>
  <c r="F77" i="20"/>
  <c r="E77" i="20"/>
  <c r="G76" i="20"/>
  <c r="F76" i="20"/>
  <c r="E76" i="20"/>
  <c r="G75" i="20"/>
  <c r="F75" i="20"/>
  <c r="E75" i="20"/>
  <c r="G74" i="20"/>
  <c r="F74" i="20"/>
  <c r="E74" i="20"/>
  <c r="G73" i="20"/>
  <c r="F73" i="20"/>
  <c r="E73" i="20"/>
  <c r="G72" i="20"/>
  <c r="F72" i="20"/>
  <c r="E72" i="20"/>
  <c r="G71" i="20"/>
  <c r="F71" i="20"/>
  <c r="E71" i="20"/>
  <c r="G70" i="20"/>
  <c r="F70" i="20"/>
  <c r="E70" i="20"/>
  <c r="G69" i="20"/>
  <c r="F69" i="20"/>
  <c r="E69" i="20"/>
  <c r="G68" i="20"/>
  <c r="F68" i="20"/>
  <c r="E68" i="20"/>
  <c r="G67" i="20"/>
  <c r="F67" i="20"/>
  <c r="E67" i="20"/>
  <c r="G66" i="20"/>
  <c r="F66" i="20"/>
  <c r="E66" i="20"/>
  <c r="G65" i="20"/>
  <c r="F65" i="20"/>
  <c r="E65" i="20"/>
  <c r="G64" i="20"/>
  <c r="F64" i="20"/>
  <c r="E64" i="20"/>
  <c r="G63" i="20"/>
  <c r="F63" i="20"/>
  <c r="E63" i="20"/>
  <c r="G62" i="20"/>
  <c r="F62" i="20"/>
  <c r="E62" i="20"/>
  <c r="G61" i="20"/>
  <c r="F61" i="20"/>
  <c r="E61" i="20"/>
  <c r="G60" i="20"/>
  <c r="F60" i="20"/>
  <c r="E60" i="20"/>
  <c r="G59" i="20"/>
  <c r="F59" i="20"/>
  <c r="E59" i="20"/>
  <c r="G58" i="20"/>
  <c r="F58" i="20"/>
  <c r="E58" i="20"/>
  <c r="G57" i="20"/>
  <c r="F57" i="20"/>
  <c r="E57" i="20"/>
  <c r="G56" i="20"/>
  <c r="F56" i="20"/>
  <c r="E56" i="20"/>
  <c r="G55" i="20"/>
  <c r="F55" i="20"/>
  <c r="E55" i="20"/>
  <c r="G54" i="20"/>
  <c r="F54" i="20"/>
  <c r="E54" i="20"/>
  <c r="G53" i="20"/>
  <c r="F53" i="20"/>
  <c r="E53" i="20"/>
  <c r="G52" i="20"/>
  <c r="F52" i="20"/>
  <c r="E52" i="20"/>
  <c r="G51" i="20"/>
  <c r="F51" i="20"/>
  <c r="E51" i="20"/>
  <c r="G50" i="20"/>
  <c r="F50" i="20"/>
  <c r="E50" i="20"/>
  <c r="G49" i="20"/>
  <c r="F49" i="20"/>
  <c r="E49" i="20"/>
  <c r="G48" i="20"/>
  <c r="F48" i="20"/>
  <c r="E48" i="20"/>
  <c r="G47" i="20"/>
  <c r="F47" i="20"/>
  <c r="E47" i="20"/>
  <c r="G46" i="20"/>
  <c r="F46" i="20"/>
  <c r="E46" i="20"/>
  <c r="G45" i="20"/>
  <c r="F45" i="20"/>
  <c r="E45" i="20"/>
  <c r="G44" i="20"/>
  <c r="F44" i="20"/>
  <c r="E44" i="20"/>
  <c r="G43" i="20"/>
  <c r="F43" i="20"/>
  <c r="E43" i="20"/>
  <c r="G42" i="20"/>
  <c r="F42" i="20"/>
  <c r="E42" i="20"/>
  <c r="G41" i="20"/>
  <c r="F41" i="20"/>
  <c r="E41" i="20"/>
  <c r="G40" i="20"/>
  <c r="F40" i="20"/>
  <c r="E40" i="20"/>
  <c r="G39" i="20"/>
  <c r="F39" i="20"/>
  <c r="E39" i="20"/>
  <c r="G38" i="20"/>
  <c r="F38" i="20"/>
  <c r="E38" i="20"/>
  <c r="G37" i="20"/>
  <c r="F37" i="20"/>
  <c r="E37" i="20"/>
  <c r="G36" i="20"/>
  <c r="F36" i="20"/>
  <c r="E36" i="20"/>
  <c r="G35" i="20"/>
  <c r="F35" i="20"/>
  <c r="E35" i="20"/>
  <c r="G34" i="20"/>
  <c r="F34" i="20"/>
  <c r="E34" i="20"/>
  <c r="G33" i="20"/>
  <c r="F33" i="20"/>
  <c r="E33" i="20"/>
  <c r="G32" i="20"/>
  <c r="F32" i="20"/>
  <c r="E32" i="20"/>
  <c r="G31" i="20"/>
  <c r="F31" i="20"/>
  <c r="E31" i="20"/>
  <c r="G30" i="20"/>
  <c r="F30" i="20"/>
  <c r="E30" i="20"/>
  <c r="G29" i="20"/>
  <c r="F29" i="20"/>
  <c r="E29" i="20"/>
  <c r="G28" i="20"/>
  <c r="F28" i="20"/>
  <c r="E28" i="20"/>
  <c r="G27" i="20"/>
  <c r="F27" i="20"/>
  <c r="E27" i="20"/>
  <c r="G26" i="20"/>
  <c r="F26" i="20"/>
  <c r="E26" i="20"/>
  <c r="G25" i="20"/>
  <c r="F25" i="20"/>
  <c r="E25" i="20"/>
  <c r="G24" i="20"/>
  <c r="F24" i="20"/>
  <c r="E24" i="20"/>
  <c r="C20" i="20"/>
  <c r="E19" i="20"/>
  <c r="F19" i="20" s="1"/>
  <c r="C19" i="20"/>
  <c r="C18" i="20"/>
  <c r="C17" i="20"/>
  <c r="C16" i="20"/>
  <c r="C15" i="20"/>
  <c r="C14" i="20"/>
  <c r="E13" i="20"/>
  <c r="F13" i="20" s="1"/>
  <c r="C13" i="20"/>
  <c r="G12" i="20"/>
  <c r="E12" i="20"/>
  <c r="C12" i="20"/>
  <c r="F12" i="20" s="1"/>
  <c r="G11" i="20"/>
  <c r="E11" i="20"/>
  <c r="C11" i="20"/>
  <c r="F11" i="20" s="1"/>
  <c r="G10" i="20"/>
  <c r="E10" i="20"/>
  <c r="C10" i="20"/>
  <c r="F10" i="20" s="1"/>
  <c r="G9" i="20"/>
  <c r="E9" i="20"/>
  <c r="C9" i="20"/>
  <c r="F9" i="20" s="1"/>
  <c r="G8" i="20"/>
  <c r="F8" i="20"/>
  <c r="E8" i="20"/>
  <c r="G7" i="20"/>
  <c r="F7" i="20"/>
  <c r="E7" i="20"/>
  <c r="G6" i="20"/>
  <c r="F6" i="20"/>
  <c r="E6" i="20"/>
  <c r="G5" i="20"/>
  <c r="F5" i="20"/>
  <c r="E5" i="20"/>
  <c r="G4" i="20"/>
  <c r="F4" i="20"/>
  <c r="E4" i="20"/>
  <c r="G3" i="20"/>
  <c r="F3" i="20"/>
  <c r="E3" i="20"/>
  <c r="G2" i="20"/>
  <c r="F2" i="20"/>
  <c r="E2" i="20"/>
  <c r="E54" i="3"/>
  <c r="F54" i="3"/>
  <c r="G54" i="3"/>
  <c r="E55" i="3"/>
  <c r="F55" i="3"/>
  <c r="G55" i="3"/>
  <c r="E56" i="3"/>
  <c r="F56" i="3"/>
  <c r="G56" i="3"/>
  <c r="E57" i="3"/>
  <c r="F57" i="3"/>
  <c r="G57" i="3"/>
  <c r="E58" i="3"/>
  <c r="F58" i="3"/>
  <c r="G58" i="3"/>
  <c r="E59" i="3"/>
  <c r="F59" i="3"/>
  <c r="G59" i="3"/>
  <c r="E60" i="3"/>
  <c r="F60" i="3"/>
  <c r="G60" i="3"/>
  <c r="E61" i="3"/>
  <c r="F61" i="3"/>
  <c r="G61" i="3"/>
  <c r="E62" i="3"/>
  <c r="F62" i="3"/>
  <c r="G62" i="3"/>
  <c r="E63" i="3"/>
  <c r="F63" i="3"/>
  <c r="G63" i="3"/>
  <c r="E64" i="3"/>
  <c r="F64" i="3"/>
  <c r="G64" i="3"/>
  <c r="E65" i="3"/>
  <c r="F65" i="3"/>
  <c r="G65" i="3"/>
  <c r="E66" i="3"/>
  <c r="F66" i="3"/>
  <c r="G66" i="3"/>
  <c r="E67" i="3"/>
  <c r="F67" i="3"/>
  <c r="G67" i="3"/>
  <c r="E68" i="3"/>
  <c r="F68" i="3"/>
  <c r="G68" i="3"/>
  <c r="E69" i="3"/>
  <c r="F69" i="3"/>
  <c r="G69" i="3"/>
  <c r="E70" i="3"/>
  <c r="F70" i="3"/>
  <c r="G70" i="3"/>
  <c r="E71" i="3"/>
  <c r="F71" i="3"/>
  <c r="G71" i="3"/>
  <c r="E72" i="3"/>
  <c r="F72" i="3"/>
  <c r="G72" i="3"/>
  <c r="E73" i="3"/>
  <c r="F73" i="3"/>
  <c r="G73" i="3"/>
  <c r="E74" i="3"/>
  <c r="F74" i="3"/>
  <c r="G74" i="3"/>
  <c r="E75" i="3"/>
  <c r="F75" i="3"/>
  <c r="G75" i="3"/>
  <c r="E76" i="3"/>
  <c r="F76" i="3"/>
  <c r="G76" i="3"/>
  <c r="E77" i="3"/>
  <c r="F77" i="3"/>
  <c r="G77" i="3"/>
  <c r="E78" i="3"/>
  <c r="F78" i="3"/>
  <c r="G78" i="3"/>
  <c r="E79" i="3"/>
  <c r="F79" i="3"/>
  <c r="G79" i="3"/>
  <c r="E80" i="3"/>
  <c r="F80" i="3"/>
  <c r="G80" i="3"/>
  <c r="E81" i="3"/>
  <c r="F81" i="3"/>
  <c r="G81" i="3"/>
  <c r="E82" i="3"/>
  <c r="F82" i="3"/>
  <c r="G82" i="3"/>
  <c r="E83" i="3"/>
  <c r="F83" i="3"/>
  <c r="G83" i="3"/>
  <c r="E84" i="3"/>
  <c r="F84" i="3"/>
  <c r="G84" i="3"/>
  <c r="G1" i="3" s="1"/>
  <c r="E85" i="3"/>
  <c r="F85" i="3"/>
  <c r="G85" i="3"/>
  <c r="C20" i="3"/>
  <c r="C19" i="3"/>
  <c r="C18" i="3"/>
  <c r="C17" i="3"/>
  <c r="C16" i="3"/>
  <c r="C15" i="3"/>
  <c r="C14" i="3"/>
  <c r="C13" i="3"/>
  <c r="C12" i="3"/>
  <c r="C11" i="3"/>
  <c r="C10" i="3"/>
  <c r="C9" i="3"/>
  <c r="E21" i="3" l="1"/>
  <c r="F21" i="3"/>
  <c r="E22" i="3"/>
  <c r="F22" i="3"/>
  <c r="E23" i="3"/>
  <c r="F23" i="3"/>
  <c r="E24" i="3"/>
  <c r="F24" i="3"/>
  <c r="E26" i="3"/>
  <c r="F26" i="3"/>
  <c r="F27" i="3"/>
  <c r="E28" i="3"/>
  <c r="F28" i="3"/>
  <c r="E29" i="3"/>
  <c r="F29" i="3"/>
  <c r="E30" i="3"/>
  <c r="E1" i="3" s="1"/>
  <c r="F30" i="3"/>
  <c r="F1" i="3" s="1"/>
  <c r="E31" i="3"/>
  <c r="F31" i="3"/>
  <c r="E19" i="3" l="1"/>
  <c r="F19" i="3" s="1"/>
  <c r="E13" i="3"/>
  <c r="F13" i="3" s="1"/>
  <c r="E32" i="3"/>
  <c r="F32" i="3"/>
  <c r="E33" i="3"/>
  <c r="F33" i="3"/>
  <c r="E34" i="3"/>
  <c r="F34" i="3"/>
  <c r="E35" i="3"/>
  <c r="F35" i="3"/>
  <c r="E36" i="3"/>
  <c r="F36" i="3"/>
  <c r="E37" i="3"/>
  <c r="F37" i="3"/>
  <c r="E38" i="3"/>
  <c r="F38" i="3"/>
  <c r="E39" i="3"/>
  <c r="F39" i="3"/>
  <c r="E40" i="3"/>
  <c r="F40" i="3"/>
  <c r="E41" i="3"/>
  <c r="F41" i="3"/>
  <c r="E42" i="3"/>
  <c r="F42" i="3"/>
  <c r="E43" i="3"/>
  <c r="F43" i="3"/>
  <c r="E44" i="3"/>
  <c r="F44" i="3"/>
  <c r="E45" i="3"/>
  <c r="F45" i="3"/>
  <c r="E46" i="3"/>
  <c r="F46" i="3"/>
  <c r="E47" i="3"/>
  <c r="F47" i="3"/>
  <c r="E48" i="3"/>
  <c r="F48" i="3"/>
  <c r="E49" i="3"/>
  <c r="F49" i="3"/>
  <c r="E50" i="3"/>
  <c r="F50" i="3"/>
  <c r="E51" i="3"/>
  <c r="F51" i="3"/>
  <c r="E52" i="3"/>
  <c r="F52" i="3"/>
  <c r="E53" i="3"/>
  <c r="F53" i="3"/>
  <c r="E16" i="18" l="1"/>
  <c r="F16" i="18"/>
  <c r="G16" i="18"/>
  <c r="E17" i="18"/>
  <c r="F17" i="18"/>
  <c r="G17" i="18"/>
  <c r="E16" i="19"/>
  <c r="F16" i="19"/>
  <c r="G16" i="19"/>
  <c r="E17" i="19"/>
  <c r="F17" i="19"/>
  <c r="G17" i="19"/>
  <c r="E18" i="19"/>
  <c r="F18" i="19"/>
  <c r="G18" i="19"/>
  <c r="E19" i="19"/>
  <c r="F19" i="19"/>
  <c r="G19" i="19"/>
  <c r="E3" i="19"/>
  <c r="G52" i="19"/>
  <c r="F52" i="19"/>
  <c r="E52" i="19"/>
  <c r="G51" i="19"/>
  <c r="F51" i="19"/>
  <c r="E51" i="19"/>
  <c r="G50" i="19"/>
  <c r="F50" i="19"/>
  <c r="E50" i="19"/>
  <c r="G49" i="19"/>
  <c r="F49" i="19"/>
  <c r="E49" i="19"/>
  <c r="G48" i="19"/>
  <c r="F48" i="19"/>
  <c r="E48" i="19"/>
  <c r="G47" i="19"/>
  <c r="F47" i="19"/>
  <c r="E47" i="19"/>
  <c r="G46" i="19"/>
  <c r="F46" i="19"/>
  <c r="E46" i="19"/>
  <c r="G45" i="19"/>
  <c r="F45" i="19"/>
  <c r="E45" i="19"/>
  <c r="G44" i="19"/>
  <c r="F44" i="19"/>
  <c r="E44" i="19"/>
  <c r="G43" i="19"/>
  <c r="F43" i="19"/>
  <c r="E43" i="19"/>
  <c r="G42" i="19"/>
  <c r="F42" i="19"/>
  <c r="E42" i="19"/>
  <c r="G41" i="19"/>
  <c r="F41" i="19"/>
  <c r="E41" i="19"/>
  <c r="G40" i="19"/>
  <c r="F40" i="19"/>
  <c r="E40" i="19"/>
  <c r="G39" i="19"/>
  <c r="F39" i="19"/>
  <c r="E39" i="19"/>
  <c r="G38" i="19"/>
  <c r="F38" i="19"/>
  <c r="E38" i="19"/>
  <c r="G37" i="19"/>
  <c r="F37" i="19"/>
  <c r="E37" i="19"/>
  <c r="G36" i="19"/>
  <c r="F36" i="19"/>
  <c r="E36" i="19"/>
  <c r="G35" i="19"/>
  <c r="F35" i="19"/>
  <c r="E35" i="19"/>
  <c r="G34" i="19"/>
  <c r="F34" i="19"/>
  <c r="E34" i="19"/>
  <c r="G33" i="19"/>
  <c r="F33" i="19"/>
  <c r="E33" i="19"/>
  <c r="G32" i="19"/>
  <c r="F32" i="19"/>
  <c r="E32" i="19"/>
  <c r="G31" i="19"/>
  <c r="F31" i="19"/>
  <c r="E31" i="19"/>
  <c r="G30" i="19"/>
  <c r="F30" i="19"/>
  <c r="E30" i="19"/>
  <c r="G29" i="19"/>
  <c r="F29" i="19"/>
  <c r="E29" i="19"/>
  <c r="G28" i="19"/>
  <c r="F28" i="19"/>
  <c r="E28" i="19"/>
  <c r="G27" i="19"/>
  <c r="F27" i="19"/>
  <c r="E27" i="19"/>
  <c r="G26" i="19"/>
  <c r="F26" i="19"/>
  <c r="E26" i="19"/>
  <c r="G15" i="19"/>
  <c r="F15" i="19"/>
  <c r="E15" i="19"/>
  <c r="E14" i="19"/>
  <c r="C14" i="19"/>
  <c r="F14" i="19" s="1"/>
  <c r="E13" i="19"/>
  <c r="C13" i="19"/>
  <c r="D13" i="19" s="1"/>
  <c r="G13" i="19" s="1"/>
  <c r="E12" i="19"/>
  <c r="C12" i="19"/>
  <c r="D12" i="19" s="1"/>
  <c r="G12" i="19" s="1"/>
  <c r="E11" i="19"/>
  <c r="C11" i="19"/>
  <c r="F11" i="19" s="1"/>
  <c r="E10" i="19"/>
  <c r="C10" i="19"/>
  <c r="F10" i="19" s="1"/>
  <c r="F9" i="19"/>
  <c r="E9" i="19"/>
  <c r="C9" i="19"/>
  <c r="D9" i="19" s="1"/>
  <c r="G9" i="19" s="1"/>
  <c r="D8" i="19"/>
  <c r="G8" i="19" s="1"/>
  <c r="C8" i="19"/>
  <c r="F8" i="19" s="1"/>
  <c r="B8" i="19"/>
  <c r="E8" i="19" s="1"/>
  <c r="G7" i="19"/>
  <c r="F7" i="19"/>
  <c r="E7" i="19"/>
  <c r="G6" i="19"/>
  <c r="F6" i="19"/>
  <c r="E6" i="19"/>
  <c r="G5" i="19"/>
  <c r="F5" i="19"/>
  <c r="E5" i="19"/>
  <c r="G4" i="19"/>
  <c r="F4" i="19"/>
  <c r="E4" i="19"/>
  <c r="G3" i="19"/>
  <c r="F3" i="19"/>
  <c r="G2" i="19"/>
  <c r="F2" i="19"/>
  <c r="E2" i="19"/>
  <c r="E15" i="18"/>
  <c r="F15" i="18"/>
  <c r="G15" i="18"/>
  <c r="E1" i="18"/>
  <c r="G51" i="18"/>
  <c r="F51" i="18"/>
  <c r="E51" i="18"/>
  <c r="G50" i="18"/>
  <c r="F50" i="18"/>
  <c r="E50" i="18"/>
  <c r="G49" i="18"/>
  <c r="F49" i="18"/>
  <c r="E49" i="18"/>
  <c r="G48" i="18"/>
  <c r="F48" i="18"/>
  <c r="E48" i="18"/>
  <c r="G47" i="18"/>
  <c r="F47" i="18"/>
  <c r="E47" i="18"/>
  <c r="G46" i="18"/>
  <c r="F46" i="18"/>
  <c r="E46" i="18"/>
  <c r="G45" i="18"/>
  <c r="F45" i="18"/>
  <c r="E45" i="18"/>
  <c r="G44" i="18"/>
  <c r="F44" i="18"/>
  <c r="E44" i="18"/>
  <c r="G43" i="18"/>
  <c r="F43" i="18"/>
  <c r="E43" i="18"/>
  <c r="G42" i="18"/>
  <c r="F42" i="18"/>
  <c r="E42" i="18"/>
  <c r="G41" i="18"/>
  <c r="F41" i="18"/>
  <c r="E41" i="18"/>
  <c r="G40" i="18"/>
  <c r="F40" i="18"/>
  <c r="E40" i="18"/>
  <c r="G39" i="18"/>
  <c r="F39" i="18"/>
  <c r="E39" i="18"/>
  <c r="G38" i="18"/>
  <c r="F38" i="18"/>
  <c r="E38" i="18"/>
  <c r="G37" i="18"/>
  <c r="F37" i="18"/>
  <c r="E37" i="18"/>
  <c r="G36" i="18"/>
  <c r="F36" i="18"/>
  <c r="E36" i="18"/>
  <c r="G35" i="18"/>
  <c r="F35" i="18"/>
  <c r="E35" i="18"/>
  <c r="G34" i="18"/>
  <c r="F34" i="18"/>
  <c r="E34" i="18"/>
  <c r="G33" i="18"/>
  <c r="F33" i="18"/>
  <c r="E33" i="18"/>
  <c r="G32" i="18"/>
  <c r="F32" i="18"/>
  <c r="E32" i="18"/>
  <c r="G31" i="18"/>
  <c r="F31" i="18"/>
  <c r="E31" i="18"/>
  <c r="G30" i="18"/>
  <c r="F30" i="18"/>
  <c r="E30" i="18"/>
  <c r="G29" i="18"/>
  <c r="F29" i="18"/>
  <c r="E29" i="18"/>
  <c r="G28" i="18"/>
  <c r="F28" i="18"/>
  <c r="E28" i="18"/>
  <c r="G27" i="18"/>
  <c r="F27" i="18"/>
  <c r="E27" i="18"/>
  <c r="G26" i="18"/>
  <c r="F26" i="18"/>
  <c r="E26" i="18"/>
  <c r="G25" i="18"/>
  <c r="F25" i="18"/>
  <c r="E25" i="18"/>
  <c r="E14" i="18"/>
  <c r="C14" i="18"/>
  <c r="F14" i="18" s="1"/>
  <c r="E13" i="18"/>
  <c r="C13" i="18"/>
  <c r="F13" i="18" s="1"/>
  <c r="E12" i="18"/>
  <c r="C12" i="18"/>
  <c r="F12" i="18" s="1"/>
  <c r="E11" i="18"/>
  <c r="C11" i="18"/>
  <c r="D11" i="18" s="1"/>
  <c r="G11" i="18" s="1"/>
  <c r="E10" i="18"/>
  <c r="C10" i="18"/>
  <c r="F10" i="18" s="1"/>
  <c r="E9" i="18"/>
  <c r="C9" i="18"/>
  <c r="F9" i="18" s="1"/>
  <c r="D8" i="18"/>
  <c r="G8" i="18" s="1"/>
  <c r="C8" i="18"/>
  <c r="F8" i="18" s="1"/>
  <c r="B8" i="18"/>
  <c r="E8" i="18" s="1"/>
  <c r="G7" i="18"/>
  <c r="F7" i="18"/>
  <c r="E7" i="18"/>
  <c r="G6" i="18"/>
  <c r="F6" i="18"/>
  <c r="E6" i="18"/>
  <c r="G5" i="18"/>
  <c r="F5" i="18"/>
  <c r="E5" i="18"/>
  <c r="G4" i="18"/>
  <c r="F4" i="18"/>
  <c r="E4" i="18"/>
  <c r="G3" i="18"/>
  <c r="F3" i="18"/>
  <c r="E3" i="18"/>
  <c r="G2" i="18"/>
  <c r="F2" i="18"/>
  <c r="E2" i="18"/>
  <c r="F11" i="18" l="1"/>
  <c r="F1" i="18" s="1"/>
  <c r="G1" i="18"/>
  <c r="F12" i="19"/>
  <c r="D9" i="18"/>
  <c r="G9" i="18" s="1"/>
  <c r="D12" i="18"/>
  <c r="G12" i="18" s="1"/>
  <c r="D14" i="19"/>
  <c r="G14" i="19" s="1"/>
  <c r="D10" i="19"/>
  <c r="G10" i="19" s="1"/>
  <c r="F13" i="19"/>
  <c r="F1" i="19" s="1"/>
  <c r="E1" i="19"/>
  <c r="D11" i="19"/>
  <c r="G11" i="19" s="1"/>
  <c r="G1" i="19" s="1"/>
  <c r="D13" i="18"/>
  <c r="G13" i="18" s="1"/>
  <c r="D10" i="18"/>
  <c r="G10" i="18" s="1"/>
  <c r="D14" i="18"/>
  <c r="G14" i="18" s="1"/>
  <c r="O53" i="17"/>
  <c r="N53" i="17"/>
  <c r="M53" i="17"/>
  <c r="A53" i="17"/>
  <c r="O52" i="17"/>
  <c r="N52" i="17"/>
  <c r="M52" i="17"/>
  <c r="A52" i="17"/>
  <c r="O51" i="17"/>
  <c r="N51" i="17"/>
  <c r="M51" i="17"/>
  <c r="A51" i="17"/>
  <c r="O50" i="17"/>
  <c r="N50" i="17"/>
  <c r="M50" i="17"/>
  <c r="A50" i="17"/>
  <c r="O49" i="17"/>
  <c r="N49" i="17"/>
  <c r="M49" i="17"/>
  <c r="A49" i="17"/>
  <c r="O48" i="17"/>
  <c r="N48" i="17"/>
  <c r="M48" i="17"/>
  <c r="A48" i="17"/>
  <c r="O47" i="17"/>
  <c r="N47" i="17"/>
  <c r="M47" i="17"/>
  <c r="A47" i="17"/>
  <c r="O46" i="17"/>
  <c r="N46" i="17"/>
  <c r="M46" i="17"/>
  <c r="A46" i="17"/>
  <c r="O45" i="17"/>
  <c r="N45" i="17"/>
  <c r="M45" i="17"/>
  <c r="A45" i="17"/>
  <c r="O44" i="17"/>
  <c r="N44" i="17"/>
  <c r="M44" i="17"/>
  <c r="A44" i="17"/>
  <c r="O43" i="17"/>
  <c r="N43" i="17"/>
  <c r="M43" i="17"/>
  <c r="A43" i="17"/>
  <c r="O42" i="17"/>
  <c r="N42" i="17"/>
  <c r="M42" i="17"/>
  <c r="A42" i="17"/>
  <c r="O41" i="17"/>
  <c r="N41" i="17"/>
  <c r="M41" i="17"/>
  <c r="A41" i="17"/>
  <c r="O40" i="17"/>
  <c r="N40" i="17"/>
  <c r="M40" i="17"/>
  <c r="A40" i="17"/>
  <c r="O39" i="17"/>
  <c r="N39" i="17"/>
  <c r="M39" i="17"/>
  <c r="A39" i="17"/>
  <c r="O38" i="17"/>
  <c r="N38" i="17"/>
  <c r="M38" i="17"/>
  <c r="A38" i="17"/>
  <c r="O37" i="17"/>
  <c r="N37" i="17"/>
  <c r="M37" i="17"/>
  <c r="A37" i="17"/>
  <c r="O36" i="17"/>
  <c r="N36" i="17"/>
  <c r="M36" i="17"/>
  <c r="A36" i="17"/>
  <c r="O35" i="17"/>
  <c r="N35" i="17"/>
  <c r="M35" i="17"/>
  <c r="A35" i="17"/>
  <c r="O34" i="17"/>
  <c r="N34" i="17"/>
  <c r="M34" i="17"/>
  <c r="A34" i="17"/>
  <c r="O33" i="17"/>
  <c r="N33" i="17"/>
  <c r="M33" i="17"/>
  <c r="A33" i="17"/>
  <c r="O32" i="17"/>
  <c r="N32" i="17"/>
  <c r="M32" i="17"/>
  <c r="A32" i="17"/>
  <c r="O31" i="17"/>
  <c r="N31" i="17"/>
  <c r="M31" i="17"/>
  <c r="A31" i="17"/>
  <c r="O30" i="17"/>
  <c r="N30" i="17"/>
  <c r="M30" i="17"/>
  <c r="A30" i="17"/>
  <c r="O29" i="17"/>
  <c r="N29" i="17"/>
  <c r="M29" i="17"/>
  <c r="A29" i="17"/>
  <c r="O28" i="17"/>
  <c r="N28" i="17"/>
  <c r="M28" i="17"/>
  <c r="A28" i="17"/>
  <c r="O27" i="17"/>
  <c r="N27" i="17"/>
  <c r="M27" i="17"/>
  <c r="A27" i="17"/>
  <c r="O26" i="17"/>
  <c r="N26" i="17"/>
  <c r="M26" i="17"/>
  <c r="A26" i="17"/>
  <c r="O25" i="17"/>
  <c r="N25" i="17"/>
  <c r="M25" i="17"/>
  <c r="A25" i="17"/>
  <c r="O24" i="17"/>
  <c r="N24" i="17"/>
  <c r="M24" i="17"/>
  <c r="A24" i="17"/>
  <c r="O23" i="17"/>
  <c r="N23" i="17"/>
  <c r="M23" i="17"/>
  <c r="A23" i="17"/>
  <c r="O22" i="17"/>
  <c r="N22" i="17"/>
  <c r="M22" i="17"/>
  <c r="A22" i="17"/>
  <c r="O21" i="17"/>
  <c r="N21" i="17"/>
  <c r="M21" i="17"/>
  <c r="A21" i="17"/>
  <c r="O20" i="17"/>
  <c r="N20" i="17"/>
  <c r="M20" i="17"/>
  <c r="A20" i="17"/>
  <c r="O19" i="17"/>
  <c r="N19" i="17"/>
  <c r="M19" i="17"/>
  <c r="A19" i="17"/>
  <c r="O18" i="17"/>
  <c r="N18" i="17"/>
  <c r="M18" i="17"/>
  <c r="A18" i="17"/>
  <c r="O17" i="17"/>
  <c r="N17" i="17"/>
  <c r="M17" i="17"/>
  <c r="A17" i="17"/>
  <c r="O16" i="17"/>
  <c r="N16" i="17"/>
  <c r="M16" i="17"/>
  <c r="A16" i="17"/>
  <c r="O15" i="17"/>
  <c r="N15" i="17"/>
  <c r="M15" i="17"/>
  <c r="A15" i="17"/>
  <c r="O14" i="17"/>
  <c r="N14" i="17"/>
  <c r="M14" i="17"/>
  <c r="A14" i="17"/>
  <c r="O13" i="17"/>
  <c r="N13" i="17"/>
  <c r="M13" i="17"/>
  <c r="A13" i="17"/>
  <c r="O12" i="17"/>
  <c r="N12" i="17"/>
  <c r="M12" i="17"/>
  <c r="A12" i="17"/>
  <c r="J11" i="17"/>
  <c r="G11" i="17"/>
  <c r="A11" i="17"/>
  <c r="O11" i="17" s="1"/>
  <c r="J10" i="17"/>
  <c r="G10" i="17"/>
  <c r="A10" i="17"/>
  <c r="M10" i="17" s="1"/>
  <c r="M9" i="17"/>
  <c r="J9" i="17"/>
  <c r="G9" i="17"/>
  <c r="A9" i="17"/>
  <c r="O9" i="17" s="1"/>
  <c r="J8" i="17"/>
  <c r="G8" i="17"/>
  <c r="A8" i="17"/>
  <c r="M8" i="17" s="1"/>
  <c r="J7" i="17"/>
  <c r="G7" i="17"/>
  <c r="A7" i="17"/>
  <c r="O7" i="17" s="1"/>
  <c r="J6" i="17"/>
  <c r="G6" i="17"/>
  <c r="A6" i="17"/>
  <c r="M6" i="17" s="1"/>
  <c r="M5" i="17"/>
  <c r="J5" i="17"/>
  <c r="G5" i="17"/>
  <c r="A5" i="17"/>
  <c r="J4" i="17"/>
  <c r="G4" i="17"/>
  <c r="A4" i="17"/>
  <c r="M4" i="17" s="1"/>
  <c r="J3" i="17"/>
  <c r="G3" i="17"/>
  <c r="A3" i="17"/>
  <c r="O3" i="17" s="1"/>
  <c r="C18" i="15"/>
  <c r="C16" i="15"/>
  <c r="D16" i="15" s="1"/>
  <c r="G16" i="15" s="1"/>
  <c r="G51" i="15"/>
  <c r="F51" i="15"/>
  <c r="E51" i="15"/>
  <c r="G50" i="15"/>
  <c r="F50" i="15"/>
  <c r="E50" i="15"/>
  <c r="G49" i="15"/>
  <c r="F49" i="15"/>
  <c r="E49" i="15"/>
  <c r="G48" i="15"/>
  <c r="F48" i="15"/>
  <c r="E48" i="15"/>
  <c r="G47" i="15"/>
  <c r="F47" i="15"/>
  <c r="E47" i="15"/>
  <c r="G46" i="15"/>
  <c r="F46" i="15"/>
  <c r="E46" i="15"/>
  <c r="G45" i="15"/>
  <c r="F45" i="15"/>
  <c r="E45" i="15"/>
  <c r="G44" i="15"/>
  <c r="F44" i="15"/>
  <c r="E44" i="15"/>
  <c r="G43" i="15"/>
  <c r="F43" i="15"/>
  <c r="E43" i="15"/>
  <c r="G42" i="15"/>
  <c r="F42" i="15"/>
  <c r="E42" i="15"/>
  <c r="G41" i="15"/>
  <c r="F41" i="15"/>
  <c r="E41" i="15"/>
  <c r="G40" i="15"/>
  <c r="F40" i="15"/>
  <c r="E40" i="15"/>
  <c r="G39" i="15"/>
  <c r="F39" i="15"/>
  <c r="E39" i="15"/>
  <c r="G38" i="15"/>
  <c r="F38" i="15"/>
  <c r="E38" i="15"/>
  <c r="G37" i="15"/>
  <c r="F37" i="15"/>
  <c r="E37" i="15"/>
  <c r="G36" i="15"/>
  <c r="F36" i="15"/>
  <c r="E36" i="15"/>
  <c r="G35" i="15"/>
  <c r="F35" i="15"/>
  <c r="E35" i="15"/>
  <c r="G34" i="15"/>
  <c r="F34" i="15"/>
  <c r="E34" i="15"/>
  <c r="G33" i="15"/>
  <c r="F33" i="15"/>
  <c r="E33" i="15"/>
  <c r="G32" i="15"/>
  <c r="F32" i="15"/>
  <c r="E32" i="15"/>
  <c r="G31" i="15"/>
  <c r="F31" i="15"/>
  <c r="E31" i="15"/>
  <c r="G30" i="15"/>
  <c r="F30" i="15"/>
  <c r="E30" i="15"/>
  <c r="G29" i="15"/>
  <c r="F29" i="15"/>
  <c r="E29" i="15"/>
  <c r="G28" i="15"/>
  <c r="F28" i="15"/>
  <c r="E28" i="15"/>
  <c r="G27" i="15"/>
  <c r="F27" i="15"/>
  <c r="E27" i="15"/>
  <c r="G26" i="15"/>
  <c r="F26" i="15"/>
  <c r="E26" i="15"/>
  <c r="G25" i="15"/>
  <c r="F25" i="15"/>
  <c r="E25" i="15"/>
  <c r="G24" i="15"/>
  <c r="F24" i="15"/>
  <c r="E24" i="15"/>
  <c r="G23" i="15"/>
  <c r="F23" i="15"/>
  <c r="E23" i="15"/>
  <c r="G22" i="15"/>
  <c r="F22" i="15"/>
  <c r="E22" i="15"/>
  <c r="G21" i="15"/>
  <c r="F21" i="15"/>
  <c r="E21" i="15"/>
  <c r="G20" i="15"/>
  <c r="F20" i="15"/>
  <c r="E20" i="15"/>
  <c r="G19" i="15"/>
  <c r="F19" i="15"/>
  <c r="E19" i="15"/>
  <c r="F18" i="15"/>
  <c r="E18" i="15"/>
  <c r="G17" i="15"/>
  <c r="F17" i="15"/>
  <c r="E17" i="15"/>
  <c r="E16" i="15"/>
  <c r="G15" i="15"/>
  <c r="F15" i="15"/>
  <c r="E15" i="15"/>
  <c r="E14" i="15"/>
  <c r="C14" i="15"/>
  <c r="F14" i="15" s="1"/>
  <c r="E13" i="15"/>
  <c r="C13" i="15"/>
  <c r="F13" i="15" s="1"/>
  <c r="E12" i="15"/>
  <c r="C12" i="15"/>
  <c r="F12" i="15" s="1"/>
  <c r="F11" i="15"/>
  <c r="E11" i="15"/>
  <c r="C11" i="15"/>
  <c r="D11" i="15" s="1"/>
  <c r="G11" i="15" s="1"/>
  <c r="E10" i="15"/>
  <c r="C10" i="15"/>
  <c r="F10" i="15" s="1"/>
  <c r="E9" i="15"/>
  <c r="C9" i="15"/>
  <c r="F9" i="15" s="1"/>
  <c r="D8" i="15"/>
  <c r="G8" i="15" s="1"/>
  <c r="C8" i="15"/>
  <c r="F8" i="15" s="1"/>
  <c r="B8" i="15"/>
  <c r="E8" i="15" s="1"/>
  <c r="G7" i="15"/>
  <c r="F7" i="15"/>
  <c r="E7" i="15"/>
  <c r="G6" i="15"/>
  <c r="F6" i="15"/>
  <c r="E6" i="15"/>
  <c r="G5" i="15"/>
  <c r="F5" i="15"/>
  <c r="E5" i="15"/>
  <c r="G4" i="15"/>
  <c r="F4" i="15"/>
  <c r="E4" i="15"/>
  <c r="G3" i="15"/>
  <c r="F3" i="15"/>
  <c r="E3" i="15"/>
  <c r="G2" i="15"/>
  <c r="F2" i="15"/>
  <c r="E2" i="15"/>
  <c r="G51" i="14"/>
  <c r="F51" i="14"/>
  <c r="E51" i="14"/>
  <c r="G50" i="14"/>
  <c r="F50" i="14"/>
  <c r="E50" i="14"/>
  <c r="G49" i="14"/>
  <c r="F49" i="14"/>
  <c r="E49" i="14"/>
  <c r="G48" i="14"/>
  <c r="F48" i="14"/>
  <c r="E48" i="14"/>
  <c r="G47" i="14"/>
  <c r="F47" i="14"/>
  <c r="E47" i="14"/>
  <c r="G46" i="14"/>
  <c r="F46" i="14"/>
  <c r="E46" i="14"/>
  <c r="G45" i="14"/>
  <c r="F45" i="14"/>
  <c r="E45" i="14"/>
  <c r="G44" i="14"/>
  <c r="F44" i="14"/>
  <c r="E44" i="14"/>
  <c r="G43" i="14"/>
  <c r="F43" i="14"/>
  <c r="E43" i="14"/>
  <c r="G42" i="14"/>
  <c r="F42" i="14"/>
  <c r="E42" i="14"/>
  <c r="G41" i="14"/>
  <c r="F41" i="14"/>
  <c r="E41" i="14"/>
  <c r="G40" i="14"/>
  <c r="F40" i="14"/>
  <c r="E40" i="14"/>
  <c r="G39" i="14"/>
  <c r="F39" i="14"/>
  <c r="E39" i="14"/>
  <c r="G38" i="14"/>
  <c r="F38" i="14"/>
  <c r="E38" i="14"/>
  <c r="G37" i="14"/>
  <c r="F37" i="14"/>
  <c r="E37" i="14"/>
  <c r="G36" i="14"/>
  <c r="F36" i="14"/>
  <c r="E36" i="14"/>
  <c r="G35" i="14"/>
  <c r="F35" i="14"/>
  <c r="E35" i="14"/>
  <c r="G34" i="14"/>
  <c r="F34" i="14"/>
  <c r="E34" i="14"/>
  <c r="G33" i="14"/>
  <c r="F33" i="14"/>
  <c r="E33" i="14"/>
  <c r="G32" i="14"/>
  <c r="F32" i="14"/>
  <c r="E32" i="14"/>
  <c r="G31" i="14"/>
  <c r="F31" i="14"/>
  <c r="E31" i="14"/>
  <c r="G30" i="14"/>
  <c r="F30" i="14"/>
  <c r="E30" i="14"/>
  <c r="G29" i="14"/>
  <c r="F29" i="14"/>
  <c r="E29" i="14"/>
  <c r="G28" i="14"/>
  <c r="F28" i="14"/>
  <c r="E28" i="14"/>
  <c r="G27" i="14"/>
  <c r="F27" i="14"/>
  <c r="E27" i="14"/>
  <c r="G26" i="14"/>
  <c r="F26" i="14"/>
  <c r="E26" i="14"/>
  <c r="G25" i="14"/>
  <c r="F25" i="14"/>
  <c r="E25" i="14"/>
  <c r="G24" i="14"/>
  <c r="F24" i="14"/>
  <c r="E24" i="14"/>
  <c r="G23" i="14"/>
  <c r="F23" i="14"/>
  <c r="E23" i="14"/>
  <c r="G22" i="14"/>
  <c r="F22" i="14"/>
  <c r="E22" i="14"/>
  <c r="G21" i="14"/>
  <c r="F21" i="14"/>
  <c r="E21" i="14"/>
  <c r="G20" i="14"/>
  <c r="F20" i="14"/>
  <c r="E20" i="14"/>
  <c r="G19" i="14"/>
  <c r="F19" i="14"/>
  <c r="E19" i="14"/>
  <c r="G18" i="14"/>
  <c r="F18" i="14"/>
  <c r="E18" i="14"/>
  <c r="G17" i="14"/>
  <c r="F17" i="14"/>
  <c r="E17" i="14"/>
  <c r="G16" i="14"/>
  <c r="F16" i="14"/>
  <c r="E16" i="14"/>
  <c r="G15" i="14"/>
  <c r="F15" i="14"/>
  <c r="E15" i="14"/>
  <c r="E14" i="14"/>
  <c r="C14" i="14"/>
  <c r="F14" i="14" s="1"/>
  <c r="E13" i="14"/>
  <c r="C13" i="14"/>
  <c r="F13" i="14" s="1"/>
  <c r="F12" i="14"/>
  <c r="E12" i="14"/>
  <c r="C12" i="14"/>
  <c r="D12" i="14" s="1"/>
  <c r="G12" i="14" s="1"/>
  <c r="F11" i="14"/>
  <c r="E11" i="14"/>
  <c r="C11" i="14"/>
  <c r="D11" i="14" s="1"/>
  <c r="G11" i="14" s="1"/>
  <c r="E10" i="14"/>
  <c r="C10" i="14"/>
  <c r="F10" i="14" s="1"/>
  <c r="E9" i="14"/>
  <c r="D9" i="14"/>
  <c r="G9" i="14" s="1"/>
  <c r="C9" i="14"/>
  <c r="F9" i="14" s="1"/>
  <c r="F8" i="14"/>
  <c r="D8" i="14"/>
  <c r="G8" i="14" s="1"/>
  <c r="C8" i="14"/>
  <c r="B8" i="14"/>
  <c r="E8" i="14" s="1"/>
  <c r="G7" i="14"/>
  <c r="F7" i="14"/>
  <c r="E7" i="14"/>
  <c r="G6" i="14"/>
  <c r="F6" i="14"/>
  <c r="E6" i="14"/>
  <c r="G5" i="14"/>
  <c r="F5" i="14"/>
  <c r="E5" i="14"/>
  <c r="G4" i="14"/>
  <c r="F4" i="14"/>
  <c r="E4" i="14"/>
  <c r="G3" i="14"/>
  <c r="F3" i="14"/>
  <c r="E3" i="14"/>
  <c r="G2" i="14"/>
  <c r="F2" i="14"/>
  <c r="E2" i="14"/>
  <c r="B8" i="13"/>
  <c r="D8" i="13"/>
  <c r="C8" i="13"/>
  <c r="G51" i="13"/>
  <c r="F51" i="13"/>
  <c r="E51" i="13"/>
  <c r="G50" i="13"/>
  <c r="F50" i="13"/>
  <c r="E50" i="13"/>
  <c r="G49" i="13"/>
  <c r="F49" i="13"/>
  <c r="E49" i="13"/>
  <c r="G48" i="13"/>
  <c r="F48" i="13"/>
  <c r="E48" i="13"/>
  <c r="G47" i="13"/>
  <c r="F47" i="13"/>
  <c r="E47" i="13"/>
  <c r="G46" i="13"/>
  <c r="F46" i="13"/>
  <c r="E46" i="13"/>
  <c r="G45" i="13"/>
  <c r="F45" i="13"/>
  <c r="E45" i="13"/>
  <c r="G44" i="13"/>
  <c r="F44" i="13"/>
  <c r="E44" i="13"/>
  <c r="G43" i="13"/>
  <c r="F43" i="13"/>
  <c r="E43" i="13"/>
  <c r="G42" i="13"/>
  <c r="F42" i="13"/>
  <c r="E42" i="13"/>
  <c r="G41" i="13"/>
  <c r="F41" i="13"/>
  <c r="E41" i="13"/>
  <c r="G40" i="13"/>
  <c r="F40" i="13"/>
  <c r="E40" i="13"/>
  <c r="G39" i="13"/>
  <c r="F39" i="13"/>
  <c r="E39" i="13"/>
  <c r="G38" i="13"/>
  <c r="F38" i="13"/>
  <c r="E38" i="13"/>
  <c r="G37" i="13"/>
  <c r="F37" i="13"/>
  <c r="E37" i="13"/>
  <c r="G36" i="13"/>
  <c r="F36" i="13"/>
  <c r="E36" i="13"/>
  <c r="G35" i="13"/>
  <c r="F35" i="13"/>
  <c r="E35" i="13"/>
  <c r="G34" i="13"/>
  <c r="F34" i="13"/>
  <c r="E34" i="13"/>
  <c r="G33" i="13"/>
  <c r="F33" i="13"/>
  <c r="E33" i="13"/>
  <c r="G32" i="13"/>
  <c r="F32" i="13"/>
  <c r="E32" i="13"/>
  <c r="G31" i="13"/>
  <c r="F31" i="13"/>
  <c r="E31" i="13"/>
  <c r="G30" i="13"/>
  <c r="F30" i="13"/>
  <c r="E30" i="13"/>
  <c r="G29" i="13"/>
  <c r="F29" i="13"/>
  <c r="E29" i="13"/>
  <c r="G28" i="13"/>
  <c r="F28" i="13"/>
  <c r="E28" i="13"/>
  <c r="G27" i="13"/>
  <c r="F27" i="13"/>
  <c r="E27" i="13"/>
  <c r="G26" i="13"/>
  <c r="F26" i="13"/>
  <c r="E26" i="13"/>
  <c r="G25" i="13"/>
  <c r="F25" i="13"/>
  <c r="E25" i="13"/>
  <c r="G24" i="13"/>
  <c r="F24" i="13"/>
  <c r="E24" i="13"/>
  <c r="G23" i="13"/>
  <c r="F23" i="13"/>
  <c r="E23" i="13"/>
  <c r="G22" i="13"/>
  <c r="F22" i="13"/>
  <c r="E22" i="13"/>
  <c r="G21" i="13"/>
  <c r="F21" i="13"/>
  <c r="E21" i="13"/>
  <c r="G20" i="13"/>
  <c r="F20" i="13"/>
  <c r="E20" i="13"/>
  <c r="G19" i="13"/>
  <c r="F19" i="13"/>
  <c r="E19" i="13"/>
  <c r="G18" i="13"/>
  <c r="F18" i="13"/>
  <c r="E18" i="13"/>
  <c r="G17" i="13"/>
  <c r="F17" i="13"/>
  <c r="E17" i="13"/>
  <c r="G16" i="13"/>
  <c r="F16" i="13"/>
  <c r="E16" i="13"/>
  <c r="G15" i="13"/>
  <c r="F15" i="13"/>
  <c r="E15" i="13"/>
  <c r="E14" i="13"/>
  <c r="C14" i="13"/>
  <c r="F14" i="13" s="1"/>
  <c r="E13" i="13"/>
  <c r="C13" i="13"/>
  <c r="F13" i="13" s="1"/>
  <c r="F12" i="13"/>
  <c r="E12" i="13"/>
  <c r="C12" i="13"/>
  <c r="D12" i="13" s="1"/>
  <c r="G12" i="13" s="1"/>
  <c r="F11" i="13"/>
  <c r="E11" i="13"/>
  <c r="C11" i="13"/>
  <c r="D11" i="13" s="1"/>
  <c r="G11" i="13" s="1"/>
  <c r="E10" i="13"/>
  <c r="C10" i="13"/>
  <c r="F10" i="13" s="1"/>
  <c r="E9" i="13"/>
  <c r="D9" i="13"/>
  <c r="G9" i="13" s="1"/>
  <c r="C9" i="13"/>
  <c r="F9" i="13" s="1"/>
  <c r="G8" i="13"/>
  <c r="F8" i="13"/>
  <c r="E8" i="13"/>
  <c r="G7" i="13"/>
  <c r="F7" i="13"/>
  <c r="E7" i="13"/>
  <c r="G6" i="13"/>
  <c r="F6" i="13"/>
  <c r="E6" i="13"/>
  <c r="G5" i="13"/>
  <c r="F5" i="13"/>
  <c r="E5" i="13"/>
  <c r="G4" i="13"/>
  <c r="F4" i="13"/>
  <c r="E4" i="13"/>
  <c r="G3" i="13"/>
  <c r="F3" i="13"/>
  <c r="E3" i="13"/>
  <c r="G2" i="13"/>
  <c r="F2" i="13"/>
  <c r="E2" i="13"/>
  <c r="N4" i="12"/>
  <c r="N6" i="12"/>
  <c r="O7" i="12"/>
  <c r="N10" i="12"/>
  <c r="N12" i="12"/>
  <c r="N14" i="12"/>
  <c r="O14" i="12"/>
  <c r="O15" i="12"/>
  <c r="N18" i="12"/>
  <c r="N20" i="12"/>
  <c r="N22" i="12"/>
  <c r="O22" i="12"/>
  <c r="O23" i="12"/>
  <c r="N26" i="12"/>
  <c r="M28" i="12"/>
  <c r="N28" i="12"/>
  <c r="N30" i="12"/>
  <c r="O30" i="12"/>
  <c r="O31" i="12"/>
  <c r="N34" i="12"/>
  <c r="M36" i="12"/>
  <c r="N36" i="12"/>
  <c r="M38" i="12"/>
  <c r="N38" i="12"/>
  <c r="O38" i="12"/>
  <c r="O39" i="12"/>
  <c r="O41" i="12"/>
  <c r="N42" i="12"/>
  <c r="O43" i="12"/>
  <c r="M44" i="12"/>
  <c r="N44" i="12"/>
  <c r="M46" i="12"/>
  <c r="N46" i="12"/>
  <c r="O46" i="12"/>
  <c r="O47" i="12"/>
  <c r="O49" i="12"/>
  <c r="N50" i="12"/>
  <c r="O51" i="12"/>
  <c r="M52" i="12"/>
  <c r="N52" i="12"/>
  <c r="M54" i="12"/>
  <c r="N54" i="12"/>
  <c r="O54" i="12"/>
  <c r="M55" i="12"/>
  <c r="O55" i="12"/>
  <c r="N56" i="12"/>
  <c r="O57" i="12"/>
  <c r="N58" i="12"/>
  <c r="M60" i="12"/>
  <c r="N60" i="12"/>
  <c r="N3" i="12"/>
  <c r="A54" i="12"/>
  <c r="A55" i="12"/>
  <c r="N55" i="12" s="1"/>
  <c r="A56" i="12"/>
  <c r="M56" i="12" s="1"/>
  <c r="A57" i="12"/>
  <c r="M57" i="12" s="1"/>
  <c r="A58" i="12"/>
  <c r="O58" i="12" s="1"/>
  <c r="A59" i="12"/>
  <c r="M59" i="12" s="1"/>
  <c r="A60" i="12"/>
  <c r="O60" i="12" s="1"/>
  <c r="A53" i="12"/>
  <c r="N53" i="12" s="1"/>
  <c r="A52" i="12"/>
  <c r="O52" i="12" s="1"/>
  <c r="A51" i="12"/>
  <c r="M51" i="12" s="1"/>
  <c r="A50" i="12"/>
  <c r="O50" i="12" s="1"/>
  <c r="A49" i="12"/>
  <c r="M49" i="12" s="1"/>
  <c r="A48" i="12"/>
  <c r="M48" i="12" s="1"/>
  <c r="A47" i="12"/>
  <c r="M47" i="12" s="1"/>
  <c r="A46" i="12"/>
  <c r="A45" i="12"/>
  <c r="N45" i="12" s="1"/>
  <c r="A44" i="12"/>
  <c r="O44" i="12" s="1"/>
  <c r="A43" i="12"/>
  <c r="M43" i="12" s="1"/>
  <c r="A42" i="12"/>
  <c r="O42" i="12" s="1"/>
  <c r="A41" i="12"/>
  <c r="M41" i="12" s="1"/>
  <c r="A40" i="12"/>
  <c r="M40" i="12" s="1"/>
  <c r="A39" i="12"/>
  <c r="M39" i="12" s="1"/>
  <c r="A38" i="12"/>
  <c r="A37" i="12"/>
  <c r="N37" i="12" s="1"/>
  <c r="A36" i="12"/>
  <c r="O36" i="12" s="1"/>
  <c r="A35" i="12"/>
  <c r="M35" i="12" s="1"/>
  <c r="A34" i="12"/>
  <c r="O34" i="12" s="1"/>
  <c r="A33" i="12"/>
  <c r="M33" i="12" s="1"/>
  <c r="A32" i="12"/>
  <c r="M32" i="12" s="1"/>
  <c r="A31" i="12"/>
  <c r="M31" i="12" s="1"/>
  <c r="A30" i="12"/>
  <c r="M30" i="12" s="1"/>
  <c r="A29" i="12"/>
  <c r="N29" i="12" s="1"/>
  <c r="A28" i="12"/>
  <c r="O28" i="12" s="1"/>
  <c r="A27" i="12"/>
  <c r="M27" i="12" s="1"/>
  <c r="A26" i="12"/>
  <c r="O26" i="12" s="1"/>
  <c r="A25" i="12"/>
  <c r="M25" i="12" s="1"/>
  <c r="A24" i="12"/>
  <c r="M24" i="12" s="1"/>
  <c r="A23" i="12"/>
  <c r="M23" i="12" s="1"/>
  <c r="A22" i="12"/>
  <c r="M22" i="12" s="1"/>
  <c r="A21" i="12"/>
  <c r="N21" i="12" s="1"/>
  <c r="A20" i="12"/>
  <c r="M20" i="12" s="1"/>
  <c r="A19" i="12"/>
  <c r="M19" i="12" s="1"/>
  <c r="A18" i="12"/>
  <c r="O18" i="12" s="1"/>
  <c r="A17" i="12"/>
  <c r="M17" i="12" s="1"/>
  <c r="A16" i="12"/>
  <c r="M16" i="12" s="1"/>
  <c r="A15" i="12"/>
  <c r="M15" i="12" s="1"/>
  <c r="A14" i="12"/>
  <c r="M14" i="12" s="1"/>
  <c r="A13" i="12"/>
  <c r="N13" i="12" s="1"/>
  <c r="A12" i="12"/>
  <c r="M12" i="12" s="1"/>
  <c r="A11" i="12"/>
  <c r="M11" i="12" s="1"/>
  <c r="A10" i="12"/>
  <c r="O10" i="12" s="1"/>
  <c r="A9" i="12"/>
  <c r="M9" i="12" s="1"/>
  <c r="A8" i="12"/>
  <c r="M8" i="12" s="1"/>
  <c r="A7" i="12"/>
  <c r="M7" i="12" s="1"/>
  <c r="A6" i="12"/>
  <c r="M6" i="12" s="1"/>
  <c r="A5" i="12"/>
  <c r="N5" i="12" s="1"/>
  <c r="A4" i="12"/>
  <c r="M4" i="12" s="1"/>
  <c r="A3" i="12"/>
  <c r="O3" i="12" s="1"/>
  <c r="G51" i="11"/>
  <c r="F51" i="11"/>
  <c r="E51" i="11"/>
  <c r="G50" i="11"/>
  <c r="F50" i="11"/>
  <c r="E50" i="11"/>
  <c r="G49" i="11"/>
  <c r="F49" i="11"/>
  <c r="E49" i="11"/>
  <c r="G48" i="11"/>
  <c r="F48" i="11"/>
  <c r="E48" i="11"/>
  <c r="G47" i="11"/>
  <c r="F47" i="11"/>
  <c r="E47" i="11"/>
  <c r="G46" i="11"/>
  <c r="F46" i="11"/>
  <c r="E46" i="11"/>
  <c r="G45" i="11"/>
  <c r="F45" i="11"/>
  <c r="E45" i="11"/>
  <c r="G44" i="11"/>
  <c r="F44" i="11"/>
  <c r="E44" i="11"/>
  <c r="G43" i="11"/>
  <c r="F43" i="11"/>
  <c r="E43" i="11"/>
  <c r="G42" i="11"/>
  <c r="F42" i="11"/>
  <c r="E42" i="11"/>
  <c r="G41" i="11"/>
  <c r="F41" i="11"/>
  <c r="E41" i="11"/>
  <c r="G40" i="11"/>
  <c r="F40" i="11"/>
  <c r="E40" i="11"/>
  <c r="G39" i="11"/>
  <c r="F39" i="11"/>
  <c r="E39" i="11"/>
  <c r="G38" i="11"/>
  <c r="F38" i="11"/>
  <c r="E38" i="11"/>
  <c r="G37" i="11"/>
  <c r="F37" i="11"/>
  <c r="E37" i="11"/>
  <c r="G36" i="11"/>
  <c r="F36" i="11"/>
  <c r="E36" i="11"/>
  <c r="G35" i="11"/>
  <c r="F35" i="11"/>
  <c r="E35" i="11"/>
  <c r="G34" i="11"/>
  <c r="F34" i="11"/>
  <c r="E34" i="11"/>
  <c r="G33" i="11"/>
  <c r="F33" i="11"/>
  <c r="E33" i="11"/>
  <c r="G32" i="11"/>
  <c r="F32" i="11"/>
  <c r="E32" i="11"/>
  <c r="G31" i="11"/>
  <c r="F31" i="11"/>
  <c r="E31" i="11"/>
  <c r="G30" i="11"/>
  <c r="F30" i="11"/>
  <c r="E30" i="11"/>
  <c r="G29" i="11"/>
  <c r="F29" i="11"/>
  <c r="E29" i="11"/>
  <c r="G28" i="11"/>
  <c r="F28" i="11"/>
  <c r="E28" i="11"/>
  <c r="G27" i="11"/>
  <c r="F27" i="11"/>
  <c r="E27" i="11"/>
  <c r="G26" i="11"/>
  <c r="F26" i="11"/>
  <c r="E26" i="11"/>
  <c r="G25" i="11"/>
  <c r="F25" i="11"/>
  <c r="E25" i="11"/>
  <c r="G24" i="11"/>
  <c r="F24" i="11"/>
  <c r="E24" i="11"/>
  <c r="G23" i="11"/>
  <c r="F23" i="11"/>
  <c r="E23" i="11"/>
  <c r="G22" i="11"/>
  <c r="F22" i="11"/>
  <c r="E22" i="11"/>
  <c r="G21" i="11"/>
  <c r="F21" i="11"/>
  <c r="E21" i="11"/>
  <c r="G20" i="11"/>
  <c r="F20" i="11"/>
  <c r="E20" i="11"/>
  <c r="G19" i="11"/>
  <c r="F19" i="11"/>
  <c r="E19" i="11"/>
  <c r="G18" i="11"/>
  <c r="F18" i="11"/>
  <c r="E18" i="11"/>
  <c r="F17" i="11"/>
  <c r="E17" i="11"/>
  <c r="G17" i="11"/>
  <c r="G16" i="11"/>
  <c r="F16" i="11"/>
  <c r="E16" i="11"/>
  <c r="G15" i="11"/>
  <c r="F15" i="11"/>
  <c r="E15" i="11"/>
  <c r="E14" i="11"/>
  <c r="C14" i="11"/>
  <c r="F14" i="11" s="1"/>
  <c r="F13" i="11"/>
  <c r="E13" i="11"/>
  <c r="C13" i="11"/>
  <c r="D13" i="11" s="1"/>
  <c r="G13" i="11" s="1"/>
  <c r="E12" i="11"/>
  <c r="C12" i="11"/>
  <c r="F12" i="11" s="1"/>
  <c r="E11" i="11"/>
  <c r="C11" i="11"/>
  <c r="F11" i="11" s="1"/>
  <c r="E10" i="11"/>
  <c r="D10" i="11"/>
  <c r="G10" i="11" s="1"/>
  <c r="C10" i="11"/>
  <c r="F10" i="11" s="1"/>
  <c r="F9" i="11"/>
  <c r="E9" i="11"/>
  <c r="D9" i="11"/>
  <c r="G9" i="11" s="1"/>
  <c r="C9" i="11"/>
  <c r="G8" i="11"/>
  <c r="F8" i="11"/>
  <c r="E8" i="11"/>
  <c r="G7" i="11"/>
  <c r="F7" i="11"/>
  <c r="E7" i="11"/>
  <c r="G6" i="11"/>
  <c r="F6" i="11"/>
  <c r="E6" i="11"/>
  <c r="G5" i="11"/>
  <c r="F5" i="11"/>
  <c r="E5" i="11"/>
  <c r="G4" i="11"/>
  <c r="F4" i="11"/>
  <c r="E4" i="11"/>
  <c r="G3" i="11"/>
  <c r="F3" i="11"/>
  <c r="E3" i="11"/>
  <c r="G2" i="11"/>
  <c r="F2" i="11"/>
  <c r="E2" i="11"/>
  <c r="C14" i="10"/>
  <c r="D14" i="10" s="1"/>
  <c r="G14" i="10" s="1"/>
  <c r="C17" i="10"/>
  <c r="D17" i="10" s="1"/>
  <c r="G17" i="10" s="1"/>
  <c r="G16" i="10"/>
  <c r="G53" i="3"/>
  <c r="G52" i="3"/>
  <c r="G51" i="3"/>
  <c r="G50" i="3"/>
  <c r="G49" i="3"/>
  <c r="G48" i="3"/>
  <c r="G47" i="3"/>
  <c r="G46" i="3"/>
  <c r="G45" i="3"/>
  <c r="G44" i="3"/>
  <c r="G43" i="3"/>
  <c r="G42" i="3"/>
  <c r="G41" i="3"/>
  <c r="G40" i="3"/>
  <c r="G39" i="3"/>
  <c r="G38" i="3"/>
  <c r="G37" i="3"/>
  <c r="G36" i="3"/>
  <c r="G35" i="3"/>
  <c r="G34" i="3"/>
  <c r="G33" i="3"/>
  <c r="G32" i="3"/>
  <c r="G31" i="3"/>
  <c r="G30" i="3"/>
  <c r="G29" i="3"/>
  <c r="G28" i="3"/>
  <c r="E12" i="3"/>
  <c r="E11" i="3"/>
  <c r="E10" i="3"/>
  <c r="E9" i="3"/>
  <c r="E10" i="10"/>
  <c r="E11" i="10"/>
  <c r="G11" i="10"/>
  <c r="E12" i="10"/>
  <c r="E13" i="10"/>
  <c r="F13" i="10"/>
  <c r="E14" i="10"/>
  <c r="F14" i="10"/>
  <c r="E15" i="10"/>
  <c r="F15" i="10"/>
  <c r="G15" i="10"/>
  <c r="E16" i="10"/>
  <c r="F16" i="10"/>
  <c r="E17" i="10"/>
  <c r="E18" i="10"/>
  <c r="F18" i="10"/>
  <c r="G18" i="10"/>
  <c r="E19" i="10"/>
  <c r="F19" i="10"/>
  <c r="G19" i="10"/>
  <c r="E20" i="10"/>
  <c r="F20" i="10"/>
  <c r="G20" i="10"/>
  <c r="E21" i="10"/>
  <c r="F21" i="10"/>
  <c r="G21" i="10"/>
  <c r="E22" i="10"/>
  <c r="F22" i="10"/>
  <c r="G22" i="10"/>
  <c r="E23" i="10"/>
  <c r="F23" i="10"/>
  <c r="G23" i="10"/>
  <c r="E24" i="10"/>
  <c r="F24" i="10"/>
  <c r="G24" i="10"/>
  <c r="E25" i="10"/>
  <c r="F25" i="10"/>
  <c r="G25" i="10"/>
  <c r="E26" i="10"/>
  <c r="F26" i="10"/>
  <c r="G26" i="10"/>
  <c r="E27" i="10"/>
  <c r="F27" i="10"/>
  <c r="G27" i="10"/>
  <c r="E28" i="10"/>
  <c r="F28" i="10"/>
  <c r="G28" i="10"/>
  <c r="E29" i="10"/>
  <c r="F29" i="10"/>
  <c r="G29" i="10"/>
  <c r="E30" i="10"/>
  <c r="F30" i="10"/>
  <c r="G30" i="10"/>
  <c r="E31" i="10"/>
  <c r="F31" i="10"/>
  <c r="G31" i="10"/>
  <c r="E32" i="10"/>
  <c r="F32" i="10"/>
  <c r="G32" i="10"/>
  <c r="E33" i="10"/>
  <c r="F33" i="10"/>
  <c r="G33" i="10"/>
  <c r="E34" i="10"/>
  <c r="F34" i="10"/>
  <c r="G34" i="10"/>
  <c r="E35" i="10"/>
  <c r="F35" i="10"/>
  <c r="G35" i="10"/>
  <c r="E36" i="10"/>
  <c r="F36" i="10"/>
  <c r="G36" i="10"/>
  <c r="E37" i="10"/>
  <c r="F37" i="10"/>
  <c r="G37" i="10"/>
  <c r="E38" i="10"/>
  <c r="F38" i="10"/>
  <c r="G38" i="10"/>
  <c r="E39" i="10"/>
  <c r="F39" i="10"/>
  <c r="G39" i="10"/>
  <c r="E40" i="10"/>
  <c r="F40" i="10"/>
  <c r="G40" i="10"/>
  <c r="E41" i="10"/>
  <c r="F41" i="10"/>
  <c r="G41" i="10"/>
  <c r="E42" i="10"/>
  <c r="F42" i="10"/>
  <c r="G42" i="10"/>
  <c r="E43" i="10"/>
  <c r="F43" i="10"/>
  <c r="G43" i="10"/>
  <c r="E44" i="10"/>
  <c r="F44" i="10"/>
  <c r="G44" i="10"/>
  <c r="E45" i="10"/>
  <c r="F45" i="10"/>
  <c r="G45" i="10"/>
  <c r="E46" i="10"/>
  <c r="F46" i="10"/>
  <c r="G46" i="10"/>
  <c r="E47" i="10"/>
  <c r="F47" i="10"/>
  <c r="G47" i="10"/>
  <c r="E48" i="10"/>
  <c r="F48" i="10"/>
  <c r="G48" i="10"/>
  <c r="E49" i="10"/>
  <c r="F49" i="10"/>
  <c r="G49" i="10"/>
  <c r="E50" i="10"/>
  <c r="F50" i="10"/>
  <c r="G50" i="10"/>
  <c r="E51" i="10"/>
  <c r="F51" i="10"/>
  <c r="G51" i="10"/>
  <c r="E9" i="10"/>
  <c r="D12" i="10"/>
  <c r="G12" i="10" s="1"/>
  <c r="C13" i="10"/>
  <c r="C12" i="10"/>
  <c r="F12" i="10" s="1"/>
  <c r="C11" i="10"/>
  <c r="D11" i="10" s="1"/>
  <c r="C10" i="10"/>
  <c r="F10" i="10" s="1"/>
  <c r="C9" i="10"/>
  <c r="F9" i="10" s="1"/>
  <c r="G8" i="10"/>
  <c r="F8" i="10"/>
  <c r="E8" i="10"/>
  <c r="G7" i="10"/>
  <c r="F7" i="10"/>
  <c r="E7" i="10"/>
  <c r="G6" i="10"/>
  <c r="F6" i="10"/>
  <c r="E6" i="10"/>
  <c r="G5" i="10"/>
  <c r="F5" i="10"/>
  <c r="E5" i="10"/>
  <c r="G4" i="10"/>
  <c r="F4" i="10"/>
  <c r="E4" i="10"/>
  <c r="G3" i="10"/>
  <c r="F3" i="10"/>
  <c r="E3" i="10"/>
  <c r="G2" i="10"/>
  <c r="F2" i="10"/>
  <c r="E2" i="10"/>
  <c r="O53" i="9"/>
  <c r="N53" i="9"/>
  <c r="M53" i="9"/>
  <c r="O52" i="9"/>
  <c r="N52" i="9"/>
  <c r="M52" i="9"/>
  <c r="O51" i="9"/>
  <c r="N51" i="9"/>
  <c r="M51" i="9"/>
  <c r="O50" i="9"/>
  <c r="N50" i="9"/>
  <c r="M50" i="9"/>
  <c r="O49" i="9"/>
  <c r="N49" i="9"/>
  <c r="M49" i="9"/>
  <c r="O48" i="9"/>
  <c r="N48" i="9"/>
  <c r="M48" i="9"/>
  <c r="O47" i="9"/>
  <c r="N47" i="9"/>
  <c r="M47" i="9"/>
  <c r="O46" i="9"/>
  <c r="N46" i="9"/>
  <c r="M46" i="9"/>
  <c r="O45" i="9"/>
  <c r="N45" i="9"/>
  <c r="M45" i="9"/>
  <c r="O44" i="9"/>
  <c r="N44" i="9"/>
  <c r="M44" i="9"/>
  <c r="O43" i="9"/>
  <c r="N43" i="9"/>
  <c r="M43" i="9"/>
  <c r="O42" i="9"/>
  <c r="N42" i="9"/>
  <c r="M42" i="9"/>
  <c r="O41" i="9"/>
  <c r="N41" i="9"/>
  <c r="M41" i="9"/>
  <c r="O40" i="9"/>
  <c r="N40" i="9"/>
  <c r="M40" i="9"/>
  <c r="O39" i="9"/>
  <c r="N39" i="9"/>
  <c r="M39" i="9"/>
  <c r="O38" i="9"/>
  <c r="N38" i="9"/>
  <c r="M38" i="9"/>
  <c r="O37" i="9"/>
  <c r="N37" i="9"/>
  <c r="M37" i="9"/>
  <c r="O36" i="9"/>
  <c r="N36" i="9"/>
  <c r="M36" i="9"/>
  <c r="O35" i="9"/>
  <c r="N35" i="9"/>
  <c r="M35" i="9"/>
  <c r="O34" i="9"/>
  <c r="N34" i="9"/>
  <c r="M34" i="9"/>
  <c r="O33" i="9"/>
  <c r="N33" i="9"/>
  <c r="M33" i="9"/>
  <c r="O32" i="9"/>
  <c r="N32" i="9"/>
  <c r="M32" i="9"/>
  <c r="O31" i="9"/>
  <c r="N31" i="9"/>
  <c r="M31" i="9"/>
  <c r="O30" i="9"/>
  <c r="N30" i="9"/>
  <c r="M30" i="9"/>
  <c r="O29" i="9"/>
  <c r="N29" i="9"/>
  <c r="M29" i="9"/>
  <c r="O28" i="9"/>
  <c r="N28" i="9"/>
  <c r="M28" i="9"/>
  <c r="O27" i="9"/>
  <c r="N27" i="9"/>
  <c r="M27" i="9"/>
  <c r="O26" i="9"/>
  <c r="N26" i="9"/>
  <c r="M26" i="9"/>
  <c r="O25" i="9"/>
  <c r="N25" i="9"/>
  <c r="M25" i="9"/>
  <c r="O24" i="9"/>
  <c r="N24" i="9"/>
  <c r="M24" i="9"/>
  <c r="O23" i="9"/>
  <c r="N23" i="9"/>
  <c r="M23" i="9"/>
  <c r="O22" i="9"/>
  <c r="N22" i="9"/>
  <c r="M22" i="9"/>
  <c r="O53" i="8"/>
  <c r="N53" i="8"/>
  <c r="M53" i="8"/>
  <c r="O52" i="8"/>
  <c r="N52" i="8"/>
  <c r="M52" i="8"/>
  <c r="O51" i="8"/>
  <c r="N51" i="8"/>
  <c r="M51" i="8"/>
  <c r="O50" i="8"/>
  <c r="N50" i="8"/>
  <c r="M50" i="8"/>
  <c r="O49" i="8"/>
  <c r="N49" i="8"/>
  <c r="M49" i="8"/>
  <c r="O48" i="8"/>
  <c r="N48" i="8"/>
  <c r="M48" i="8"/>
  <c r="O47" i="8"/>
  <c r="N47" i="8"/>
  <c r="M47" i="8"/>
  <c r="O46" i="8"/>
  <c r="N46" i="8"/>
  <c r="M46" i="8"/>
  <c r="O45" i="8"/>
  <c r="N45" i="8"/>
  <c r="M45" i="8"/>
  <c r="O44" i="8"/>
  <c r="N44" i="8"/>
  <c r="M44" i="8"/>
  <c r="O43" i="8"/>
  <c r="N43" i="8"/>
  <c r="M43" i="8"/>
  <c r="O42" i="8"/>
  <c r="N42" i="8"/>
  <c r="M42" i="8"/>
  <c r="O41" i="8"/>
  <c r="N41" i="8"/>
  <c r="M41" i="8"/>
  <c r="O40" i="8"/>
  <c r="N40" i="8"/>
  <c r="M40" i="8"/>
  <c r="O39" i="8"/>
  <c r="N39" i="8"/>
  <c r="M39" i="8"/>
  <c r="O38" i="8"/>
  <c r="N38" i="8"/>
  <c r="M38" i="8"/>
  <c r="O37" i="8"/>
  <c r="N37" i="8"/>
  <c r="M37" i="8"/>
  <c r="O36" i="8"/>
  <c r="N36" i="8"/>
  <c r="M36" i="8"/>
  <c r="O35" i="8"/>
  <c r="N35" i="8"/>
  <c r="M35" i="8"/>
  <c r="O34" i="8"/>
  <c r="N34" i="8"/>
  <c r="M34" i="8"/>
  <c r="O33" i="8"/>
  <c r="N33" i="8"/>
  <c r="M33" i="8"/>
  <c r="O32" i="8"/>
  <c r="N32" i="8"/>
  <c r="M32" i="8"/>
  <c r="O31" i="8"/>
  <c r="N31" i="8"/>
  <c r="M31" i="8"/>
  <c r="O30" i="8"/>
  <c r="N30" i="8"/>
  <c r="M30" i="8"/>
  <c r="O29" i="8"/>
  <c r="N29" i="8"/>
  <c r="M29" i="8"/>
  <c r="O28" i="8"/>
  <c r="N28" i="8"/>
  <c r="M28" i="8"/>
  <c r="O27" i="8"/>
  <c r="N27" i="8"/>
  <c r="M27" i="8"/>
  <c r="O26" i="8"/>
  <c r="N26" i="8"/>
  <c r="M26" i="8"/>
  <c r="O25" i="8"/>
  <c r="N25" i="8"/>
  <c r="M25" i="8"/>
  <c r="O24" i="8"/>
  <c r="N24" i="8"/>
  <c r="M24" i="8"/>
  <c r="O23" i="8"/>
  <c r="N23" i="8"/>
  <c r="M23" i="8"/>
  <c r="O22" i="8"/>
  <c r="N22" i="8"/>
  <c r="M22" i="8"/>
  <c r="O21" i="8"/>
  <c r="N21" i="8"/>
  <c r="M21" i="8"/>
  <c r="O20" i="8"/>
  <c r="N20" i="8"/>
  <c r="M20" i="8"/>
  <c r="O19" i="8"/>
  <c r="N19" i="8"/>
  <c r="M19" i="8"/>
  <c r="O18" i="8"/>
  <c r="N18" i="8"/>
  <c r="M18" i="8"/>
  <c r="O17" i="8"/>
  <c r="N17" i="8"/>
  <c r="M17" i="8"/>
  <c r="O16" i="8"/>
  <c r="N16" i="8"/>
  <c r="M16" i="8"/>
  <c r="O15" i="8"/>
  <c r="N15" i="8"/>
  <c r="M15" i="8"/>
  <c r="O14" i="8"/>
  <c r="N14" i="8"/>
  <c r="M14" i="8"/>
  <c r="O13" i="8"/>
  <c r="N13" i="8"/>
  <c r="M13" i="8"/>
  <c r="O12" i="8"/>
  <c r="N12" i="8"/>
  <c r="M12" i="8"/>
  <c r="O53" i="6"/>
  <c r="N53" i="6"/>
  <c r="M53" i="6"/>
  <c r="O52" i="6"/>
  <c r="N52" i="6"/>
  <c r="M52" i="6"/>
  <c r="O51" i="6"/>
  <c r="N51" i="6"/>
  <c r="M51" i="6"/>
  <c r="O50" i="6"/>
  <c r="N50" i="6"/>
  <c r="M50" i="6"/>
  <c r="O49" i="6"/>
  <c r="N49" i="6"/>
  <c r="M49" i="6"/>
  <c r="O48" i="6"/>
  <c r="N48" i="6"/>
  <c r="M48" i="6"/>
  <c r="O47" i="6"/>
  <c r="N47" i="6"/>
  <c r="M47" i="6"/>
  <c r="O46" i="6"/>
  <c r="N46" i="6"/>
  <c r="M46" i="6"/>
  <c r="O45" i="6"/>
  <c r="N45" i="6"/>
  <c r="M45" i="6"/>
  <c r="O44" i="6"/>
  <c r="N44" i="6"/>
  <c r="M44" i="6"/>
  <c r="O43" i="6"/>
  <c r="N43" i="6"/>
  <c r="M43" i="6"/>
  <c r="O42" i="6"/>
  <c r="N42" i="6"/>
  <c r="M42" i="6"/>
  <c r="O41" i="6"/>
  <c r="N41" i="6"/>
  <c r="M41" i="6"/>
  <c r="O40" i="6"/>
  <c r="N40" i="6"/>
  <c r="M40" i="6"/>
  <c r="O39" i="6"/>
  <c r="N39" i="6"/>
  <c r="M39" i="6"/>
  <c r="O38" i="6"/>
  <c r="N38" i="6"/>
  <c r="M38" i="6"/>
  <c r="O37" i="6"/>
  <c r="N37" i="6"/>
  <c r="M37" i="6"/>
  <c r="O36" i="6"/>
  <c r="N36" i="6"/>
  <c r="M36" i="6"/>
  <c r="O35" i="6"/>
  <c r="N35" i="6"/>
  <c r="M35" i="6"/>
  <c r="O34" i="6"/>
  <c r="N34" i="6"/>
  <c r="M34" i="6"/>
  <c r="O33" i="6"/>
  <c r="N33" i="6"/>
  <c r="M33" i="6"/>
  <c r="O32" i="6"/>
  <c r="N32" i="6"/>
  <c r="M32" i="6"/>
  <c r="O31" i="6"/>
  <c r="N31" i="6"/>
  <c r="M31" i="6"/>
  <c r="O30" i="6"/>
  <c r="N30" i="6"/>
  <c r="M30" i="6"/>
  <c r="O29" i="6"/>
  <c r="N29" i="6"/>
  <c r="M29" i="6"/>
  <c r="O28" i="6"/>
  <c r="N28" i="6"/>
  <c r="M28" i="6"/>
  <c r="O27" i="6"/>
  <c r="N27" i="6"/>
  <c r="M27" i="6"/>
  <c r="O26" i="6"/>
  <c r="N26" i="6"/>
  <c r="M26" i="6"/>
  <c r="O25" i="6"/>
  <c r="N25" i="6"/>
  <c r="M25" i="6"/>
  <c r="O24" i="6"/>
  <c r="N24" i="6"/>
  <c r="M24" i="6"/>
  <c r="O23" i="6"/>
  <c r="N23" i="6"/>
  <c r="M23" i="6"/>
  <c r="O22" i="6"/>
  <c r="N22" i="6"/>
  <c r="M22" i="6"/>
  <c r="O21" i="6"/>
  <c r="N21" i="6"/>
  <c r="M21" i="6"/>
  <c r="O20" i="6"/>
  <c r="N20" i="6"/>
  <c r="M20" i="6"/>
  <c r="O19" i="6"/>
  <c r="N19" i="6"/>
  <c r="M19" i="6"/>
  <c r="O18" i="6"/>
  <c r="N18" i="6"/>
  <c r="M18" i="6"/>
  <c r="O17" i="6"/>
  <c r="N17" i="6"/>
  <c r="M17" i="6"/>
  <c r="O16" i="6"/>
  <c r="N16" i="6"/>
  <c r="M16" i="6"/>
  <c r="O15" i="6"/>
  <c r="N15" i="6"/>
  <c r="M15" i="6"/>
  <c r="O14" i="6"/>
  <c r="N14" i="6"/>
  <c r="M14" i="6"/>
  <c r="O13" i="6"/>
  <c r="N13" i="6"/>
  <c r="M13" i="6"/>
  <c r="O12" i="6"/>
  <c r="N12" i="6"/>
  <c r="M12" i="6"/>
  <c r="O11" i="6"/>
  <c r="N11" i="6"/>
  <c r="M11" i="6"/>
  <c r="O10" i="6"/>
  <c r="N10" i="6"/>
  <c r="M10" i="6"/>
  <c r="O9" i="6"/>
  <c r="N9" i="6"/>
  <c r="M9" i="6"/>
  <c r="O8" i="6"/>
  <c r="N8" i="6"/>
  <c r="M8" i="6"/>
  <c r="O7" i="6"/>
  <c r="N7" i="6"/>
  <c r="M7" i="6"/>
  <c r="O53" i="5"/>
  <c r="N53" i="5"/>
  <c r="M53" i="5"/>
  <c r="O52" i="5"/>
  <c r="N52" i="5"/>
  <c r="M52" i="5"/>
  <c r="O51" i="5"/>
  <c r="N51" i="5"/>
  <c r="M51" i="5"/>
  <c r="O50" i="5"/>
  <c r="N50" i="5"/>
  <c r="M50" i="5"/>
  <c r="O49" i="5"/>
  <c r="N49" i="5"/>
  <c r="M49" i="5"/>
  <c r="O48" i="5"/>
  <c r="N48" i="5"/>
  <c r="M48" i="5"/>
  <c r="O47" i="5"/>
  <c r="N47" i="5"/>
  <c r="M47" i="5"/>
  <c r="O46" i="5"/>
  <c r="N46" i="5"/>
  <c r="M46" i="5"/>
  <c r="O45" i="5"/>
  <c r="N45" i="5"/>
  <c r="M45" i="5"/>
  <c r="O44" i="5"/>
  <c r="N44" i="5"/>
  <c r="M44" i="5"/>
  <c r="O43" i="5"/>
  <c r="N43" i="5"/>
  <c r="M43" i="5"/>
  <c r="O42" i="5"/>
  <c r="N42" i="5"/>
  <c r="M42" i="5"/>
  <c r="O41" i="5"/>
  <c r="N41" i="5"/>
  <c r="M41" i="5"/>
  <c r="O40" i="5"/>
  <c r="N40" i="5"/>
  <c r="M40" i="5"/>
  <c r="O39" i="5"/>
  <c r="N39" i="5"/>
  <c r="M39" i="5"/>
  <c r="O38" i="5"/>
  <c r="N38" i="5"/>
  <c r="M38" i="5"/>
  <c r="O37" i="5"/>
  <c r="N37" i="5"/>
  <c r="M37" i="5"/>
  <c r="O36" i="5"/>
  <c r="N36" i="5"/>
  <c r="M36" i="5"/>
  <c r="O35" i="5"/>
  <c r="N35" i="5"/>
  <c r="M35" i="5"/>
  <c r="O34" i="5"/>
  <c r="N34" i="5"/>
  <c r="M34" i="5"/>
  <c r="O33" i="5"/>
  <c r="N33" i="5"/>
  <c r="M33" i="5"/>
  <c r="O32" i="5"/>
  <c r="N32" i="5"/>
  <c r="M32" i="5"/>
  <c r="O31" i="5"/>
  <c r="N31" i="5"/>
  <c r="M31" i="5"/>
  <c r="O30" i="5"/>
  <c r="N30" i="5"/>
  <c r="M30" i="5"/>
  <c r="O29" i="5"/>
  <c r="N29" i="5"/>
  <c r="M29" i="5"/>
  <c r="O28" i="5"/>
  <c r="N28" i="5"/>
  <c r="M28" i="5"/>
  <c r="O27" i="5"/>
  <c r="N27" i="5"/>
  <c r="M27" i="5"/>
  <c r="O26" i="5"/>
  <c r="N26" i="5"/>
  <c r="M26" i="5"/>
  <c r="O25" i="5"/>
  <c r="N25" i="5"/>
  <c r="M25" i="5"/>
  <c r="O24" i="5"/>
  <c r="N24" i="5"/>
  <c r="M24" i="5"/>
  <c r="O23" i="5"/>
  <c r="N23" i="5"/>
  <c r="M23" i="5"/>
  <c r="O22" i="5"/>
  <c r="N22" i="5"/>
  <c r="M22" i="5"/>
  <c r="O21" i="5"/>
  <c r="N21" i="5"/>
  <c r="M21" i="5"/>
  <c r="O20" i="5"/>
  <c r="N20" i="5"/>
  <c r="M20" i="5"/>
  <c r="O19" i="5"/>
  <c r="N19" i="5"/>
  <c r="M19" i="5"/>
  <c r="O18" i="5"/>
  <c r="N18" i="5"/>
  <c r="M18" i="5"/>
  <c r="O17" i="5"/>
  <c r="N17" i="5"/>
  <c r="M17" i="5"/>
  <c r="O16" i="5"/>
  <c r="N16" i="5"/>
  <c r="M16" i="5"/>
  <c r="O15" i="5"/>
  <c r="N15" i="5"/>
  <c r="M15" i="5"/>
  <c r="O14" i="5"/>
  <c r="N14" i="5"/>
  <c r="M14" i="5"/>
  <c r="O13" i="5"/>
  <c r="N13" i="5"/>
  <c r="M13" i="5"/>
  <c r="O12" i="5"/>
  <c r="N12" i="5"/>
  <c r="M12" i="5"/>
  <c r="O11" i="5"/>
  <c r="N11" i="5"/>
  <c r="M11" i="5"/>
  <c r="O10" i="5"/>
  <c r="N10" i="5"/>
  <c r="M10" i="5"/>
  <c r="O9" i="5"/>
  <c r="N9" i="5"/>
  <c r="M9" i="5"/>
  <c r="O8" i="5"/>
  <c r="N8" i="5"/>
  <c r="M8" i="5"/>
  <c r="O7" i="5"/>
  <c r="N7" i="5"/>
  <c r="M7" i="5"/>
  <c r="O6" i="5"/>
  <c r="N6" i="5"/>
  <c r="M6" i="5"/>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3" i="12" l="1"/>
  <c r="M13" i="12"/>
  <c r="M5" i="12"/>
  <c r="F11" i="10"/>
  <c r="M58" i="12"/>
  <c r="M50" i="12"/>
  <c r="N47" i="12"/>
  <c r="M42" i="12"/>
  <c r="N39" i="12"/>
  <c r="M34" i="12"/>
  <c r="N31" i="12"/>
  <c r="M26" i="12"/>
  <c r="N23" i="12"/>
  <c r="O20" i="12"/>
  <c r="M18" i="12"/>
  <c r="N15" i="12"/>
  <c r="O12" i="12"/>
  <c r="M10" i="12"/>
  <c r="N7" i="12"/>
  <c r="O4" i="12"/>
  <c r="O5" i="17"/>
  <c r="M11" i="17"/>
  <c r="O33" i="12"/>
  <c r="O25" i="12"/>
  <c r="O17" i="12"/>
  <c r="O9" i="12"/>
  <c r="M29" i="12"/>
  <c r="D9" i="10"/>
  <c r="G9" i="10" s="1"/>
  <c r="N57" i="12"/>
  <c r="N49" i="12"/>
  <c r="N41" i="12"/>
  <c r="N33" i="12"/>
  <c r="N25" i="12"/>
  <c r="N17" i="12"/>
  <c r="N9" i="12"/>
  <c r="O6" i="12"/>
  <c r="M7" i="17"/>
  <c r="O59" i="12"/>
  <c r="O35" i="12"/>
  <c r="O27" i="12"/>
  <c r="O19" i="12"/>
  <c r="O11" i="12"/>
  <c r="D11" i="11"/>
  <c r="G11" i="11" s="1"/>
  <c r="D14" i="11"/>
  <c r="G14" i="11" s="1"/>
  <c r="N59" i="12"/>
  <c r="O56" i="12"/>
  <c r="N51" i="12"/>
  <c r="O48" i="12"/>
  <c r="N43" i="12"/>
  <c r="O40" i="12"/>
  <c r="N35" i="12"/>
  <c r="O32" i="12"/>
  <c r="N27" i="12"/>
  <c r="O24" i="12"/>
  <c r="N19" i="12"/>
  <c r="O16" i="12"/>
  <c r="N11" i="12"/>
  <c r="O8" i="12"/>
  <c r="D9" i="15"/>
  <c r="G9" i="15" s="1"/>
  <c r="D12" i="15"/>
  <c r="G12" i="15" s="1"/>
  <c r="M3" i="17"/>
  <c r="M2" i="17" s="1"/>
  <c r="M45" i="12"/>
  <c r="O53" i="12"/>
  <c r="N48" i="12"/>
  <c r="O45" i="12"/>
  <c r="N40" i="12"/>
  <c r="O37" i="12"/>
  <c r="N32" i="12"/>
  <c r="O29" i="12"/>
  <c r="N24" i="12"/>
  <c r="O21" i="12"/>
  <c r="N16" i="12"/>
  <c r="O13" i="12"/>
  <c r="N8" i="12"/>
  <c r="O5" i="12"/>
  <c r="M37" i="12"/>
  <c r="M21" i="12"/>
  <c r="E1" i="15"/>
  <c r="F1" i="15"/>
  <c r="N2" i="12"/>
  <c r="F1" i="14" s="1"/>
  <c r="N6" i="17"/>
  <c r="O4" i="17"/>
  <c r="O6" i="17"/>
  <c r="O8" i="17"/>
  <c r="O10" i="17"/>
  <c r="N8" i="17"/>
  <c r="N10" i="17"/>
  <c r="N3" i="17"/>
  <c r="N5" i="17"/>
  <c r="N7" i="17"/>
  <c r="N9" i="17"/>
  <c r="N11" i="17"/>
  <c r="N4" i="17"/>
  <c r="F16" i="15"/>
  <c r="D18" i="15"/>
  <c r="G18" i="15" s="1"/>
  <c r="D13" i="15"/>
  <c r="G13" i="15" s="1"/>
  <c r="D10" i="15"/>
  <c r="G10" i="15" s="1"/>
  <c r="D14" i="15"/>
  <c r="G14" i="15" s="1"/>
  <c r="D13" i="14"/>
  <c r="G13" i="14" s="1"/>
  <c r="D10" i="14"/>
  <c r="G10" i="14" s="1"/>
  <c r="D14" i="14"/>
  <c r="G14" i="14" s="1"/>
  <c r="D13" i="13"/>
  <c r="G13" i="13" s="1"/>
  <c r="D14" i="13"/>
  <c r="G14" i="13" s="1"/>
  <c r="D10" i="13"/>
  <c r="G10" i="13" s="1"/>
  <c r="M3" i="12"/>
  <c r="D12" i="11"/>
  <c r="G12" i="11" s="1"/>
  <c r="F17" i="10"/>
  <c r="D13" i="10"/>
  <c r="G13" i="10" s="1"/>
  <c r="D10" i="10"/>
  <c r="G10" i="10" s="1"/>
  <c r="A53" i="9"/>
  <c r="A52" i="9"/>
  <c r="A51" i="9"/>
  <c r="A50" i="9"/>
  <c r="A49" i="9"/>
  <c r="A48" i="9"/>
  <c r="A47" i="9"/>
  <c r="A46" i="9"/>
  <c r="A45" i="9"/>
  <c r="A44" i="9"/>
  <c r="A43" i="9"/>
  <c r="A42" i="9"/>
  <c r="A41" i="9"/>
  <c r="A40" i="9"/>
  <c r="A39" i="9"/>
  <c r="A38" i="9"/>
  <c r="A37" i="9"/>
  <c r="A36" i="9"/>
  <c r="A35" i="9"/>
  <c r="A34" i="9"/>
  <c r="A33" i="9"/>
  <c r="A32" i="9"/>
  <c r="A31" i="9"/>
  <c r="A30" i="9"/>
  <c r="A29" i="9"/>
  <c r="A28" i="9"/>
  <c r="A27" i="9"/>
  <c r="A26" i="9"/>
  <c r="A25" i="9"/>
  <c r="A24" i="9"/>
  <c r="A23" i="9"/>
  <c r="A22" i="9"/>
  <c r="A21" i="9"/>
  <c r="A20" i="9"/>
  <c r="A19" i="9"/>
  <c r="A18" i="9"/>
  <c r="A17" i="9"/>
  <c r="A16" i="9"/>
  <c r="A15" i="9"/>
  <c r="A14" i="9"/>
  <c r="A13" i="9"/>
  <c r="A12" i="9"/>
  <c r="A11" i="9"/>
  <c r="A10" i="9"/>
  <c r="A9" i="9"/>
  <c r="A8" i="9"/>
  <c r="A7" i="9"/>
  <c r="A6" i="9"/>
  <c r="A5" i="9"/>
  <c r="A4" i="9"/>
  <c r="A3" i="9"/>
  <c r="N17" i="9" l="1"/>
  <c r="M17" i="9"/>
  <c r="O17" i="9"/>
  <c r="O2" i="17"/>
  <c r="O2" i="12"/>
  <c r="G1" i="14" s="1"/>
  <c r="O10" i="9"/>
  <c r="N10" i="9"/>
  <c r="M10" i="9"/>
  <c r="O11" i="9"/>
  <c r="N11" i="9"/>
  <c r="M11" i="9"/>
  <c r="O19" i="9"/>
  <c r="N19" i="9"/>
  <c r="M19" i="9"/>
  <c r="M20" i="9"/>
  <c r="N20" i="9"/>
  <c r="O20" i="9"/>
  <c r="N5" i="9"/>
  <c r="O5" i="9"/>
  <c r="M5" i="9"/>
  <c r="O21" i="9"/>
  <c r="N21" i="9"/>
  <c r="M21" i="9"/>
  <c r="N9" i="9"/>
  <c r="O9" i="9"/>
  <c r="M9" i="9"/>
  <c r="N18" i="9"/>
  <c r="O18" i="9"/>
  <c r="M18" i="9"/>
  <c r="O3" i="9"/>
  <c r="N3" i="9"/>
  <c r="M3" i="9"/>
  <c r="M4" i="9"/>
  <c r="N4" i="9"/>
  <c r="O4" i="9"/>
  <c r="M2" i="12"/>
  <c r="E1" i="11" s="1"/>
  <c r="O7" i="9"/>
  <c r="N7" i="9"/>
  <c r="M7" i="9"/>
  <c r="O15" i="9"/>
  <c r="M15" i="9"/>
  <c r="N15" i="9"/>
  <c r="G1" i="15"/>
  <c r="M12" i="9"/>
  <c r="N12" i="9"/>
  <c r="O12" i="9"/>
  <c r="M13" i="9"/>
  <c r="O13" i="9"/>
  <c r="N13" i="9"/>
  <c r="O6" i="9"/>
  <c r="N6" i="9"/>
  <c r="M6" i="9"/>
  <c r="O14" i="9"/>
  <c r="N14" i="9"/>
  <c r="M14" i="9"/>
  <c r="O8" i="9"/>
  <c r="N8" i="9"/>
  <c r="M8" i="9"/>
  <c r="N16" i="9"/>
  <c r="M16" i="9"/>
  <c r="O16" i="9"/>
  <c r="N2" i="17"/>
  <c r="F1" i="11"/>
  <c r="G1" i="11" l="1"/>
  <c r="E1" i="14"/>
  <c r="M2" i="9"/>
  <c r="N2" i="9"/>
  <c r="O2" i="9"/>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2" i="8"/>
  <c r="A11" i="8"/>
  <c r="A10" i="8"/>
  <c r="A9" i="8"/>
  <c r="A8" i="8"/>
  <c r="A7" i="8"/>
  <c r="A6" i="8"/>
  <c r="A5" i="8"/>
  <c r="A4" i="8"/>
  <c r="A3" i="8"/>
  <c r="M7" i="8" l="1"/>
  <c r="O7" i="8"/>
  <c r="N7" i="8"/>
  <c r="M11" i="8"/>
  <c r="O11" i="8"/>
  <c r="N11" i="8"/>
  <c r="M4" i="8"/>
  <c r="N4" i="8"/>
  <c r="O4" i="8"/>
  <c r="M5" i="8"/>
  <c r="O5" i="8"/>
  <c r="N5" i="8"/>
  <c r="M6" i="8"/>
  <c r="O6" i="8"/>
  <c r="N6" i="8"/>
  <c r="M8" i="8"/>
  <c r="N8" i="8"/>
  <c r="O8" i="8"/>
  <c r="M3" i="8"/>
  <c r="N3" i="8"/>
  <c r="O3" i="8"/>
  <c r="M9" i="8"/>
  <c r="O9" i="8"/>
  <c r="N9" i="8"/>
  <c r="M10" i="8"/>
  <c r="N10" i="8"/>
  <c r="O10" i="8"/>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M5" i="6" l="1"/>
  <c r="O5" i="6"/>
  <c r="N5" i="6"/>
  <c r="O2" i="8"/>
  <c r="G1" i="13" s="1"/>
  <c r="M3" i="5"/>
  <c r="O3" i="5"/>
  <c r="N3" i="5"/>
  <c r="N2" i="8"/>
  <c r="F1" i="13" s="1"/>
  <c r="N4" i="5"/>
  <c r="M4" i="5"/>
  <c r="O4" i="5"/>
  <c r="M2" i="8"/>
  <c r="O6" i="6"/>
  <c r="N6" i="6"/>
  <c r="M6" i="6"/>
  <c r="M4" i="6"/>
  <c r="N4" i="6"/>
  <c r="O4" i="6"/>
  <c r="O5" i="5"/>
  <c r="N5" i="5"/>
  <c r="M5" i="5"/>
  <c r="O3" i="6"/>
  <c r="O2" i="6" s="1"/>
  <c r="N3" i="6"/>
  <c r="M3" i="6"/>
  <c r="G8" i="3"/>
  <c r="G7" i="3"/>
  <c r="G6" i="3"/>
  <c r="G5" i="3"/>
  <c r="G4" i="3"/>
  <c r="G3" i="3"/>
  <c r="G2" i="3"/>
  <c r="F8" i="3"/>
  <c r="F7" i="3"/>
  <c r="F6" i="3"/>
  <c r="F5" i="3"/>
  <c r="F4" i="3"/>
  <c r="F3" i="3"/>
  <c r="F2" i="3"/>
  <c r="E4" i="3"/>
  <c r="E3" i="3"/>
  <c r="E2" i="3"/>
  <c r="E8" i="3"/>
  <c r="E5" i="3"/>
  <c r="E6" i="3"/>
  <c r="E7" i="3"/>
  <c r="G1" i="10" l="1"/>
  <c r="N2" i="6"/>
  <c r="F1" i="10" s="1"/>
  <c r="M2" i="6"/>
  <c r="E1" i="10" s="1"/>
  <c r="N2" i="5"/>
  <c r="M2" i="5"/>
  <c r="O2" i="5"/>
  <c r="E1" i="13"/>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3" i="1"/>
  <c r="G10" i="3" l="1"/>
  <c r="F10" i="3"/>
  <c r="O3" i="1"/>
  <c r="N3" i="1"/>
  <c r="M3" i="1"/>
  <c r="M2" i="1" s="1"/>
  <c r="N4" i="1"/>
  <c r="N2" i="1" s="1"/>
  <c r="M4" i="1"/>
  <c r="O4" i="1"/>
  <c r="O2" i="1" s="1"/>
  <c r="G12" i="3"/>
  <c r="F12" i="3"/>
  <c r="G9" i="3"/>
  <c r="F9" i="3"/>
  <c r="G11" i="3"/>
  <c r="F11" i="3"/>
</calcChain>
</file>

<file path=xl/sharedStrings.xml><?xml version="1.0" encoding="utf-8"?>
<sst xmlns="http://schemas.openxmlformats.org/spreadsheetml/2006/main" count="1792" uniqueCount="1046">
  <si>
    <t>English</t>
  </si>
  <si>
    <t>Español</t>
  </si>
  <si>
    <t>Française</t>
  </si>
  <si>
    <t>Index</t>
  </si>
  <si>
    <t>index</t>
  </si>
  <si>
    <t>image</t>
  </si>
  <si>
    <t>url</t>
  </si>
  <si>
    <t>title</t>
  </si>
  <si>
    <t>text</t>
  </si>
  <si>
    <t>description</t>
  </si>
  <si>
    <t>keywords</t>
  </si>
  <si>
    <t>author</t>
  </si>
  <si>
    <t>publisher</t>
  </si>
  <si>
    <t>twitter_creator</t>
  </si>
  <si>
    <t>Medical tourism</t>
  </si>
  <si>
    <t>torreon</t>
  </si>
  <si>
    <t>laguna</t>
  </si>
  <si>
    <t>mexico</t>
  </si>
  <si>
    <t>packages</t>
  </si>
  <si>
    <t>Suresh Kumar Gadi</t>
  </si>
  <si>
    <t>https://plus.google.com/+SureshKumarGadi/posts</t>
  </si>
  <si>
    <t>https://lagunamedicalcenter.com/images/logo.jpg</t>
  </si>
  <si>
    <t>@SureshKumarGadi</t>
  </si>
  <si>
    <t>Tourisme médical</t>
  </si>
  <si>
    <t>Mexique</t>
  </si>
  <si>
    <t>Turismo médico</t>
  </si>
  <si>
    <t>button</t>
  </si>
  <si>
    <t>We Care For You</t>
  </si>
  <si>
    <t>El Laguna Medical Center nos preocupamos por ti y es por eso que contamos solo con los mejores y más calificados miembros para darte el mejor servicio.</t>
  </si>
  <si>
    <t>El Clúster esta ubicado en la Región Lagunera en México y está conformado por hospitales públicos y privados de la región Lagunera, así como empresas turísticas.</t>
  </si>
  <si>
    <t>We Provide Healthcare Solutions</t>
  </si>
  <si>
    <t>Nous prenons soin de vous</t>
  </si>
  <si>
    <t>Nous fournissons des solutions de soins de santé</t>
  </si>
  <si>
    <t>Nos preocupamos por ti</t>
  </si>
  <si>
    <t>Brindamos Soluciones de Salud</t>
  </si>
  <si>
    <t>The Laguna Medical Center we care about you and that is why we have only the best and most qualified members to give you the best service.</t>
  </si>
  <si>
    <t>The Cluster is located in the Lagunera Region of Mexico and is made up of public and private hospitals in the Lagunera region, as well as tourist companies.</t>
  </si>
  <si>
    <t>Le centre médical Laguna nous nous soucions de vous et c’est pourquoi nous ne disposons que des membres les meilleurs et les plus qualifiés pour vous offrir le meilleur service.</t>
  </si>
  <si>
    <t>Le cluster est situé dans la région de Lagunera au Mexique et comprend des hôpitaux publics et privés de la région de Lagunera, ainsi que des entreprises de tourisme.</t>
  </si>
  <si>
    <t>flaticon-hospital-bed</t>
  </si>
  <si>
    <t>flaticon-first-aid-kit</t>
  </si>
  <si>
    <t>flaticon-hospital</t>
  </si>
  <si>
    <t>/medical-procedures/</t>
  </si>
  <si>
    <t>/members/</t>
  </si>
  <si>
    <t>Procedimientos y Tratamientos</t>
  </si>
  <si>
    <t>Plataforma</t>
  </si>
  <si>
    <t>Directorio de hospitales y clínicas</t>
  </si>
  <si>
    <t>Contamos con una amplia variedad de procedimientos y especialidades disponibles para mejorar tu calidad de vida.</t>
  </si>
  <si>
    <t>Listado de los servicios más requeridos por los pacientes.</t>
  </si>
  <si>
    <t>Contamos con los hospitales y médicos mejor calificados para darte el mejor servicio que necesitas.</t>
  </si>
  <si>
    <t>Llévame a la plataforma</t>
  </si>
  <si>
    <t>Lee mas</t>
  </si>
  <si>
    <t>Take me to the platform</t>
  </si>
  <si>
    <t>Read more</t>
  </si>
  <si>
    <t>Procedures and Treatments</t>
  </si>
  <si>
    <t>Platform</t>
  </si>
  <si>
    <t>Directory of hospitals and clinics</t>
  </si>
  <si>
    <t>We have a wide variety of procedures and specialties available to improve your quality of life.</t>
  </si>
  <si>
    <t>List of the most requested services by patients.</t>
  </si>
  <si>
    <t>We have the best qualified hospitals and doctors to give you the best service you need.</t>
  </si>
  <si>
    <t>Nous disposons d'une grande variété de procédures et de spécialités pour améliorer votre qualité de vie.</t>
  </si>
  <si>
    <t>Liste des services les plus demandés par les patients.</t>
  </si>
  <si>
    <t>Nous avons les hôpitaux et les médecins les mieux qualifiés pour vous offrir le meilleur service possible.</t>
  </si>
  <si>
    <t>Lire plus</t>
  </si>
  <si>
    <t>Emmenez-moi à la plate-forme</t>
  </si>
  <si>
    <t>Procédures et Traitements</t>
  </si>
  <si>
    <t>Plate-forme</t>
  </si>
  <si>
    <t>Annuaire des hôpitaux et des cliniques</t>
  </si>
  <si>
    <t>/platform/profile/</t>
  </si>
  <si>
    <t>Nuestros miembros</t>
  </si>
  <si>
    <t>Laguna Medical Center cuenta solamente con los mejores y más capacitados miembros para brindarte un servicio de la más alta calidad.</t>
  </si>
  <si>
    <t>Nos membres</t>
  </si>
  <si>
    <t>Le centre médical Laguna ne compte que les membres les meilleurs et les plus qualifiés pour vous fournir un service de la plus haute qualité.</t>
  </si>
  <si>
    <t>Our members</t>
  </si>
  <si>
    <t>Laguna Medical Center has only the best and most qualified members to provide you with the highest quality service.</t>
  </si>
  <si>
    <t>flaticon-heart-rate</t>
  </si>
  <si>
    <t>Procedimientos médicos</t>
  </si>
  <si>
    <t>Conoce todos los procedimientos que Laguna Medical Center tiene para ofrecer.</t>
  </si>
  <si>
    <t>Miembros</t>
  </si>
  <si>
    <t>Paquetes</t>
  </si>
  <si>
    <t>Entra a nuestra plataforma personalizada para cotizar tu tratamiento o ponerte en contacto con alguien de nuestro equipo para más información.</t>
  </si>
  <si>
    <t>/packages/</t>
  </si>
  <si>
    <t>Más información</t>
  </si>
  <si>
    <t>Medical procedures</t>
  </si>
  <si>
    <t>Members</t>
  </si>
  <si>
    <t>Procédures médicales</t>
  </si>
  <si>
    <t>Les membres</t>
  </si>
  <si>
    <t>Forfaits</t>
  </si>
  <si>
    <t>Connaître toutes les procédures que le centre médical Laguna a à offrir.</t>
  </si>
  <si>
    <t>Rencontrez toutes les entreprises qui font partie de ce projet.</t>
  </si>
  <si>
    <t>Consultez nos coûts ou indiquez l'opération dont vous avez besoin.</t>
  </si>
  <si>
    <t>Entrez sur notre plateforme personnalisée pour citer votre traitement ou contactez un membre de notre équipe pour plus d'informations.</t>
  </si>
  <si>
    <t>Know all the procedures that Laguna Medical Center has to offer.</t>
  </si>
  <si>
    <t>Meet all the companies that are part of this project.</t>
  </si>
  <si>
    <t>Check our costs or quote the surgery you need.</t>
  </si>
  <si>
    <t>Enter our personalized platform to quote your treatment or get in touch with someone from our team for more information.</t>
  </si>
  <si>
    <t>More information</t>
  </si>
  <si>
    <t>Plus d'informations</t>
  </si>
  <si>
    <t>/images/members/hospital-angeles.jpg</t>
  </si>
  <si>
    <t>/images/members/sanatorio-espanol.png</t>
  </si>
  <si>
    <t>/images/members/hospital-universitario.jpg</t>
  </si>
  <si>
    <t>/images/members/hospital-andalucia.png</t>
  </si>
  <si>
    <t>/images/members/clinica-magisterio.jpg</t>
  </si>
  <si>
    <t>/images/members/hospital-mujer.png</t>
  </si>
  <si>
    <t>/images/members/club-leones.png</t>
  </si>
  <si>
    <t>/images/members/sanatorio-san-jose.png</t>
  </si>
  <si>
    <t>/images/members/condomedics.png</t>
  </si>
  <si>
    <t>https://hospitalesangeles.com/torreon/</t>
  </si>
  <si>
    <t>https://www.sanatorio.com.mx/</t>
  </si>
  <si>
    <t>http://www.uadec.mx/hgut/</t>
  </si>
  <si>
    <t>http://clinicaandalucia.com.mx/index.php</t>
  </si>
  <si>
    <t>http://www.smsecc38.gob.mx/index.php/unidadtorreon</t>
  </si>
  <si>
    <t>http://www.hospitalcentromedicodelamujer.com/</t>
  </si>
  <si>
    <t>http://clubdeleones.com.mx/</t>
  </si>
  <si>
    <t>http://www.sanatoriosanjose.com/</t>
  </si>
  <si>
    <t>https://www.condomedics.com.mx/</t>
  </si>
  <si>
    <t xml:space="preserve">Hospital Ángeles Torreón </t>
  </si>
  <si>
    <t>Sanatorio Español</t>
  </si>
  <si>
    <t>Hospital Universitario</t>
  </si>
  <si>
    <t>Hospital Andalucia</t>
  </si>
  <si>
    <t>Clínica del Magisterio</t>
  </si>
  <si>
    <t xml:space="preserve">Hospital Centro Médico de la Mujer </t>
  </si>
  <si>
    <t>Hospital Club De Leones</t>
  </si>
  <si>
    <t>Sanatorio San Jose</t>
  </si>
  <si>
    <t>Condomedic's</t>
  </si>
  <si>
    <t>La angiología es la especialidad médica que se encarga del estudio de los vasos del sistema circulatorio y del sistema linfático; incluyendo la anatomía de los vasos sanguíneos y la de los linfáticos, además de sus enfermedades. </t>
  </si>
  <si>
    <t>La cardiología es la rama de la medicina que se encarga del estudio, diagnóstico y tratamiento de las enfermedades del corazón y del aparato circulatorio.</t>
  </si>
  <si>
    <t xml:space="preserve">La cirugía plástica es la especialidad médica que tiene por objeto la corrección y mejoramiento de anormalidades de origen congénito, adquirido, tumoral o involutiva que requieran reparación o reposición de la forma corporal y su función. </t>
  </si>
  <si>
    <t>La angiología y cirugía vascular es una especialidad médico-quirúrgica dedicada al estudio, prevención, diagnóstico clínico e instrumental y tratamiento de la patología vascular.</t>
  </si>
  <si>
    <t>La endoscopia es una técnica diagnóstica, de la rama de la medicina, que consiste en la introducción de una cámara o lente dentro de un tubo o endoscopio a través de un orificio natural.</t>
  </si>
  <si>
    <t>Ginecología que significa literalmente ciencia de la mujer y en medicina hace referencia a la especialidad médica y quirúrgica que trata las enfermedades del sistema reproductor femenino.</t>
  </si>
  <si>
    <t>Cirugía Oncológica es la especialidad médica que se dedica al diagnóstico y tratamiento quirúrgico de los tumores, además del estudio del cáncer.</t>
  </si>
  <si>
    <t>La odontología es una de las ciencias de la salud que se encarga del diagnóstico, tratamiento y prevención de las enfermedades del aparato estomatognático.</t>
  </si>
  <si>
    <t>La neurocirugía es la especialidad médica que se encarga del manejo quirúrgico de determinadas enfermedades del sistema nervioso central, periférico y vegetativo, incluyendo sus estructuras vasculares.</t>
  </si>
  <si>
    <t>La cirugía general es la especialidad médica de clase quirúrgica que abarca las operaciones del aparato digestivo; incluyendo el tracto gastrointestinal y el sistema hepato-bilio-pancreático, el sistema endocrino.</t>
  </si>
  <si>
    <t>La nefrología es la especialidad médica rama de la medicina interna que se ocupa del estudio de la estructura y la función renal, tanto en la salud como en la enfermedad, incluyendo la prevención y tratamiento de las enfermedades renales.</t>
  </si>
  <si>
    <t xml:space="preserve">La neurología es la especialidad médica que trata los trastornos del sistema nervioso.​ </t>
  </si>
  <si>
    <t xml:space="preserve">La Oftalmología ​​ es la especialidad médica que estudia las enfermedades de ojo y su tratamiento, incluyendo el globo ocular, su musculatura, el sistema lagrimal y los párpados. </t>
  </si>
  <si>
    <t>La otorrinolaringología es la especialidad médica que se encarga del estudio de las enfermedades del oído.</t>
  </si>
  <si>
    <t>Rama de la medicina especializada en el diagnóstico y tratamiento del cáncer. Incluye la oncología médica, la radioncología  y la oncología quirúrgica.</t>
  </si>
  <si>
    <t xml:space="preserve">La coloproctología, llamada también proctología, es la especialidad de la medicina derivada de la cirugía general que brinda diagnóstico y tratamiento quirúrgico y no quirúrgico de las enfermedades del colon, recto y ano.​ </t>
  </si>
  <si>
    <t>La reumatología es una especialidad médica dedicada a los trastornos médicos del aparato locomotor y del tejido conectivo.</t>
  </si>
  <si>
    <t>Es la rama de la medicina que se dedica al estudio de las lesiones del aparato locomotor.</t>
  </si>
  <si>
    <t>La urología es la especialidad médico-quirúrgica que se ocupa del estudio, diagnóstico y tratamiento de las patologías que afectan al aparato urinario, glándulas suprarrenales y retroperitoneo del hombre, así como el aparato reproductor masculino.</t>
  </si>
  <si>
    <t>Angiología</t>
  </si>
  <si>
    <t>Cardiología</t>
  </si>
  <si>
    <t>Cirugía Plastica</t>
  </si>
  <si>
    <t>Cirugía Vascular</t>
  </si>
  <si>
    <t>Endoscopia</t>
  </si>
  <si>
    <t>Ginecología</t>
  </si>
  <si>
    <t>Cirugía Oncologíca</t>
  </si>
  <si>
    <t>Odontología</t>
  </si>
  <si>
    <t>Neurocirugía</t>
  </si>
  <si>
    <t>Cirugía General</t>
  </si>
  <si>
    <t>Nefrología</t>
  </si>
  <si>
    <t>Neurología</t>
  </si>
  <si>
    <t>Oftalmología</t>
  </si>
  <si>
    <t>Otorrinolaringologia</t>
  </si>
  <si>
    <t>Oncología</t>
  </si>
  <si>
    <t>Proctología</t>
  </si>
  <si>
    <t>Reumatología</t>
  </si>
  <si>
    <t>Traumatología</t>
  </si>
  <si>
    <t>Urología</t>
  </si>
  <si>
    <t>Angiologie</t>
  </si>
  <si>
    <t>Cardiologie</t>
  </si>
  <si>
    <t>Chirurgie plastique</t>
  </si>
  <si>
    <t>Chirurgie vasculaire</t>
  </si>
  <si>
    <t>Endoscopie</t>
  </si>
  <si>
    <t>Gynécologie</t>
  </si>
  <si>
    <t>Chirurgie Oncologique</t>
  </si>
  <si>
    <t>Dentisterie</t>
  </si>
  <si>
    <t>Neurochirurgie</t>
  </si>
  <si>
    <t>Chirurgie générale</t>
  </si>
  <si>
    <t>Néphrologie</t>
  </si>
  <si>
    <t>Neurologie</t>
  </si>
  <si>
    <t>Ophtalmologie</t>
  </si>
  <si>
    <t>Otolaryngologie</t>
  </si>
  <si>
    <t>Oncologie</t>
  </si>
  <si>
    <t>La proctologie</t>
  </si>
  <si>
    <t>Rhumatologie</t>
  </si>
  <si>
    <t>Traumatologie</t>
  </si>
  <si>
    <t>Urologie</t>
  </si>
  <si>
    <t>Angiology</t>
  </si>
  <si>
    <t>Cardiology</t>
  </si>
  <si>
    <t>Plastic surgery</t>
  </si>
  <si>
    <t>Vascular surgery</t>
  </si>
  <si>
    <t>Endoscopy</t>
  </si>
  <si>
    <t>Gynecology</t>
  </si>
  <si>
    <t>Oncologic surgery</t>
  </si>
  <si>
    <t>odontology</t>
  </si>
  <si>
    <t>Neurosurgery</t>
  </si>
  <si>
    <t>General Surgery</t>
  </si>
  <si>
    <t>Nephrology</t>
  </si>
  <si>
    <t>Neurology</t>
  </si>
  <si>
    <t>Ophthalmology</t>
  </si>
  <si>
    <t>Otorhinolaryngology</t>
  </si>
  <si>
    <t>Oncology</t>
  </si>
  <si>
    <t>Proctology</t>
  </si>
  <si>
    <t>Rheumatology</t>
  </si>
  <si>
    <t>Traumatology</t>
  </si>
  <si>
    <t>Urology</t>
  </si>
  <si>
    <t>Angiology is the medical specialty that is responsible for the study of the vessels of the circulatory system and the lymphatic system; including the anatomy of the blood vessels and the lymphatics, in addition to their diseases.</t>
  </si>
  <si>
    <t>Cardiology is the branch of medicine that is responsible for the study, diagnosis and treatment of diseases of the heart and the circulatory system.</t>
  </si>
  <si>
    <t>Plastic surgery is the medical specialty that aims to correct and improve abnormalities of congenital, acquired, tumoral or involutive origin that require repair or replacement of the body form and its function.</t>
  </si>
  <si>
    <t>Angiology and vascular surgery is a medical-surgical specialty dedicated to the study, prevention, clinical and instrumental diagnosis and treatment of vascular pathology.</t>
  </si>
  <si>
    <t>Endoscopy is a diagnostic technique, of the branch of medicine, which involves the introduction of a camera or lens into a tube or endoscope through a natural orifice.</t>
  </si>
  <si>
    <t>Gynecology which literally means women's science and in medicine refers to the medical and surgical specialty that treats diseases of the female reproductive system.</t>
  </si>
  <si>
    <t>Oncological Surgery is the medical specialty that is dedicated to the diagnosis and surgical treatment of tumors, in addition to the study of cancer.</t>
  </si>
  <si>
    <t>Dentistry is one of the health sciences that deals with the diagnosis, treatment and prevention of diseases of the stomatognathic system.</t>
  </si>
  <si>
    <t>Neurosurgery is the medical specialty that is responsible for the surgical management of certain diseases of the central nervous system, peripheral and vegetative, including their vascular structures.</t>
  </si>
  <si>
    <t>General surgery is the medical specialty of surgical class that covers the operations of the digestive system; including the gastrointestinal tract and the hepato-bilio-pancreatic system, the endocrine system.</t>
  </si>
  <si>
    <t>Nephrology is the medical specialty branch of internal medicine that deals with the study of renal structure and function, both in health and disease, including the prevention and treatment of kidney diseases.</t>
  </si>
  <si>
    <t>Neurology is the medical specialty that treats nervous system disorders.</t>
  </si>
  <si>
    <t>Ophthalmology is the medical specialty that studies eye diseases and their treatment, including the eyeball, its musculature, the lacrimal system and the eyelids.</t>
  </si>
  <si>
    <t>Otolaryngology is the medical specialty that deals with the study of ear diseases.</t>
  </si>
  <si>
    <t>Branch of medicine specialized in the diagnosis and treatment of cancer. It includes medical oncology, radionics and surgical oncology.</t>
  </si>
  <si>
    <t>Coloproctology, also called proctology, is the specialty of medicine derived from general surgery that provides diagnosis and surgical and non-surgical treatment of diseases of the colon, rectum and anus.</t>
  </si>
  <si>
    <t>Rheumatology is a medical specialty dedicated to the medical disorders of the locomotor system and connective tissue.</t>
  </si>
  <si>
    <t>It is the branch of medicine that is dedicated to the study of injuries of the locomotor system.</t>
  </si>
  <si>
    <t>Urology is the medical-surgical specialty that deals with the study, diagnosis and treatment of pathologies that affect the urinary system, adrenal glands and retroperitoneum of man, as well as the male reproductive system.</t>
  </si>
  <si>
    <t>L'angiologie est la spécialité médicale responsable de l'étude des vaisseaux du système circulatoire et du système lymphatique; y compris l'anatomie des vaisseaux sanguins et des lymphatiques, en plus de leurs maladies.</t>
  </si>
  <si>
    <t>La cardiologie est la branche de la médecine responsable de l’étude, du diagnostic et du traitement des maladies du coeur et du système circulatoire.</t>
  </si>
  <si>
    <t>La chirurgie plastique est la spécialité médicale qui vise à corriger et à améliorer les anomalies d'origine congénitale, acquise, tumorale ou involutive nécessitant une réparation ou un remplacement de la forme corporelle et de sa fonction.</t>
  </si>
  <si>
    <t>L'angiologie et la chirurgie vasculaire sont une spécialité médico-chirurgicale dédiée à l'étude, à la prévention, au diagnostic clinique et instrumental et au traitement de la pathologie vasculaire.</t>
  </si>
  <si>
    <t>L'endoscopie est une technique de diagnostic, de la branche de la médecine, qui consiste à introduire une caméra ou une lentille dans un tube ou un endoscope à travers un orifice naturel.</t>
  </si>
  <si>
    <t>La chirurgie oncologique est la spécialité médicale dédiée au diagnostic et au traitement chirurgical des tumeurs, en plus de l’étude du cancer.</t>
  </si>
  <si>
    <t>La dentisterie est l’une des sciences de la santé qui traite du diagnostic, du traitement et de la prévention des maladies du système stomatognathique.</t>
  </si>
  <si>
    <t>La neurochirurgie est la spécialité médicale responsable du traitement chirurgical de certaines maladies du système nerveux central, périphériques et végétatives, y compris leurs structures vasculaires.</t>
  </si>
  <si>
    <t>La chirurgie générale est la spécialité médicale de la classe de chirurgie qui couvre les opérations du système digestif; y compris le tractus gastro-intestinal et le système hépato-bilio-pancréatique, le système endocrinien.</t>
  </si>
  <si>
    <t>La néphrologie est la branche de la médecine interne spécialisée en médecine qui étudie la structure et la fonction rénale, tant sur le plan de la santé que des maladies, y compris la prévention et le traitement des maladies du rein.</t>
  </si>
  <si>
    <t>La neurologie est la spécialité médicale qui traite les troubles du système nerveux.</t>
  </si>
  <si>
    <t>L'ophtalmologie est la spécialité médicale qui étudie les maladies des yeux et leur traitement, notamment le globe oculaire, sa musculature, le système lacrymal et les paupières.</t>
  </si>
  <si>
    <t>L'otorhinolaryngologie est la spécialité médicale qui étudie les maladies de l'oreille.</t>
  </si>
  <si>
    <t>Branche de médecine spécialisée dans le diagnostic et le traitement du cancer. Il comprend l'oncologie médicale, la radionique et l'oncologie chirurgicale.</t>
  </si>
  <si>
    <t>La coloproctologie, également appelée proctologie, est la spécialité de la médecine dérivée de la chirurgie générale qui permet le diagnostic et le traitement chirurgical et non chirurgical des maladies du côlon, du rectum et de l'anus.</t>
  </si>
  <si>
    <t>La rhumatologie est une spécialité médicale dédiée aux troubles médicaux du système locomoteur et du tissu conjonctif.</t>
  </si>
  <si>
    <t>C'est la branche de la médecine qui se consacre à l'étude des blessures du système locomoteur.</t>
  </si>
  <si>
    <t>L'urologie est la spécialité médico-chirurgicale qui étudie, diagnostique et traite les pathologies touchant le système urinaire, les glandes surrénales et le rétropéritoine de l'homme, ainsi que le système reproducteur masculin.</t>
  </si>
  <si>
    <t>/img/slider-1.jpg</t>
  </si>
  <si>
    <t>La gynécologie, qui signifie littéralement 'science des femmes' et en médecine, fait référence à la spécialité médicale et chirurgicale qui traite les maladies du système reproducteur féminin.</t>
  </si>
  <si>
    <t>/images/medical-specialties/angiologia.jpg</t>
  </si>
  <si>
    <t>/images/medical-specialties/cardiologia.jpg</t>
  </si>
  <si>
    <t>/images/medical-specialties/cirugia-plastica.jpg</t>
  </si>
  <si>
    <t>/images/medical-specialties/cirugia-vascular.jpg</t>
  </si>
  <si>
    <t>/images/medical-specialties/endoscopia.jpg</t>
  </si>
  <si>
    <t>/images/medical-specialties/ginecologia.jpg</t>
  </si>
  <si>
    <t>/images/medical-specialties/cirugia-oncologica.jpg</t>
  </si>
  <si>
    <t>/images/medical-specialties/odontologia.jpg</t>
  </si>
  <si>
    <t>/images/medical-specialties/neurocirugia.jpg</t>
  </si>
  <si>
    <t>/images/medical-specialties/cirugia-general.jpg</t>
  </si>
  <si>
    <t>/images/medical-specialties/nefrologia.jpg</t>
  </si>
  <si>
    <t>/images/medical-specialties/neurologia.jpg</t>
  </si>
  <si>
    <t>/images/medical-specialties/oftalmologia.jpg</t>
  </si>
  <si>
    <t>/images/medical-specialties/otorrinolaringologia.jpg</t>
  </si>
  <si>
    <t>/images/medical-specialties/oncologia.jpg</t>
  </si>
  <si>
    <t>/images/medical-specialties/proctologia.jpg</t>
  </si>
  <si>
    <t>/images/medical-specialties/reumatologia.jpg</t>
  </si>
  <si>
    <t>/images/medical-specialties/traumatologia.jpg</t>
  </si>
  <si>
    <t>/images/medical-specialties/urologia.jpg</t>
  </si>
  <si>
    <t>layout</t>
  </si>
  <si>
    <t>about</t>
  </si>
  <si>
    <t>acerca</t>
  </si>
  <si>
    <t>à propos</t>
  </si>
  <si>
    <t>Laguna Medical Center es un clúster médico ubicado en la región Lagunera de México que busca impulsar el desarrollo económico de la región brindando un servicio de excelente calidad a los pacientes que lo requieren.</t>
  </si>
  <si>
    <t>À propos de nous</t>
  </si>
  <si>
    <t>Sobre nosotros</t>
  </si>
  <si>
    <t>About us</t>
  </si>
  <si>
    <t>Laguna Medical Center is a medical cluster located in the Lagunera region of Mexico that seeks to boost the economic development of the region by providing an excellent quality service to patients who require it.</t>
  </si>
  <si>
    <t>Le centre médical Laguna est un pôle médical situé dans la région de Lagunera au Mexique, qui cherche à stimuler le développement économique de la région en fournissant un service d'excellente qualité aux patients qui en ont besoin.</t>
  </si>
  <si>
    <t>head_000</t>
  </si>
  <si>
    <t>Historia del Clúster</t>
  </si>
  <si>
    <t>text_000</t>
  </si>
  <si>
    <t>Un Clúster es una concentración geográfica de organizaciones, proveedores especializados e industrias relacionadas y entidades de apoyo que compiten, pero también colaboran para el desarrollo económico regional.&lt;br/&gt;Somos un Asociación denominada Laguna Medical Center A.C. que está formado por hospitales públicos y privados de la región Lagunera, así como empresas turísticas.&lt;br/&gt;Dentro del Clúster contamos con diferentes áreas para asegurar dar el mejor servicio a nuestros clientes, estás son: Coordinador de Planeación estratégica y proyectos médicos, Coordinador de Internacionalización, Promoción, Relaciones y servicio a socios, Gerente de Ventas y Marketing, Gerente de Servicios Financieros además contamos asesores médicos, jurídicos, contables y administrativos.</t>
  </si>
  <si>
    <t>image_000</t>
  </si>
  <si>
    <t>/images/logo.jpg</t>
  </si>
  <si>
    <t>Histoire du cluster</t>
  </si>
  <si>
    <t>Un cluster est une concentration géographique d'organisations, de fournisseurs spécialisés et d'industries connexes et d'entités associées qui se font concurrence, mais qui collaborent également au développement économique régional. &lt;br/&gt; Nous sommes une association appelée Laguna Medical Center A.C. qui regroupe des hôpitaux publics et privés de la région de Lagunera, ainsi que des entreprises de tourisme. &lt;br/&gt; Au sein du cluster, nous avons différents domaines pour assurer le meilleur service possible à nos clients. Coordonnateur de l'internationalisation, de la promotion, des relations et des services aux partenaires, directeur des ventes et du marketing, directeur des services financiers, nous avons également des conseillers médicaux, juridiques, comptables et administratifs.</t>
  </si>
  <si>
    <t>History of the Cluster</t>
  </si>
  <si>
    <t>A Cluster is a geographic concentration of organizations, specialized suppliers and related industries and supporting entities that compete, but also collaborate for regional economic development. &lt;br/&gt; We are an Association called Laguna Medical Center A.C. which is formed by public and private hospitals in the Lagunera region, as well as tourism companies. &lt;br/&gt; Within the Cluster we have different areas to ensure the best service to our clients, you are: Coordinator of strategic planning and medical projects, Coordinator of Internationalization, Promotion, Relations and service to partners, Sales and Marketing Manager, Manager of Financial Services, we also have medical, legal, accounting and administrative advisors.</t>
  </si>
  <si>
    <t>type</t>
  </si>
  <si>
    <t>static</t>
  </si>
  <si>
    <t>head_001</t>
  </si>
  <si>
    <t>text_001</t>
  </si>
  <si>
    <t>Estos son algunos de nuestros procedimientos médicos más solicitados; si el procedimiento que necesitas no aparece, envíanos un mensaje para cotizar el tuyo.</t>
  </si>
  <si>
    <t>/images/medical-procedures/trasplante-renal.jpg</t>
  </si>
  <si>
    <t>/images/medical-procedures/nefrectomia.jpg</t>
  </si>
  <si>
    <t>/images/medical-procedures/hemicolectomia.jpg</t>
  </si>
  <si>
    <t>/images/medical-procedures/funduplicatura.jpg</t>
  </si>
  <si>
    <t>/images/medical-procedures/discoidectomia.jpg</t>
  </si>
  <si>
    <t>/images/medical-procedures/banda-gastrica.jpg</t>
  </si>
  <si>
    <t>/images/medical-procedures/laminectomia-de-columna.jpg</t>
  </si>
  <si>
    <t>/images/medical-procedures/protesis-de-rodilla.jpg</t>
  </si>
  <si>
    <t>/images/medical-procedures/by-pass.jpg</t>
  </si>
  <si>
    <t>/images/medical-procedures/craneotomia.jpg</t>
  </si>
  <si>
    <t>/images/medical-procedures/manga-gastrica.jpg</t>
  </si>
  <si>
    <t>/images/medical-procedures/protesis-de-cadera.jpg</t>
  </si>
  <si>
    <t>/images/medical-procedures/artrodesis-de-rodilla.jpg</t>
  </si>
  <si>
    <t>/images/medical-procedures/mastectomia.jpg</t>
  </si>
  <si>
    <t>/images/medical-procedures/prostatectomia.jpg</t>
  </si>
  <si>
    <t>/images/medical-procedures/ritidoplastia.jpg</t>
  </si>
  <si>
    <t>/images/medical-procedures/rtu-de-prostata.jpg</t>
  </si>
  <si>
    <t>/images/medical-procedures/plastia-de-pared.jpg</t>
  </si>
  <si>
    <t>/images/medical-procedures/histerectomia-radical.jpg</t>
  </si>
  <si>
    <t>/images/medical-procedures/tiroidectomia.jpg</t>
  </si>
  <si>
    <t>/images/medical-procedures/abdominoplastia.jpg</t>
  </si>
  <si>
    <t>/images/medical-procedures/artroscopia-de-hombro.jpg</t>
  </si>
  <si>
    <t>/images/medical-procedures/artroscopia-de-rodilla.jpg</t>
  </si>
  <si>
    <t>/images/medical-procedures/histerectomia-abdominal.jpg</t>
  </si>
  <si>
    <t>/images/medical-procedures/histerectomia-vaginal.jpg</t>
  </si>
  <si>
    <t>/images/medical-procedures/laparotomia.jpg</t>
  </si>
  <si>
    <t>/images/medical-procedures/mastopexia.jpg</t>
  </si>
  <si>
    <t>/images/medical-procedures/pexia-mamaria.jpg</t>
  </si>
  <si>
    <t>/images/medical-procedures/reseccion-de-quiste-de-ovario.jpg</t>
  </si>
  <si>
    <t>/images/medical-procedures/cuadrantectomia-de-mama.jpg</t>
  </si>
  <si>
    <t>/images/medical-procedures/ooforectomia.jpg</t>
  </si>
  <si>
    <t>/images/medical-procedures/plastia-de-ligamento-cruzado.jpg</t>
  </si>
  <si>
    <t>/images/medical-procedures/liposuccion.jpg</t>
  </si>
  <si>
    <t>/images/medical-procedures/meniscectomia.jpg</t>
  </si>
  <si>
    <t>/images/medical-procedures/mentoplastia.jpg</t>
  </si>
  <si>
    <t>/images/medical-procedures/miomectomia.jpg</t>
  </si>
  <si>
    <t>/images/medical-procedures/mastoidectomia.jpg</t>
  </si>
  <si>
    <t>/images/medical-procedures/microlaringoscopia.jpg</t>
  </si>
  <si>
    <t>/images/medical-procedures/safenectomia-bilateral.jpg</t>
  </si>
  <si>
    <t>/images/medical-procedures/osteotomia.jpg</t>
  </si>
  <si>
    <t>/images/medical-procedures/plastia-vaginales.jpg</t>
  </si>
  <si>
    <t>/images/medical-procedures/rinoseptumplastia.jpg</t>
  </si>
  <si>
    <t>/images/medical-procedures/hernioplastia.jpg</t>
  </si>
  <si>
    <t>/images/medical-procedures/ureterolitotripsia.jpg</t>
  </si>
  <si>
    <t>/images/medical-procedures/hemorroidectomia.jpg</t>
  </si>
  <si>
    <t>/images/medical-procedures/histerolaparoscopia.jpg</t>
  </si>
  <si>
    <t>/images/medical-procedures/septumplastia.jpg</t>
  </si>
  <si>
    <t>/images/medical-procedures/orquiectomia.jpg</t>
  </si>
  <si>
    <t>/images/medical-procedures/osteotomia-de-tibia.jpg</t>
  </si>
  <si>
    <t>/images/medical-procedures/otoplastia.jpg</t>
  </si>
  <si>
    <t>/images/medical-procedures/palatoplastia.jpg</t>
  </si>
  <si>
    <t>/images/medical-procedures/rinoplastia.jpg</t>
  </si>
  <si>
    <t>/images/medical-procedures/adenoamigdalectomia.jpg</t>
  </si>
  <si>
    <t>/images/medical-procedures/safenectomia.jpg</t>
  </si>
  <si>
    <t>/images/medical-procedures/amigdalectomia.jpg</t>
  </si>
  <si>
    <t>/images/medical-procedures/varicocelectomia.jpg</t>
  </si>
  <si>
    <t>/images/medical-procedures/hidrocelectomia.jpg</t>
  </si>
  <si>
    <t>/images/medical-procedures/reseccion-de-fibroadenoma-mamario.jpg</t>
  </si>
  <si>
    <t>Trasplante renal</t>
  </si>
  <si>
    <t>Nefrectomía</t>
  </si>
  <si>
    <t>Hemicolectomía</t>
  </si>
  <si>
    <t>Funduplicatura</t>
  </si>
  <si>
    <t>Banda gástrica</t>
  </si>
  <si>
    <t>Laminectomía de columna</t>
  </si>
  <si>
    <t>Prótesis de rodilla</t>
  </si>
  <si>
    <t>By pass</t>
  </si>
  <si>
    <t>Craneotomía</t>
  </si>
  <si>
    <t>Manga gástrica</t>
  </si>
  <si>
    <t>Prótesis de cadera</t>
  </si>
  <si>
    <t>Artrodesis de rodilla</t>
  </si>
  <si>
    <t>Mastectomía</t>
  </si>
  <si>
    <t>Prostatectomía</t>
  </si>
  <si>
    <t>Ritidoplastia</t>
  </si>
  <si>
    <t>Rtu de próstata</t>
  </si>
  <si>
    <t>Plastia de pared</t>
  </si>
  <si>
    <t>Histerectomía radical</t>
  </si>
  <si>
    <t>Tiroidectomía</t>
  </si>
  <si>
    <t>Abdominoplastia</t>
  </si>
  <si>
    <t>Artroscopia de hombro</t>
  </si>
  <si>
    <t>Artroscopia de rodilla</t>
  </si>
  <si>
    <t>Histerectomía abdominal</t>
  </si>
  <si>
    <t>Histerectomía vaginal</t>
  </si>
  <si>
    <t>Laparotomía</t>
  </si>
  <si>
    <t>Mastopexia</t>
  </si>
  <si>
    <t>Pexia mamaria</t>
  </si>
  <si>
    <t>Resección de quiste de ovario</t>
  </si>
  <si>
    <t>Cuadrantectomía de mama</t>
  </si>
  <si>
    <t>Ooforectomía</t>
  </si>
  <si>
    <t>Plastia de ligamento cruzado</t>
  </si>
  <si>
    <t>Liposucción</t>
  </si>
  <si>
    <t>Meniscectomia</t>
  </si>
  <si>
    <t>Mentoplastía</t>
  </si>
  <si>
    <t>Miomectomía</t>
  </si>
  <si>
    <t>Mastoidectomía</t>
  </si>
  <si>
    <t>Microlaringoscopía</t>
  </si>
  <si>
    <t>Safenectomía bilateral</t>
  </si>
  <si>
    <t>Osteotomía de fémur y tibia</t>
  </si>
  <si>
    <t>Plastia vaginales</t>
  </si>
  <si>
    <t>Rinoseptumplastía</t>
  </si>
  <si>
    <t xml:space="preserve">Hernioplastía </t>
  </si>
  <si>
    <t xml:space="preserve">Ureterolitotripsia </t>
  </si>
  <si>
    <t>Hemorroidectomía</t>
  </si>
  <si>
    <t>Histerolaparoscopia</t>
  </si>
  <si>
    <t>Septumplastía</t>
  </si>
  <si>
    <t>Orquiectomía</t>
  </si>
  <si>
    <t>Osteotomía de tibia</t>
  </si>
  <si>
    <t>Otoplastía</t>
  </si>
  <si>
    <t>Palatoplastía</t>
  </si>
  <si>
    <t>Rinoplastía</t>
  </si>
  <si>
    <t>Adenoamigdalectomía</t>
  </si>
  <si>
    <t>Safenectomía</t>
  </si>
  <si>
    <t>Amigdalectomía</t>
  </si>
  <si>
    <t>Varicocelectomía</t>
  </si>
  <si>
    <t>Hidrocelectomía</t>
  </si>
  <si>
    <t>Resección de fibroadenoma mamario</t>
  </si>
  <si>
    <t>El trasplante renal es la terapia de elección para la mayoría de las causas de insuficiencia renal crónica terminal porque mejora la calidad de vida y la supervivencia frente a la diálisis.</t>
  </si>
  <si>
    <t>La nefrectomía es un procedimiento quirúrgico que se realiza para extirpar todo el riñón o parte de este.</t>
  </si>
  <si>
    <t>Extirpación de la mitad del colon. Puede ser hemicolectomía derecha o izquierda.</t>
  </si>
  <si>
    <t xml:space="preserve">La funduplicatura es el procedimiento quirúrgico usado para tratar la enfermedad por reflujo gastroesofágico. </t>
  </si>
  <si>
    <t xml:space="preserve">Es una cirugía para extirpar la lámina. Esta es una parte del hueso que constituye una vértebra en la columna. </t>
  </si>
  <si>
    <t>Las prótesis son reproducciones de los huesos de la zona de la rodilla, de metal, resinas o materiales cerámicos, que se colocan en el lugar de la articulación.</t>
  </si>
  <si>
    <t xml:space="preserve">El bypass gástrico, también denominado, es un tipo de cirugía de pérdida de peso que implica crear un pequeño saco desde el estómago y conectar el saco recién creado directamente con el intestino delgado. </t>
  </si>
  <si>
    <t>Craneotomía es una operación quirúrgica en que parte del cráneo, llamado colgajo óseo, se extrae con el fin de acceder al cerebro.</t>
  </si>
  <si>
    <t>El recambio protésico total de cadera consiste en el reemplazo de los dos elementos articulares, la cabeza femoral y el acetábulo, mediante la implantación de un vástago femoral y un componente acetabular.</t>
  </si>
  <si>
    <t xml:space="preserve">La artrodesis de rodilla es un procedimiento que fusiona el hueso del muslo con el hueso de la pierna en la rodilla. </t>
  </si>
  <si>
    <t xml:space="preserve">La mastectomía es una manera de tratar el cáncer de seno mediante la extirpación quirúrgica de todo el seno. </t>
  </si>
  <si>
    <t xml:space="preserve">La prostatectomía (extracción de la próstata) es la cirugía para extirpar toda la glándula prostática y algunos tejidos alrededor de esta. </t>
  </si>
  <si>
    <t>La ritidoplastia es un procedimiento de cirugía plástica estética que consiste en la eliminación quirúrgica de arrugas de la piel o ritidosis.</t>
  </si>
  <si>
    <t>La resección transuretral es una intervención quirúrgica urológica que consiste en la extirpación de tejidos enfermos de uretra, próstata y vejiga accediendo a ellos a través de la luz uretral.</t>
  </si>
  <si>
    <t>La cirugía de la pared abdominal es un procedimiento que mejora la apariencia de los músculos y piel abdominales flácidos y estirados.</t>
  </si>
  <si>
    <t xml:space="preserve">Cirugía para extraer el útero, el cuello del útero y parte de la vagina. También se pueden extraer los ovarios, las trompas de Falopio y los ganglios linfáticos cercanos. </t>
  </si>
  <si>
    <t xml:space="preserve">Es una cirugía en la cual se utiliza una pequeña cámara llamada artroscopio para examinar o reparar los tejidos dentro o alrededor de la articulación del hombro. </t>
  </si>
  <si>
    <t>Es la cirugía en la cual se utiliza una cámara diminuta para observar dentro de la rodilla.</t>
  </si>
  <si>
    <t xml:space="preserve">Una histerectomía abdominal es un procedimiento quirúrgico donde se extirpa el útero a través de una incisión en la parte inferior del abdomen. </t>
  </si>
  <si>
    <t xml:space="preserve">La histerectomía vaginal es un procedimiento quirúrgico para extirpar el útero a través de la vagina. </t>
  </si>
  <si>
    <t>Es la cirugía para examinar los órganos y las estructuras de la zona del vientre. Estos incluyen su apéndice, vejiga, vesícula biliar, intestinos, riñón, hígado, páncreas, entre otros.</t>
  </si>
  <si>
    <t xml:space="preserve">La mastopexia es una intervención quirúrgica que consiste en la elevación y remodelación de las mamas. </t>
  </si>
  <si>
    <t>La pexia mamaria es un procedimiento quirúrgico destinado a corregir la posición y mejorar el aspecto general de las mamas.</t>
  </si>
  <si>
    <t>La cirugía se utiliza para confirmar el diagnóstico de quiste ovárico, extraer un quiste que está causando síntomas y descartar cáncer de ovario.</t>
  </si>
  <si>
    <t xml:space="preserve">Operación quirúrgica para extirpar el cáncer y un poco del tejido que lo rodea, pero no la mama. Es posible que se extraigan algunos ganglios linfáticos debajo del brazo para hacer una biopsia. </t>
  </si>
  <si>
    <t>Una ooforectomía es un procedimiento quirúrgico para extirpar un ovario o ambos.</t>
  </si>
  <si>
    <t>Es una cirugía para reconstruir el ligamento que se encuentra en el centro de la rodilla.</t>
  </si>
  <si>
    <t>La liposucción es una técnica quirúrgica que se utiliza en cirugía estética y que permite un remodelado de la silueta a través de la extracción de grasa o tejido adiposo.</t>
  </si>
  <si>
    <t>Cirugía mínimamente invasiva permite remover y estabilizar la lesión del menisco</t>
  </si>
  <si>
    <t>La mentoplastia es un procedimiento quirúrgico que busca mediante diversos medios lograr un aumento en la proyección del mentón.</t>
  </si>
  <si>
    <t>La miomectomía, a veces también la fibroectomía, se refiere a la extirpación quirúrgica de los leiomiomas uterinos, también conocidos como fibromas.</t>
  </si>
  <si>
    <t>Una mastoidectomía es un procedimiento que se realiza para extraer las células aéreas mastoideas.</t>
  </si>
  <si>
    <t>Consiste en la introducción de un tubo metálico en la laringe bajo control microscópico .</t>
  </si>
  <si>
    <t>La safenectomía bilateral consiste en quitar la vena safena de las dos piernas.</t>
  </si>
  <si>
    <t>La osteotomía consiste en realizar un corte parcial en el hueso, ya sea en el fémur o en la tibia.</t>
  </si>
  <si>
    <t>Es un procedimiento quirúrgico. Esta cirugía tensa la pared frontal de la vagina.</t>
  </si>
  <si>
    <t>Cirugía para mejorar la forma de la nariz.</t>
  </si>
  <si>
    <t>La hernioplastia umbilical es el nombre de una de las cirugías que corrigen una hernia umbilical, caracterizada por la colocación de materiales biológicos para el cierre o refuerzo del anillo umbilical.</t>
  </si>
  <si>
    <t>La ureteroscopia es una intervención para examinar el interior del riñon y el uréter por medio de un uteroscopio.</t>
  </si>
  <si>
    <t>Se conoce como hemorroidectomia al procedimiento quirúrgico de extirpación de las hemorroides.</t>
  </si>
  <si>
    <t>La histeroscopia es un procedimiento clínico que le permite a un ginecólogo ver el interior del útero por medio de una endoscopia.</t>
  </si>
  <si>
    <t>La septumplastia es la cirugía que se realiza para corregir las deformidades o desviaciones del tabique nasal, también llamado septum nasal.</t>
  </si>
  <si>
    <t>Orquiectomía es el término que se usa en medicina para designar la extirpación quirúrgica, total o parcial, de uno o de los dos testículos.</t>
  </si>
  <si>
    <t>Es una operación diseñada para cambiar la posición y alineación del hueso de la pierna.</t>
  </si>
  <si>
    <t>La otoplastia es una cirugía en la cual se resuelven las deformidades de la oreja.</t>
  </si>
  <si>
    <t>La palatoplastia es un procedimiento quirúrgico que se usa para corregir o reconstruir el paladar en una persona con paladar hendido.</t>
  </si>
  <si>
    <t>La rinoplastia es una intervención quirúrgica en la que se resuelven principalmente los problemas estéticos de la nariz tales como la giba ósea, el hueso que sobresale del dorso de la nariz.</t>
  </si>
  <si>
    <t>La adenoamigdalectomía es la intervención que se realiza para extirpar las amígdalas y las vegetaciones adenoideas.</t>
  </si>
  <si>
    <t>Extracción quirúrgica de la vena safena. Suele emplearse como tratamiento quirúrgico de las varices y para la obtención de injertos venosos en las intervenciones de pontaje aortocoronario.</t>
  </si>
  <si>
    <t>La amigdalectomía consiste en la extirpación quirúrgica de las amígdalas. Esta intervención quirúrgica la lleva a cabo el otorrinolaringólogo.</t>
  </si>
  <si>
    <t>La varicocelectomía es la intervención quirúrgica que permite aliviar los problemas causados por el varicocele.</t>
  </si>
  <si>
    <t>Un hidrocele es un tipo de inflamación del escroto que ocurre cuando se acumula líquido en el recubrimiento delgado que rodea el testículo.</t>
  </si>
  <si>
    <t>La extirpación de un tumor mamario es la cirugía para extirpar un tumor que puede ser cáncer de mama.</t>
  </si>
  <si>
    <t>Kidney transplant</t>
  </si>
  <si>
    <t>Nephrectomy</t>
  </si>
  <si>
    <t>Hemicolectomy</t>
  </si>
  <si>
    <t>Funduplication</t>
  </si>
  <si>
    <t>Discoidectomy</t>
  </si>
  <si>
    <t>Gastric band</t>
  </si>
  <si>
    <t>Laminectomy of column</t>
  </si>
  <si>
    <t>Knee prosthesis</t>
  </si>
  <si>
    <t>Craniotomy</t>
  </si>
  <si>
    <t>Gastric sleeve</t>
  </si>
  <si>
    <t>Hip prosthesis</t>
  </si>
  <si>
    <t>Knee arthrodesis</t>
  </si>
  <si>
    <t>Mastectomy</t>
  </si>
  <si>
    <t>Prostatectomy</t>
  </si>
  <si>
    <t>Rhytidoplasty</t>
  </si>
  <si>
    <t>Prostate Rtu</t>
  </si>
  <si>
    <t>Wall plasty</t>
  </si>
  <si>
    <t>Radical hysterectomy</t>
  </si>
  <si>
    <t>Thyroidectomy</t>
  </si>
  <si>
    <t>Abdominoplasty</t>
  </si>
  <si>
    <t>Shoulder arthroscopy</t>
  </si>
  <si>
    <t>Knee arthroscopy</t>
  </si>
  <si>
    <t>Abdominal hysterectomy</t>
  </si>
  <si>
    <t>Vaginal hysterectomy</t>
  </si>
  <si>
    <t>Laparotomy</t>
  </si>
  <si>
    <t>Mastopexy</t>
  </si>
  <si>
    <t>Breast pexy</t>
  </si>
  <si>
    <t>Resection of ovarian cyst</t>
  </si>
  <si>
    <t>Breast quadrantectomy</t>
  </si>
  <si>
    <t>Oophorectomy</t>
  </si>
  <si>
    <t>Cross ligament plasty</t>
  </si>
  <si>
    <t>Liposuction</t>
  </si>
  <si>
    <t>Meniscectomy</t>
  </si>
  <si>
    <t>Mentoplasty</t>
  </si>
  <si>
    <t>Myomectomy</t>
  </si>
  <si>
    <t>Mastoidectomy</t>
  </si>
  <si>
    <t>Microlaryngoscopy</t>
  </si>
  <si>
    <t>Bilateral saphenectomy</t>
  </si>
  <si>
    <t>Osteotomy of the femur and tibia</t>
  </si>
  <si>
    <t>Vaginal plasty</t>
  </si>
  <si>
    <t>Rhinoplasty</t>
  </si>
  <si>
    <t>Hernioplasty</t>
  </si>
  <si>
    <t>Ureterolitotripsia</t>
  </si>
  <si>
    <t>Hemorrhoidectomy</t>
  </si>
  <si>
    <t>Hysteroscopy</t>
  </si>
  <si>
    <t>Septuplasty</t>
  </si>
  <si>
    <t>Orchiectomy</t>
  </si>
  <si>
    <t>Tibial osteotomy</t>
  </si>
  <si>
    <t>Otoplasty</t>
  </si>
  <si>
    <t>Palatoplasty</t>
  </si>
  <si>
    <t>Adenoamigdalectomy</t>
  </si>
  <si>
    <t>Safenectomy</t>
  </si>
  <si>
    <t>Tonsillectomy</t>
  </si>
  <si>
    <t>Varicocelectomy</t>
  </si>
  <si>
    <t>Hydrocelectomy</t>
  </si>
  <si>
    <t>Resection of fibroadenoma mammary</t>
  </si>
  <si>
    <t>Kidney transplantation is the therapy of choice for most causes of terminal chronic renal failure because it improves quality of life and survival versus dialysis.</t>
  </si>
  <si>
    <t>Nephrectomy is a surgical procedure that is done to remove all or part of the kidney.</t>
  </si>
  <si>
    <t>Removal of half of the colon. It can be right or left hemicolectomy.</t>
  </si>
  <si>
    <t>Fundoplication is the surgical procedure used to treat gastroesophageal reflux disease.</t>
  </si>
  <si>
    <t>The adjustable gastric band is an inflatable band that is placed around the upper portion of the stomach, in order to create a small reservoir to limit the amount of food and the speed with which they pass through it.</t>
  </si>
  <si>
    <t>It is a surgery to remove the lamina. This is a part of the bone that constitutes a vertebra in the spine.</t>
  </si>
  <si>
    <t>The prostheses are reproductions of the bones of the knee area, metal, resins or ceramic materials, which are placed in the place of the joint.</t>
  </si>
  <si>
    <t>Gastric bypass, also called, is a type of weight loss surgery that involves creating a small sac from the stomach and connecting the newly created sac directly with the small intestine.</t>
  </si>
  <si>
    <t>Craniotomy is a surgical operation in which part of the skull, called a bone flap, is removed in order to access the brain.</t>
  </si>
  <si>
    <t>The total prosthetic hip replacement consists in the replacement of the two joint elements, the femoral head and the acetabulum, by the implantation of a femoral stem and an acetabular component.</t>
  </si>
  <si>
    <t>Knee arthrodesis is a procedure that fuses the thigh bone with the leg bone in the knee.</t>
  </si>
  <si>
    <t>Mastectomy is a way to treat breast cancer by surgically removing the entire breast.</t>
  </si>
  <si>
    <t>Prostatectomy (removal of the prostate) is surgery to remove the entire prostate gland and some tissues around it.</t>
  </si>
  <si>
    <t>Rhytidectomy is an aesthetic plastic surgery procedure that involves the surgical removal of skin wrinkles or rhytidosis.</t>
  </si>
  <si>
    <t>Transurethral resection is a urological surgical procedure that consists in the removal of diseased tissues of the urethra, prostate and bladder by accessing them through the urethral lumen.</t>
  </si>
  <si>
    <t>Abdominal wall surgery is a procedure that improves the appearance of flaccid and stretched abdominal muscles and skin.</t>
  </si>
  <si>
    <t>Surgery to remove the uterus, cervix and part of the vagina. The ovaries, fallopian tubes and nearby lymph nodes can also be removed.</t>
  </si>
  <si>
    <t>Thyroidectomy is the partial or total removal of the thyroid gland indicated in patients with both functional and hyperthyroidism disorders, neoplastic and inflammatory, naming among them Hashimoto's thyroiditis.</t>
  </si>
  <si>
    <t>Abdominoplasty is a complex surgical procedure of reconstruction of the abdominal wall, which consists of removing excess skin, excess fat and tension of the muscles of the abdominal wall.</t>
  </si>
  <si>
    <t>It is a surgery in which a small camera called an arthroscope is used to examine or repair the tissues in or around the shoulder joint.</t>
  </si>
  <si>
    <t>It is surgery in which a tiny camera is used to observe inside the knee.</t>
  </si>
  <si>
    <t>An abdominal hysterectomy is a surgical procedure where the uterus is removed through an incision in the lower abdomen.</t>
  </si>
  <si>
    <t>Vaginal hysterectomy is a surgical procedure to remove the uterus through the vagina.</t>
  </si>
  <si>
    <t>It is surgery to examine the organs and structures of the belly area. These include your appendix, bladder, gallbladder, intestines, kidney, liver, pancreas, among others.</t>
  </si>
  <si>
    <t>Mastopexy is a surgical intervention that consists in the elevation and remodeling of the breasts.</t>
  </si>
  <si>
    <t>The mammary pexia is a surgical procedure designed to correct the position and improve the general appearance of the breasts.</t>
  </si>
  <si>
    <t>The surgery is used to confirm the diagnosis of ovarian cyst, remove a cyst that is causing symptoms and rule out ovarian cancer.</t>
  </si>
  <si>
    <t>Surgical operation to remove the cancer and some of the tissue that surrounds it, but not the breast. Some lymph nodes under the arm may be removed to make a biopsy.</t>
  </si>
  <si>
    <t>An oophorectomy is a surgical procedure to remove an ovary or both.</t>
  </si>
  <si>
    <t>It is a surgery to reconstruct the ligament that is in the center of the knee.</t>
  </si>
  <si>
    <t>Liposuction is a surgical technique that is used in cosmetic surgery and that allows a remodeling of the silhouette through the extraction of fat or adipose tissue.</t>
  </si>
  <si>
    <t>La transplantation rénale est la thérapie de choix pour la plupart des causes d'insuffisance rénale chronique terminale, car elle améliore la qualité de vie et la survie par rapport à la dialyse.</t>
  </si>
  <si>
    <t>La néphrectomie est une intervention chirurgicale qui consiste à enlever tout ou partie du rein.</t>
  </si>
  <si>
    <t>Enlèvement de la moitié du côlon. Il peut s'agir d'une hémicolectomie droite ou gauche.</t>
  </si>
  <si>
    <t>La Fundoplication est la procédure chirurgicale utilisée pour traiter le reflux gastro-oesophagien.</t>
  </si>
  <si>
    <t>L’anneau gastrique ajustable est un anneau gonflable placé autour de la partie supérieure de l’estomac afin de créer un petit réservoir limitant la quantité de nourriture et la vitesse à laquelle ils la traversent.</t>
  </si>
  <si>
    <t>C'est une opération pour enlever le lamina. C'est une partie de l'os qui constitue une vertèbre dans la colonne vertébrale.</t>
  </si>
  <si>
    <t>Les prothèses sont des reproductions des os de la région du genou, du métal, des résines ou des matériaux céramiques, qui sont placées à la place de l'articulation.</t>
  </si>
  <si>
    <t>Le pontage gastrique, également appelé, est un type de chirurgie de perte de poids qui consiste à créer un petit sac à partir de l'estomac et à connecter le sac nouvellement créé directement au petit intestin.</t>
  </si>
  <si>
    <t>La craniotomie est une opération chirurgicale au cours de laquelle une partie du crâne, appelée lambeau osseux, est retirée afin d'accéder au cerveau.</t>
  </si>
  <si>
    <t>Le remplacement prothétique total de la hanche consiste en le remplacement des deux éléments articulaires, la tête fémorale et le cotyle, par implantation d'une tige fémorale et d'un composant acétabulaire.</t>
  </si>
  <si>
    <t>L'arthrodèse du genou est une procédure qui fusionne l'os de la cuisse avec l'os de la jambe dans le genou.</t>
  </si>
  <si>
    <t>La mastectomie est un moyen de traiter le cancer du sein en retirant chirurgicalement tout le sein.</t>
  </si>
  <si>
    <t>La prostatectomie (ablation de la prostate) est une intervention chirurgicale qui consiste à enlever toute la prostate et certains tissus qui l'entourent.</t>
  </si>
  <si>
    <t>La rhytidectomie est une procédure de chirurgie plastique esthétique qui consiste à enlever chirurgicalement les rides de la peau ou la rhytidose.</t>
  </si>
  <si>
    <t>La résection transurétrale est une procédure chirurgicale urologique qui consiste à enlever les tissus malades de l'urètre, de la prostate et de la vessie en leur permettant d'accéder à la lumière de l'urètre.</t>
  </si>
  <si>
    <t>La chirurgie de la paroi abdominale est une procédure qui améliore l'apparence des muscles et de la peau abdominaux flasques et étirés.</t>
  </si>
  <si>
    <t>Chirurgie pour enlever l'utérus, le col utérin et une partie du vagin. Les ovaires, les trompes de Fallope et les ganglions lymphatiques voisins peuvent également être retirés.</t>
  </si>
  <si>
    <t>La thyroïdectomie est l'ablation partielle ou totale de la glande thyroïde indiquée chez les patients présentant à la fois des troubles fonctionnels et d'hyperthyroïdie, néoplasiques et inflammatoires, nommant entre eux la thyroïdite de Hashimoto.</t>
  </si>
  <si>
    <t>L'abdominoplastie est une procédure chirurgicale complexe de reconstruction de la paroi abdominale, qui consiste à enlever l'excès de peau, l'excès de graisse et la tension des muscles de la paroi abdominale.</t>
  </si>
  <si>
    <t>C'est une chirurgie dans laquelle une petite caméra appelée arthroscope est utilisée pour examiner ou réparer les tissus dans ou autour de l'articulation de l'épaule.</t>
  </si>
  <si>
    <t>C'est une intervention chirurgicale dans laquelle une minuscule caméra est utilisée pour observer l'intérieur du genou.</t>
  </si>
  <si>
    <t>Une hystérectomie abdominale est une intervention chirurgicale au cours de laquelle l'utérus est prélevé par une incision dans le bas de l'abdomen.</t>
  </si>
  <si>
    <t>L'hystérectomie vaginale est une intervention chirurgicale visant à enlever l'utérus par le vagin.</t>
  </si>
  <si>
    <t>C'est une intervention chirurgicale pour examiner les organes et les structures de la région du ventre. Ceux-ci incluent votre appendice, votre vessie, votre vésicule biliaire, vos intestins, vos reins, votre foie, votre pancréas, entre autres.</t>
  </si>
  <si>
    <t>La mastopexie est une intervention chirurgicale qui consiste en une élévation et un remodelage des seins.</t>
  </si>
  <si>
    <t>Le pexia mammaire est une intervention chirurgicale conçue pour corriger la position et améliorer l’aspect général des seins.</t>
  </si>
  <si>
    <t>La chirurgie sert à confirmer le diagnostic de kyste ovarien, à éliminer un kyste à l'origine des symptômes et à exclure le cancer de l'ovaire.</t>
  </si>
  <si>
    <t>Opération chirurgicale pour enlever le cancer et une partie du tissu qui l’entoure, mais pas le sein. Certains ganglions lymphatiques sous le bras peuvent être retirés pour faire une biopsie.</t>
  </si>
  <si>
    <t>Une ovariectomie est une intervention chirurgicale visant à enlever un ovaire ou les deux.</t>
  </si>
  <si>
    <t>C'est une chirurgie pour reconstruire le ligament qui se trouve au centre du genou.</t>
  </si>
  <si>
    <t>La liposuccion est une technique chirurgicale utilisée en chirurgie esthétique et qui permet de remodeler la silhouette par extraction de tissu adipeux ou adipeux.</t>
  </si>
  <si>
    <t>Greffe de rein</t>
  </si>
  <si>
    <t>Néphrectomie</t>
  </si>
  <si>
    <t>Hémicolectomie</t>
  </si>
  <si>
    <t>Fonduplication</t>
  </si>
  <si>
    <t>Bande gastrique</t>
  </si>
  <si>
    <t>Laminectomie de colonne</t>
  </si>
  <si>
    <t>Prothèse de genou</t>
  </si>
  <si>
    <t>Par pass</t>
  </si>
  <si>
    <t>Craniotomie</t>
  </si>
  <si>
    <t>Manche gastrique</t>
  </si>
  <si>
    <t>Prothèse de hanche</t>
  </si>
  <si>
    <t>Arthrodèse du genou</t>
  </si>
  <si>
    <t>Mastectomie</t>
  </si>
  <si>
    <t>Prostatectomie</t>
  </si>
  <si>
    <t>Rhytidoplastie</t>
  </si>
  <si>
    <t>Prostate rtu</t>
  </si>
  <si>
    <t>Plastie murale</t>
  </si>
  <si>
    <t>Hystérectomie radicale</t>
  </si>
  <si>
    <t>Thyroïdectomie</t>
  </si>
  <si>
    <t>Abdominoplastie</t>
  </si>
  <si>
    <t>Arthroscopie de l'épaule</t>
  </si>
  <si>
    <t>Arthroscopie du genou</t>
  </si>
  <si>
    <t>Hystérectomie abdominale</t>
  </si>
  <si>
    <t>Hystérectomie vaginale</t>
  </si>
  <si>
    <t>La laparotomie</t>
  </si>
  <si>
    <t>Mastopexie</t>
  </si>
  <si>
    <t>Pexy poitrine</t>
  </si>
  <si>
    <t>Résection du kyste ovarien</t>
  </si>
  <si>
    <t>Quadrantectomie du sein</t>
  </si>
  <si>
    <t>Ovariectomie</t>
  </si>
  <si>
    <t>Plastie ligament croisé</t>
  </si>
  <si>
    <t>Liposuccion</t>
  </si>
  <si>
    <t>Méniscectomie</t>
  </si>
  <si>
    <t>Mentoplastie</t>
  </si>
  <si>
    <t>Myomectomie</t>
  </si>
  <si>
    <t>Mastoïdectomie</t>
  </si>
  <si>
    <t>Microlaryngoscopie</t>
  </si>
  <si>
    <t>Saphénectomie bilatérale</t>
  </si>
  <si>
    <t>Ostéotomie du fémur et du tibia</t>
  </si>
  <si>
    <t>Plastie vaginale</t>
  </si>
  <si>
    <t>Rhinoplastie</t>
  </si>
  <si>
    <t>Hernioplastie</t>
  </si>
  <si>
    <t>Hémorroïdectomie</t>
  </si>
  <si>
    <t>Hystéroscopie</t>
  </si>
  <si>
    <t>Septuplastie</t>
  </si>
  <si>
    <t>Orchidectomie</t>
  </si>
  <si>
    <t>Ostéotomie tibiale</t>
  </si>
  <si>
    <t>Otoplastie</t>
  </si>
  <si>
    <t>Palatoplastie</t>
  </si>
  <si>
    <t>Adénoamigdalectomie</t>
  </si>
  <si>
    <t>Safénectomie</t>
  </si>
  <si>
    <t>Amygdalectomie</t>
  </si>
  <si>
    <t>Varicocélectomie</t>
  </si>
  <si>
    <t>Hydrocélectomie</t>
  </si>
  <si>
    <t>Résection de fibroadénome mammaire</t>
  </si>
  <si>
    <t>Minimally invasive surgery allows the meniscus lesion to be removed and stabilized</t>
  </si>
  <si>
    <t>Mentoplasty is a surgical procedure that seeks through various means to achieve an increase in chin projection.</t>
  </si>
  <si>
    <t>Myomectomy, sometimes also fibroectomy, refers to the surgical removal of uterine leiomyomas, also known as fibroids.</t>
  </si>
  <si>
    <t>A mastoidectomy is a procedure performed to remove the mastoid air cells.</t>
  </si>
  <si>
    <t>It consists of the introduction of a metallic tube in the larynx under microscopic control.</t>
  </si>
  <si>
    <t>Bilateral saphenectomy involves removing the saphenous vein from both legs.</t>
  </si>
  <si>
    <t>The osteotomy consists of making a partial cut in the bone, either in the femur or in the tibia.</t>
  </si>
  <si>
    <t>It is a surgical procedure. This surgery tightens the front wall of the vagina.</t>
  </si>
  <si>
    <t>Surgery to improve the shape of the nose.</t>
  </si>
  <si>
    <t>Umbilical hernioplasty is the name of one of the surgeries that correct an umbilical hernia, characterized by the placement of biological materials for the closure or reinforcement of the umbilical ring.</t>
  </si>
  <si>
    <t>Ureteroscopy is an intervention to examine the inside of the kidney and the ureter by means of a uteroscope.</t>
  </si>
  <si>
    <t>It is known as hemorrhoidectomy to the surgical procedure of hemorrhoid removal.</t>
  </si>
  <si>
    <t>Hysteroscopy is a clinical procedure that allows a gynecologist to see the inside of the uterus through an endoscopy.</t>
  </si>
  <si>
    <t>Septuplasty is surgery that is performed to correct deformities or deviations of the nasal septum, also called nasal septum.</t>
  </si>
  <si>
    <t>Orchiectomy is the term that is used in medicine to designate the surgical extirpation, total or partial, of one or both testicles.</t>
  </si>
  <si>
    <t>It is an operation designed to change the position and alignment of the leg bone.</t>
  </si>
  <si>
    <t>Otoplasty is a surgery in which the deformities of the ear are resolved.</t>
  </si>
  <si>
    <t>Palatoplasty is a surgical procedure used to correct or reconstruct the palate in a person with cleft palate.</t>
  </si>
  <si>
    <t>Rhinoplasty is a surgical procedure in which the aesthetic problems of the nose, such as the osseous hump, the bone protruding from the back of the nose, are mainly solved.</t>
  </si>
  <si>
    <t>The adenoamigdalectomía is the intervention that is made to extirpate the tonsils and the adenoideas vegetations.</t>
  </si>
  <si>
    <t>Surgical removal of the saphenous vein. It is usually used as a surgical treatment for varicose veins and for obtaining venous grafts in coronary artery interventions.</t>
  </si>
  <si>
    <t>Tonsillectomy involves the surgical removal of the tonsils. This surgical intervention is carried out by the otolaryngologist.</t>
  </si>
  <si>
    <t>The varicocelectomy is the surgical intervention that allows to alleviate the problems caused by the varicocele.</t>
  </si>
  <si>
    <t>A hydrocele is a type of swelling of the scrotum that occurs when fluid accumulates in the thin lining around the testicle.</t>
  </si>
  <si>
    <t>The removal of a breast tumor is surgery to remove a tumor that may be breast cancer.</t>
  </si>
  <si>
    <t>La chirurgie mini-invasive permet d'éliminer et de stabiliser la lésion méniscale</t>
  </si>
  <si>
    <t>La mentoplastie est une intervention chirurgicale qui vise, par différents moyens, à augmenter la projection du menton.</t>
  </si>
  <si>
    <t>La myomectomie, parfois aussi la fibroectomie, fait référence à l'ablation chirurgicale des léiomyomes utérins, également appelés fibromes.</t>
  </si>
  <si>
    <t>Une mastoïdectomie est une procédure réalisée pour retirer les cellules mastoïdiennes.</t>
  </si>
  <si>
    <t>Il consiste en l'introduction d'un tube métallique dans le larynx sous contrôle microscopique.</t>
  </si>
  <si>
    <t>La saphénectomie bilatérale consiste à retirer la veine saphène des deux jambes.</t>
  </si>
  <si>
    <t>L'ostéotomie consiste à pratiquer une incision partielle dans l'os, soit dans le fémur, soit dans le tibia.</t>
  </si>
  <si>
    <t>C'est une intervention chirurgicale. Cette opération resserre la paroi avant du vagin.</t>
  </si>
  <si>
    <t>Chirurgie pour améliorer la forme du nez.</t>
  </si>
  <si>
    <t>Hernioplastie ombilicale est le nom d’une des chirurgies qui corrigent une hernie ombilicale, caractérisée par la mise en place de matériel biologique pour la fermeture ou le renforcement de l’anneau ombilical.</t>
  </si>
  <si>
    <t>L'urétéroscopie est une intervention consistant à examiner l'intérieur du rein et de l'uretère à l'aide d'un utéroscope.</t>
  </si>
  <si>
    <t>Il est connu sous le nom d’hémorroïdectomie lors d’une intervention chirurgicale consistant à enlever les hémorroïdes.</t>
  </si>
  <si>
    <t>L'hystéroscopie est une procédure clinique qui permet à un gynécologue de voir l'intérieur de l'utérus par endoscopie.</t>
  </si>
  <si>
    <t>La septuplastie est une intervention chirurgicale visant à corriger les déformations ou déviations de la cloison nasale, également appelée septum nasal.</t>
  </si>
  <si>
    <t>Orchiectomie est le terme utilisé en médecine pour désigner l'extirpation chirurgicale totale ou partielle d'un ou des deux testicules.</t>
  </si>
  <si>
    <t>C'est une opération conçue pour changer la position et l'alignement de l'os de la jambe.</t>
  </si>
  <si>
    <t>L'otoplastie est une intervention chirurgicale dans laquelle les déformations de l'oreille sont résolues.</t>
  </si>
  <si>
    <t>La palatoplastie est une intervention chirurgicale utilisée pour corriger ou reconstruire le palais chez une personne souffrant de fente palatine.</t>
  </si>
  <si>
    <t>La rhinoplastie est une procédure chirurgicale dans laquelle les problèmes esthétiques du nez, tels que la bosse osseuse, l'os dépassant de l'arrière du nez, sont principalement résolus.</t>
  </si>
  <si>
    <t>L'adenoamigdalectomía est l'intervention qui consiste à extirper les amygdales et les végétations adénoïdiennes.</t>
  </si>
  <si>
    <t>Ablation chirurgicale de la veine saphène. Il est généralement utilisé en tant que traitement chirurgical des varices et pour obtenir des greffes veineuses lors d'interventions coronariennes.</t>
  </si>
  <si>
    <t>L'amygdalectomie implique l'ablation chirurgicale des amygdales. Cette intervention chirurgicale est réalisée par l'oto-rhino-laryngologiste.</t>
  </si>
  <si>
    <t>La varicocélectomie est l'intervention chirurgicale qui permet d'atténuer les problèmes causés par la varicocèle.</t>
  </si>
  <si>
    <t>Une hydrocèle est un type de gonflement du scrotum qui se produit lorsque le liquide s’accumule dans la fine membrane entourant le testicule.</t>
  </si>
  <si>
    <t>Le retrait d'une tumeur du sein est une intervention chirurgicale visant à retirer une tumeur pouvant être un cancer du sein.</t>
  </si>
  <si>
    <t>Ce sont certaines de nos procédures médicales les plus demandées; Si la procédure dont vous avez besoin n'apparaît pas, envoyez-nous un message pour citer le vôtre.</t>
  </si>
  <si>
    <t>These are some of our most requested medical procedures; If the procedure you need does not appear, send us a message to quote yours.</t>
  </si>
  <si>
    <t>medical-procedures</t>
  </si>
  <si>
    <t>En chirurgie gastrique, un chirurgien enlève une partie de l'estomac et construit un tube étroit ou 'manche' avec le reste.</t>
  </si>
  <si>
    <t xml:space="preserve">En la cirugía de manga gástrica, un cirujano extrae parte del estómago y construye un tubo estrecho o 'manga' con el resto. </t>
  </si>
  <si>
    <t>In gastric sleeve surgery, a surgeon removes part of the stomach and builds a narrow tube or 'sleeve' with the rest.</t>
  </si>
  <si>
    <t xml:space="preserve">La banda gástrica ajustable es una banda inflable que se coloca alrededor de la porción superior de estómago, con el fin de crear un reservorio pequeño para limitar la cantidad de alimentos y la rapidez con la que pasan a través del mismo. </t>
  </si>
  <si>
    <t>La tiroidectomía es la remoción parcial o total de la glándula tiroides indicada en pacientes con desordenes tanto funcionales como en el hipertiroidismo, neoplásicos e inflamatorios nombrando entre ellos tiroiditis de Hashimoto.</t>
  </si>
  <si>
    <t>Abdominoplastia es un procedimiento quirúrgico complejo de reconstrucción de la pared abdominal, que consta de eliminación del exceso de piel, del exceso de grasa y la tensión de los músculos de la pared abdominal.</t>
  </si>
  <si>
    <t>members</t>
  </si>
  <si>
    <t>Packages</t>
  </si>
  <si>
    <t>Get quote</t>
  </si>
  <si>
    <t>Consigue una cotización</t>
  </si>
  <si>
    <t>Obtenir un devis</t>
  </si>
  <si>
    <t>Contáctenos</t>
  </si>
  <si>
    <t>Envíanos un mensaje o llámanos para conocer los costos o dar seguimiento de tu tratamiento médico.</t>
  </si>
  <si>
    <t>Send us a message or call us to know the costs or follow up on your medical treatment.</t>
  </si>
  <si>
    <t>Contact us</t>
  </si>
  <si>
    <t>Nous contacter</t>
  </si>
  <si>
    <t>Envoyez-nous un message ou appelez-nous pour connaître les coûts ou suivre votre traitement médical.</t>
  </si>
  <si>
    <t>contact</t>
  </si>
  <si>
    <t>a_head</t>
  </si>
  <si>
    <t>address</t>
  </si>
  <si>
    <t>e_head</t>
  </si>
  <si>
    <t>email</t>
  </si>
  <si>
    <t>c_head</t>
  </si>
  <si>
    <t>call</t>
  </si>
  <si>
    <t>f_name</t>
  </si>
  <si>
    <t>s_email</t>
  </si>
  <si>
    <t>message</t>
  </si>
  <si>
    <t>s_message</t>
  </si>
  <si>
    <t>Dirección</t>
  </si>
  <si>
    <t>Envíenos un email</t>
  </si>
  <si>
    <t>Llámanos</t>
  </si>
  <si>
    <t>Teléfono: +52 (1) 8711039368&lt;br/&gt;Móvil: +52 (1) 8711039368</t>
  </si>
  <si>
    <t>Nombre completo</t>
  </si>
  <si>
    <t>Correo electrónico</t>
  </si>
  <si>
    <t>Escribe un mensaje</t>
  </si>
  <si>
    <t>Enviar mensaje</t>
  </si>
  <si>
    <t>Envoyez nous un email</t>
  </si>
  <si>
    <t>Appelez nous</t>
  </si>
  <si>
    <t>Téléphone: +52 (1) 8711039368 &lt;br/&gt; Mobile: +52 (1) 8711039368</t>
  </si>
  <si>
    <t>Nom complet</t>
  </si>
  <si>
    <t>Courrier électronique</t>
  </si>
  <si>
    <t>Écrire un message</t>
  </si>
  <si>
    <t>Envoyer un message</t>
  </si>
  <si>
    <t>Adresse</t>
  </si>
  <si>
    <t>Address</t>
  </si>
  <si>
    <t>Send us an email</t>
  </si>
  <si>
    <t>Call us</t>
  </si>
  <si>
    <t>Telephone: +52 (1) 8711039368 &lt;br/&gt; Mobile: +52 (1) 8711039368</t>
  </si>
  <si>
    <t>Full name</t>
  </si>
  <si>
    <t>Email</t>
  </si>
  <si>
    <t>Write a message</t>
  </si>
  <si>
    <t>Send Message</t>
  </si>
  <si>
    <t>Av Morelos 2216,&lt;br/&gt;Cuarto de Cobián Centro,&lt;br/&gt;27000 Torreón,</t>
  </si>
  <si>
    <t>/images/members/example.png</t>
  </si>
  <si>
    <t>Hospital 1</t>
  </si>
  <si>
    <t>Hospital 2</t>
  </si>
  <si>
    <t>Hospital 3</t>
  </si>
  <si>
    <t>Hospital 4</t>
  </si>
  <si>
    <t>Hospital 5</t>
  </si>
  <si>
    <t>Hospital 6</t>
  </si>
  <si>
    <t>Hospital 7</t>
  </si>
  <si>
    <t>Hospital 8</t>
  </si>
  <si>
    <t>Hospital 9</t>
  </si>
  <si>
    <t>Hôpital 1</t>
  </si>
  <si>
    <t>Hôpital 2</t>
  </si>
  <si>
    <t>Hôpital 3</t>
  </si>
  <si>
    <t>Hôpital 4</t>
  </si>
  <si>
    <t>Hôpital 5</t>
  </si>
  <si>
    <t>Hôpital 6</t>
  </si>
  <si>
    <t>Hôpital 7</t>
  </si>
  <si>
    <t>Hôpital 8</t>
  </si>
  <si>
    <t>Hôpital 9</t>
  </si>
  <si>
    <t>info@lagunamedicalcenter.com</t>
  </si>
  <si>
    <t>En Laguna Medical Center contamos solo con las Instituciones certificadas de mayor prestigio y con los mejores y mas calificados médicos para darte el mejor servicio que necesitas.</t>
  </si>
  <si>
    <t>À Laguna Medical Center, nous ne disposons que des institutions certifiées les plus prestigieuses, avec les meilleurs médecins et les plus qualifiés, pour vous fournir le meilleur service dont vous avez besoin.</t>
  </si>
  <si>
    <t>In Laguna Medical Center we have only the most prestigious certified institutions with the best and most qualified doctors to give you the best service you need.</t>
  </si>
  <si>
    <t>Todos los precios de nuestros paquetes están en dólares americanos (USD) e incluyen: El viaje redondo para el paciente y un acompañante, el costo de la cirugía, el hospital, el hotel, las comidas y los seguros.</t>
  </si>
  <si>
    <t>All prices of our packages are in US dollars (USD) and include: The round trip for the patient and a companion, the cost of surgery, hospital, hotel, meals and insurance.</t>
  </si>
  <si>
    <t>Tous les prix de nos forfaits sont en dollars américains (USD) et comprennent: l'aller-retour pour le patient et son accompagnateur, le coût de la chirurgie, de l'hôpital, de l'hôtel, des repas et de l'assurance.</t>
  </si>
  <si>
    <t>Discectomía</t>
  </si>
  <si>
    <t>Discectomie</t>
  </si>
  <si>
    <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t>
  </si>
  <si>
    <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t>
  </si>
  <si>
    <t>Discectomy is a surgical procedure to remove the damaged part of a herniated disc in the spine. A herniated disc can irritate or compress nearby nerves. Discectomy is more effective in treating pain that radiates through the arms or legs.</t>
  </si>
  <si>
    <t>Sign in</t>
  </si>
  <si>
    <t>Inicia sesión</t>
  </si>
  <si>
    <t>Connectez-vous</t>
  </si>
  <si>
    <t>In this page you can sign-in or register your account.</t>
  </si>
  <si>
    <t>En esta página puede iniciar sesión o registrar su cuenta.</t>
  </si>
  <si>
    <t>Sur cette page, vous pouvez vous connecter ou enregistrer votre compte.</t>
  </si>
  <si>
    <t>sign-in</t>
  </si>
  <si>
    <t>platform</t>
  </si>
  <si>
    <t>Register or Sign-in</t>
  </si>
  <si>
    <t>Registrarse o Iniciar sesión</t>
  </si>
  <si>
    <t>Inscrivez-vous ou connectez-vous</t>
  </si>
  <si>
    <t>Verify your email</t>
  </si>
  <si>
    <t>Verifique su correo electrónico</t>
  </si>
  <si>
    <t>Vérifiez votre e-mail</t>
  </si>
  <si>
    <t>loading</t>
  </si>
  <si>
    <t>Loading the platform</t>
  </si>
  <si>
    <t>Cargando la plataforma</t>
  </si>
  <si>
    <t>Chargement de la plateforme</t>
  </si>
  <si>
    <t>Your email is not verified. You need a verified email to access the platform.</t>
  </si>
  <si>
    <t>Su correo electrónico no está verificado. Necesita un correo electrónico verificado para acceder a la plataforma.</t>
  </si>
  <si>
    <t>Votre email n'est pas vérifié. Vous avez besoin d'un email vérifié pour accéder à la plateforme.</t>
  </si>
  <si>
    <t>Your unverified email is:</t>
  </si>
  <si>
    <t>Votre email non vérifié est:</t>
  </si>
  <si>
    <t>Su correo electrónico no verificado es:</t>
  </si>
  <si>
    <t>Send verification email</t>
  </si>
  <si>
    <t>Sign out</t>
  </si>
  <si>
    <t>Button_000</t>
  </si>
  <si>
    <t>Button_001</t>
  </si>
  <si>
    <t>Envia un correo electronico de verificación</t>
  </si>
  <si>
    <t>Envoyer email de vérification</t>
  </si>
  <si>
    <t>Déconnexion</t>
  </si>
  <si>
    <t>Desconectar</t>
  </si>
  <si>
    <t>verify-email</t>
  </si>
  <si>
    <t>loading_desc</t>
  </si>
  <si>
    <t>If it takes longer than 1 minute, please check your internet and refresh the page.</t>
  </si>
  <si>
    <t>Si tarda más de 1 minuto, compruebe su Internet y actualice la página.</t>
  </si>
  <si>
    <t>Si cela prend plus d'une minute, veuillez vérifier votre connexion Internet et actualiser la page.</t>
  </si>
  <si>
    <t>thankyouForMessage</t>
  </si>
  <si>
    <t>Thank you for your message. We will contact you soon.</t>
  </si>
  <si>
    <t>Merci pour votre message. Nous vous contacterons bientôt.</t>
  </si>
  <si>
    <t>Gracias por su mensaje. Nos pondremos en contacto con usted pronto.</t>
  </si>
  <si>
    <t>errorMessage</t>
  </si>
  <si>
    <t>est une valeur invalide</t>
  </si>
  <si>
    <t>es un valor no válido</t>
  </si>
  <si>
    <t>is an invalid value.</t>
  </si>
  <si>
    <t>unknownErrorSending</t>
  </si>
  <si>
    <t>Unknown error: Please try after sometime. You can also send us message on facebook/messenger.</t>
  </si>
  <si>
    <t>Error desconocido: intente después de algún tiempo. También puede enviarnos un mensaje en facebook / messenger.</t>
  </si>
  <si>
    <t>Erreur inconnue: veuillez essayer après quelque temps. Vous pouvez également nous envoyer un message sur facebook / messenger.</t>
  </si>
  <si>
    <t>Uyamak</t>
  </si>
  <si>
    <t>CSSPlugIn</t>
  </si>
  <si>
    <t>{"Local":true, "URL":"w3css/w3.css"},</t>
  </si>
  <si>
    <t>JSPlugInEnd</t>
  </si>
  <si>
    <t>Features</t>
  </si>
  <si>
    <t>Caracteristicas</t>
  </si>
  <si>
    <t>{"Local":true, "URL":"w3css/w3-theme-teal.css"},</t>
  </si>
  <si>
    <t>{"Local":true, "URL":"fa/css/all.min.css"}</t>
  </si>
  <si>
    <t>{"Local":true, "URL":"../css/w3css-ext.min.css"},</t>
  </si>
  <si>
    <t>{"Local":true, "URL":"../css/index.min.css"},</t>
  </si>
  <si>
    <t>{"Local":true, "URL":"../css/fonts/u57c.min.css"},</t>
  </si>
  <si>
    <t>Anchors</t>
  </si>
  <si>
    <t>],</t>
  </si>
  <si>
    <t>Top</t>
  </si>
  <si>
    <t>How does it work?</t>
  </si>
  <si>
    <t>Parte superior</t>
  </si>
  <si>
    <t>¿Como funciona?</t>
  </si>
  <si>
    <t>home</t>
  </si>
  <si>
    <t>work</t>
  </si>
  <si>
    <t>features</t>
  </si>
  <si>
    <t>{"Local":true, "URL":"../script/index.min.js"}</t>
  </si>
  <si>
    <t>{"Local":true, "URL":"jquery/jquery.min.js"},</t>
  </si>
  <si>
    <t>mathematics</t>
  </si>
  <si>
    <t>block diagram</t>
  </si>
  <si>
    <t>simulation</t>
  </si>
  <si>
    <t>application</t>
  </si>
  <si>
    <t>matemáticas</t>
  </si>
  <si>
    <t>diagrama de bloques</t>
  </si>
  <si>
    <t>simulación</t>
  </si>
  <si>
    <t>aplicación</t>
  </si>
  <si>
    <t>Learning mathematics is made fun with the Uyamak.</t>
  </si>
  <si>
    <t>El aprendizaje de las matemáticas se hace divertido con Uyamak.</t>
  </si>
  <si>
    <t>head_1_para_1</t>
  </si>
  <si>
    <t>head_1_para_2</t>
  </si>
  <si>
    <t>Es útil para estudiantes de todos los niveles e investigadores. Estamos desarrollando activamente esta aplicación para mejorar su funcionalidad. Algunas partes del sitio web están incompletas, pero vaya a la aplicación para probarla usted mismo.</t>
  </si>
  <si>
    <t>It is useful for students of all levels and researchers. We are actively developing this application to improve its functionality. Some parts of the website are incomplete, but please proceed to the app to try it yourself.</t>
  </si>
  <si>
    <t>head_1_subhead</t>
  </si>
  <si>
    <t>Schools</t>
  </si>
  <si>
    <t>Colleges</t>
  </si>
  <si>
    <t>Universities</t>
  </si>
  <si>
    <t>Researchers</t>
  </si>
  <si>
    <t>head_1_card_1_title_1</t>
  </si>
  <si>
    <t>head_1_card_1_title_2</t>
  </si>
  <si>
    <t>head_1_card_1_title_3</t>
  </si>
  <si>
    <t>head_1_card_1_title_4</t>
  </si>
  <si>
    <t>Escuelas</t>
  </si>
  <si>
    <t>Colegios</t>
  </si>
  <si>
    <t>Universidades</t>
  </si>
  <si>
    <t>Investigadores</t>
  </si>
  <si>
    <t>learn_more</t>
  </si>
  <si>
    <t>Learn more</t>
  </si>
  <si>
    <t>En las escuelas, los estudiantes pueden aprender a realizar operaciones matemáticas básicas y funciones trigonométricas.</t>
  </si>
  <si>
    <t>At schools, students can learn to perform basic mathematical operations and trigonometric functions.</t>
  </si>
  <si>
    <t>head_1_card_1_desc_1</t>
  </si>
  <si>
    <t>head_1_card_1_desc_2</t>
  </si>
  <si>
    <t>head_1_card_1_desc_3</t>
  </si>
  <si>
    <t>head_1_card_1_desc_4</t>
  </si>
  <si>
    <t>Resolver ecuaciones diferenciales, visualizar modelos matemáticos complejos es fácil con el Uyamak para los estudiantes universitarios.</t>
  </si>
  <si>
    <t>Solving differential equations, visualizing complex mathematical model is made easy with the Uyamak for the university students.</t>
  </si>
  <si>
    <t>Los investigadores pueden probar sus algoritmos aplicando diferentes métodos de integración.</t>
  </si>
  <si>
    <t>Researchers can test their algorithms by applying different integration methods.</t>
  </si>
  <si>
    <t>Uyamak editor allows you to design and simulate a mathematical model. It uses a pictorial way of design. Prepare your algorithm by connecting different blocks with the wires.</t>
  </si>
  <si>
    <t>El editor de Uyamak le permite diseñar y simular un modelo matemático. Utiliza una forma pictórica de diseño. Prepare su algoritmo conectando diferentes bloques con los cables.</t>
  </si>
  <si>
    <t>College students can practice their newly acquired knowledge in topics such as complex numbers, matrices, calculus, etc.</t>
  </si>
  <si>
    <t>Los estudiantes universitarios pueden practicar sus conocimientos recién adquiridos en temas como números complejos, matrices, cálculo, etc.</t>
  </si>
  <si>
    <t>head_2</t>
  </si>
  <si>
    <t>head_2_subhead</t>
  </si>
  <si>
    <t>Sneak peek under the hood</t>
  </si>
  <si>
    <t>Echa un vistazo debajo del capó</t>
  </si>
  <si>
    <t>Uyamak uses javascript to identify the algorithm, which is the block diagram created by the user. It then prepares an execution-order and passes it to the simulation engine. The simulation engine then executes one block at a time.</t>
  </si>
  <si>
    <t>Web workers are used for multi-threading to make sure the GUI is responsive during the execution of the simulation.</t>
  </si>
  <si>
    <t>We are drafting a scientific article to present a detailed explanation of the working of the Uyamak. Once published, we would make it available here.</t>
  </si>
  <si>
    <t>Uyamak usa javascript para identificar el algoritmo, que es el diagrama de bloques creado por el usuario. Luego prepara una orden de ejecución y la pasa al motor de simulación. El motor de simulación luego ejecuta un bloque a la vez.</t>
  </si>
  <si>
    <t>Los trabajadores web se utilizan para subprocesos múltiples para asegurarse de que la GUI responda durante la ejecución de la simulación.</t>
  </si>
  <si>
    <t>Estamos redactando un artículo científico para presentar una explicación detallada del funcionamiento del Uyamak. Una vez publicado, lo pondríamos a disposición aquí.</t>
  </si>
  <si>
    <t>head_2_para_1</t>
  </si>
  <si>
    <t>head_2_para_2</t>
  </si>
  <si>
    <t>head_2_para_3</t>
  </si>
  <si>
    <t>head_2_card_1_title_1</t>
  </si>
  <si>
    <t>head_2_card_1_title_2</t>
  </si>
  <si>
    <t>head_2_card_1_title_3</t>
  </si>
  <si>
    <t>head_2_card_1_title_4</t>
  </si>
  <si>
    <t>head_2_card_1_desc_1</t>
  </si>
  <si>
    <t>head_2_card_1_desc_2</t>
  </si>
  <si>
    <t>head_2_card_1_desc_3</t>
  </si>
  <si>
    <t>head_2_card_1_desc_4</t>
  </si>
  <si>
    <t>Interpret</t>
  </si>
  <si>
    <t>Simulate</t>
  </si>
  <si>
    <t>Display</t>
  </si>
  <si>
    <t>Update</t>
  </si>
  <si>
    <t>Interpretar</t>
  </si>
  <si>
    <t>Simular</t>
  </si>
  <si>
    <t>Monitor</t>
  </si>
  <si>
    <t>Actualizar</t>
  </si>
  <si>
    <t>Uyamak interprets the user flowchart to prepare an execution order.</t>
  </si>
  <si>
    <t>Uyamak interpreta el diagrama de flujo del usuario para preparar una orden de ejecución.</t>
  </si>
  <si>
    <t>The simulation engine numerically evaluates each block and sends the results to the main window.</t>
  </si>
  <si>
    <t>El motor de simulación evalúa numéricamente cada bloque y envía los resultados a la ventana principal.</t>
  </si>
  <si>
    <t>The main window thread displays the results at certain intervals to keep the GUI interactive.</t>
  </si>
  <si>
    <t>El hilo de la ventana principal muestra los resultados a ciertos intervalos para mantener interactiva la GUI.</t>
  </si>
  <si>
    <t>In Uyamak, you can update the models on the fly. However, the changes to the connections won't affect the simulation.</t>
  </si>
  <si>
    <t>En Uyamak, puede actualizar los modelos sobre la marcha. Sin embargo, los cambios en las conexiones no afectarán la simulación.</t>
  </si>
  <si>
    <t>head_3</t>
  </si>
  <si>
    <t>head_3_subhead</t>
  </si>
  <si>
    <t>head_3_para_1</t>
  </si>
  <si>
    <t>head_3_card_1_title_1</t>
  </si>
  <si>
    <t>OS independent</t>
  </si>
  <si>
    <t>Independiente del SO</t>
  </si>
  <si>
    <t>head_3_card_1_title_2</t>
  </si>
  <si>
    <t>Instant access</t>
  </si>
  <si>
    <t>Acceso instantáneo</t>
  </si>
  <si>
    <t>head_3_card_1_title_3</t>
  </si>
  <si>
    <t>No coding</t>
  </si>
  <si>
    <t>Sin codificación</t>
  </si>
  <si>
    <t>head_3_card_1_title_4</t>
  </si>
  <si>
    <t>Sharing</t>
  </si>
  <si>
    <t>Compartiendo</t>
  </si>
  <si>
    <t>head_3_card_1_desc_1</t>
  </si>
  <si>
    <t>Uyamak runs on a browser, so no matter which operating system you are in, Uyamak comes in handy.</t>
  </si>
  <si>
    <t>Uyamak se ejecuta en un navegador, por lo que no importa en qué sistema operativo se encuentre, Uyamak es útil.</t>
  </si>
  <si>
    <t>head_3_card_1_desc_2</t>
  </si>
  <si>
    <t>You can instantly start it working without any need for downloading, installing, and doesn't need admin rights to run.</t>
  </si>
  <si>
    <t>Puede comenzar a funcionar instantáneamente sin necesidad de descargar, instalar y no necesita derechos de administrador para ejecutarse.</t>
  </si>
  <si>
    <t>head_3_card_1_desc_3</t>
  </si>
  <si>
    <t>You don't have to code anything. It is all visual programming, which is as simple as drawing a block diagram.</t>
  </si>
  <si>
    <t>No tienes que codificar nada. Todo es programación visual, que es tan simple como dibujar un diagrama de bloques.</t>
  </si>
  <si>
    <t>head_3_card_1_desc_4</t>
  </si>
  <si>
    <t xml:space="preserve">You can download your program to your computer or save and share it on your Google Drive storage. </t>
  </si>
  <si>
    <t>Puede descargar su programa a su computadora o guardarlo y compartirlo en su almacenamiento de Google Drive.</t>
  </si>
  <si>
    <t>support</t>
  </si>
  <si>
    <t>What makes ఉ special</t>
  </si>
  <si>
    <t>Que hace a ఉ especial</t>
  </si>
  <si>
    <t>We need your help to improve</t>
  </si>
  <si>
    <t>Necesitamos tu ayuda para mejorar</t>
  </si>
  <si>
    <t>head_4</t>
  </si>
  <si>
    <t>head_4_subhead</t>
  </si>
  <si>
    <t>head_4_para_1</t>
  </si>
  <si>
    <t>Support Uyamak</t>
  </si>
  <si>
    <t>Apoya a Uyamak</t>
  </si>
  <si>
    <t>We do not use advertisements because it interferes with the app performance. Also, we don't want to charge a subscription fee because we want it to be freely available to all the students. We need support from generous users to spend more time to complete this project and improve it.</t>
  </si>
  <si>
    <t>We plan to create a complete Uyamak ecosystem by including hardware support that is capable of running the algorithm in the realtime. We will update more details shortly.</t>
  </si>
  <si>
    <t>head_4_para_2</t>
  </si>
  <si>
    <t>head_4_para_3</t>
  </si>
  <si>
    <t>No utilizamos publicidad porque interfiere con el rendimiento de la aplicación. Además, no queremos cobrar una tarifa de suscripción porque queremos que esté disponible gratuitamente para todos los estudiantes. Necesitamos el apoyo de usuarios generosos para dedicar más tiempo a completar este proyecto y mejorarlo.</t>
  </si>
  <si>
    <t>Planeamos crear un ecosistema Uyamak completo al incluir soporte de hardware que sea capaz de ejecutar el algoritmo en tiempo real. Actualizaremos más detalles en breve.</t>
  </si>
  <si>
    <t>Puede apoyarnos seleccionando cualquiera de las siguientes opciones. Le recomendamos encarecidamente que utilice Patreon porque hace públicos los fondos recaudados al instante. Sin embargo, actualizamos esto aquí mensualmente.</t>
  </si>
  <si>
    <t>Patreon</t>
  </si>
  <si>
    <t>Our first preference</t>
  </si>
  <si>
    <t>Nuestra primera preferencia</t>
  </si>
  <si>
    <t>PayPal</t>
  </si>
  <si>
    <t>Our second preference</t>
  </si>
  <si>
    <t>Nuestra segunda preferencia</t>
  </si>
  <si>
    <t>Mercancías</t>
  </si>
  <si>
    <t>Our last preference</t>
  </si>
  <si>
    <t>Nuestra ultima preferencia</t>
  </si>
  <si>
    <t>Generated</t>
  </si>
  <si>
    <t>Generado</t>
  </si>
  <si>
    <t>in the last month</t>
  </si>
  <si>
    <t>en el último mes</t>
  </si>
  <si>
    <t>head_4_card_1_title</t>
  </si>
  <si>
    <t>head_4_card_2_title</t>
  </si>
  <si>
    <t>head_4_card_3_title</t>
  </si>
  <si>
    <t>head_4_card_1_desc_1</t>
  </si>
  <si>
    <t>head_4_card_2_desc_1</t>
  </si>
  <si>
    <t>head_4_card_3_desc_1</t>
  </si>
  <si>
    <t>support_generated</t>
  </si>
  <si>
    <t>last_month</t>
  </si>
  <si>
    <t>this_month</t>
  </si>
  <si>
    <t>in the present month</t>
  </si>
  <si>
    <t>en el mes actual</t>
  </si>
  <si>
    <t>We want to hear from you</t>
  </si>
  <si>
    <t>We welcome your comments, suggestions, questions, and complaints. Please note that SKGadi designed, coded, and tested Uyamak. However, without guidance from Antonio Concha, it would be impossible to achieve its accuracy. The Uyamak team is just two persons, so it may take some time to answer your concerns.</t>
  </si>
  <si>
    <t>The following button to take you to the contact page of SKGadi. Please mention the word Uyamak in the subject to identify your area of interest.</t>
  </si>
  <si>
    <t>head_5</t>
  </si>
  <si>
    <t>head_5_subhead</t>
  </si>
  <si>
    <t>head_5_para_1</t>
  </si>
  <si>
    <t>head_5_para_2</t>
  </si>
  <si>
    <t>SKGadi's contact page</t>
  </si>
  <si>
    <t>Go to</t>
  </si>
  <si>
    <t>Queremos escuchar de ti</t>
  </si>
  <si>
    <t>Agradecemos sus comentarios, sugerencias, preguntas y quejas. Tenga en cuenta que SKGadi diseñó, codificó y probó Uyamak. Sin embargo, sin la guía de Antonio Concha, sería imposible lograr su precisión. El equipo de Uyamak es solo de dos personas, por lo que puede llevar algún tiempo responder a sus inquietudes.</t>
  </si>
  <si>
    <t>El siguiente botón le llevará a la página de contacto de SKGadi. Por favor mencione la palabra Uyamak en el tema para identificar su área de interés.</t>
  </si>
  <si>
    <t>Página de contacto de SKGadi</t>
  </si>
  <si>
    <t>Ir a</t>
  </si>
  <si>
    <t>button_contact</t>
  </si>
  <si>
    <t>button_goto</t>
  </si>
  <si>
    <t>button_goto_app</t>
  </si>
  <si>
    <t>Uyamak is unique because you can use it on your school computer, laptop, or any other computer with internet access. All your code runs on your computer, so it doesn't require a fast internet connection.</t>
  </si>
  <si>
    <t>Uyamak es único porque puede usarlo en la computadora de su escuela, computadora portátil o cualquier otra computadora con acceso a Internet. Todo su código se ejecuta en su computadora, por lo que no requiere una conexión rápida a Internet.</t>
  </si>
  <si>
    <t>head_1</t>
  </si>
  <si>
    <t>Error</t>
  </si>
  <si>
    <t>Privacy policy for the Uyamak</t>
  </si>
  <si>
    <t>Privacy policy</t>
  </si>
  <si>
    <t>Privacy Policy - Uyamak</t>
  </si>
  <si>
    <t>eff_date</t>
  </si>
  <si>
    <t>Effective Date: 11-11-2020</t>
  </si>
  <si>
    <t>Your privacy is important to us</t>
  </si>
  <si>
    <t>It is Uyamak's policy to respect your privacy regarding any information we may collect while operating our website. This Privacy Policy applies to umk.skgadi.com/ (hereinafter, "us", "we", or "umk.skgadi.com/"). We respect your privacy and are committed to protecting personally identifiable information you may provide us through the Website. We have adopted this privacy policy ("Privacy Policy") to explain what information may be collected on our Website, how we use this information, and under what circumstances we may disclose the information to third parties. This Privacy Policy applies only to information we collect through the Website and does not apply to our collection of information from other sources.</t>
  </si>
  <si>
    <t>This Privacy Policy, together with the Terms of service posted on our Website, set forth the general rules and policies governing your use of our Website. Depending on your activities when visiting our Website, you may be required to agree to additional terms of service.</t>
  </si>
  <si>
    <t>head_2_para_4</t>
  </si>
  <si>
    <t>head_2_para_5</t>
  </si>
  <si>
    <t>Contents</t>
  </si>
  <si>
    <t>Click below to jump to any section of this privacy policy</t>
  </si>
  <si>
    <t>Website Visitors</t>
  </si>
  <si>
    <t>Cookies</t>
  </si>
  <si>
    <t>Privacy Policy Changes</t>
  </si>
  <si>
    <t>Contact Information &amp; Credit</t>
  </si>
  <si>
    <t>1. Website Visitors</t>
  </si>
  <si>
    <t>head_3_para_2</t>
  </si>
  <si>
    <t xml:space="preserve">
Like most website operators, Uyamak collects non-personally-identifying information of the sort that web browsers and servers typically make available, such as the browser type, language preference, referring site, and the date and time of each visitor request. Uyamak's purpose in collecting non-personally identifying information is to better understand how Uyamak's visitors use its website. From time to time, Uyamak may release non-personally-identifying information in the aggregate, e.g., by publishing a report on trends in the usage of its website.</t>
  </si>
  <si>
    <t>Uyamak also collects potentially personally-identifying information like Internet Protocol (IP) addresses for logged in users and for users leaving comments on https://umk.skgadi.com/ blog posts. Uyamak only discloses logged in user and commenter IP addresses under the same circumstances that it uses and discloses personally-identifying information as described below.</t>
  </si>
  <si>
    <t>return_to_top</t>
  </si>
  <si>
    <t>Back to table of contents</t>
  </si>
  <si>
    <t>2. Cookies</t>
  </si>
  <si>
    <t xml:space="preserve">
To enrich and perfect your online experience, Uyamak uses "Cookies", similar technologies and services provided by others to display personalized content, appropriate advertising and store your preferences on your computer.</t>
  </si>
  <si>
    <t>A cookie is a string of information that a website stores on a visitor's computer, and that the visitor's browser provides to the website each time the visitor returns. Uyamak uses cookies to help Uyamak identify and track visitors, their usage of https://umk.skgadi.com/, and their website access preferences. Uyamak visitors who do not wish to have cookies placed on their computers should set their browsers to refuse cookies before using Uyamak's websites, with the drawback that certain features of Uyamak's websites may not function properly without the aid of cookies.</t>
  </si>
  <si>
    <t>By continuing to navigate our website without changing your cookie settings, you hereby acknowledge and agree to Uyamak's use of cookies.</t>
  </si>
  <si>
    <t xml:space="preserve">
3. Privacy Policy Changes</t>
  </si>
  <si>
    <t xml:space="preserve">
Although most changes are likely to be minor, Uyamak may change its Privacy Policy from time to time, and in Uyamak's sole discretion. Uyamak encourages visitors to frequently check this page for any changes to its Privacy Policy. Your continued use of this site after any change in this Privacy Policy will constitute your acceptance of such change.</t>
  </si>
  <si>
    <t>head_6</t>
  </si>
  <si>
    <t>head_6_para_1</t>
  </si>
  <si>
    <t xml:space="preserve">
4. Contact Information &amp; Credit</t>
  </si>
  <si>
    <t xml:space="preserve">
This privacy policy was created at privacyterms.io privacy policy generator. If you have any questions about our Privacy Policy, please contact us via email or phone.</t>
  </si>
  <si>
    <t>GitHub Sponsors</t>
  </si>
  <si>
    <t>You can support us by selecting any of the following options. We strongly recommend you to use GitHub Sponsors or Pateron because it makes the funds collected public instantly. However, once in a month, we will update the information here.</t>
  </si>
  <si>
    <t>Making learning mathematics fun</t>
  </si>
  <si>
    <t>Hacer que el aprendizaje de las matemáticas sea divertido</t>
  </si>
  <si>
    <t>button_download_app</t>
  </si>
  <si>
    <t>Online app</t>
  </si>
  <si>
    <t>Download app for windows</t>
  </si>
  <si>
    <t>Aplicación en línea</t>
  </si>
  <si>
    <t>Descarga la aplicación para windows</t>
  </si>
  <si>
    <t>download</t>
  </si>
  <si>
    <t>Download</t>
  </si>
  <si>
    <t>Descargar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</si>
</sst>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u/>
      <sz val="11"/>
      <color theme="10"/>
      <name val="Calibri"/>
      <family val="2"/>
      <scheme val="minor"/>
    </font>
    <font>
      <sz val="8"/>
      <name val="Calibri"/>
      <family val="2"/>
      <scheme val="minor"/>
    </font>
    <font>
      <b/>
      <sz val="72"/>
      <color rgb="FF000000"/>
      <name val="Calibri"/>
      <family val="2"/>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9">
    <xf numFmtId="0" fontId="0" fillId="0" borderId="0" xfId="0"/>
    <xf numFmtId="0" fontId="0" fillId="0" borderId="0" xfId="0" applyAlignment="1">
      <alignment vertical="center"/>
    </xf>
    <xf numFmtId="0" fontId="0" fillId="0" borderId="0" xfId="0" applyAlignment="1">
      <alignment horizontal="centerContinuous" vertical="center"/>
    </xf>
    <xf numFmtId="0" fontId="1" fillId="0" borderId="0" xfId="1"/>
    <xf numFmtId="0" fontId="0" fillId="0" borderId="0" xfId="0" quotePrefix="1"/>
    <xf numFmtId="0" fontId="0" fillId="0" borderId="0" xfId="0" applyAlignment="1">
      <alignment horizontal="left"/>
    </xf>
    <xf numFmtId="0" fontId="0" fillId="0" borderId="0" xfId="0" applyAlignment="1"/>
    <xf numFmtId="0" fontId="1" fillId="0" borderId="0" xfId="1" applyAlignment="1"/>
    <xf numFmtId="0" fontId="0" fillId="0" borderId="0" xfId="0" quotePrefix="1" applyAlignme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7620</xdr:rowOff>
        </xdr:from>
        <xdr:to>
          <xdr:col>13</xdr:col>
          <xdr:colOff>15240</xdr:colOff>
          <xdr:row>22</xdr:row>
          <xdr:rowOff>7620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155448" tIns="155448" rIns="155448" bIns="155448" anchor="ctr" upright="1"/>
            <a:lstStyle/>
            <a:p>
              <a:pPr algn="ctr" rtl="0">
                <a:defRPr sz="1000"/>
              </a:pPr>
              <a:r>
                <a:rPr lang="en-US" sz="7200" b="1" i="0" u="none" strike="noStrike" baseline="0">
                  <a:solidFill>
                    <a:srgbClr val="000000"/>
                  </a:solidFill>
                  <a:latin typeface="Calibri"/>
                  <a:cs typeface="Calibri"/>
                </a:rPr>
                <a:t>Generate pages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5.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9.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10.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11.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AAD45-3C1A-43DC-B4D3-58B362428DCA}">
  <sheetPr codeName="Sheet2"/>
  <dimension ref="A1"/>
  <sheetViews>
    <sheetView topLeftCell="B1" workbookViewId="0">
      <selection activeCell="P13" sqref="P13"/>
    </sheetView>
  </sheetViews>
  <sheetFormatPr defaultRowHeight="14.4" x14ac:dyDescent="0.3"/>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generateIndexFiles">
                <anchor moveWithCells="1" sizeWithCells="1">
                  <from>
                    <xdr:col>2</xdr:col>
                    <xdr:colOff>0</xdr:colOff>
                    <xdr:row>1</xdr:row>
                    <xdr:rowOff>7620</xdr:rowOff>
                  </from>
                  <to>
                    <xdr:col>13</xdr:col>
                    <xdr:colOff>15240</xdr:colOff>
                    <xdr:row>22</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ABBA6-D29B-44F5-ACF0-476138D419F1}">
  <sheetPr codeName="Sheet18"/>
  <dimension ref="A1:G81"/>
  <sheetViews>
    <sheetView topLeftCell="A42" workbookViewId="0">
      <selection activeCell="A46" sqref="A46"/>
    </sheetView>
  </sheetViews>
  <sheetFormatPr defaultRowHeight="14.4" x14ac:dyDescent="0.3"/>
  <cols>
    <col min="1" max="1" width="25.109375" style="6" customWidth="1"/>
    <col min="2" max="16384" width="8.88671875" style="6"/>
  </cols>
  <sheetData>
    <row r="1" spans="1:7" x14ac:dyDescent="0.3">
      <c r="A1" s="6" t="s">
        <v>3</v>
      </c>
      <c r="B1" s="6" t="s">
        <v>0</v>
      </c>
      <c r="C1" s="6" t="s">
        <v>1</v>
      </c>
      <c r="D1" s="6" t="s">
        <v>2</v>
      </c>
      <c r="E1" s="6" t="str">
        <f>"{"&amp;_xlfn.CONCAT(E2:E506)&amp;"}"</f>
        <v>{"title":"Privacy Policy - Uyamak","description":"Privacy policy for the Uyamak","keywords":["Uyamak","mathematics","block diagram","simulation","Privacy policy"],"author":"Suresh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"URL":"../script/index.min.js"}],"Anchors":[{"id":"home","value":"Top"}],"eff_date":"Effective Date: 11-11-2020","head_1":"Your privacy is important to us","head_1_para_1":"It is Uyamak's policy to respect your privacy regarding any information we may collect while operating our website. This Privacy Policy applies to umk.skgadi.com/ (hereinafter, "us", "we", or "umk.skgadi.com/"). We respect your privacy and are committed to protecting personally identifiable information you may provide us through the Website. We have adopted this privacy policy ("Privacy Policy") to explain what information may be collected on our Website, how we use this information, and under what circumstances we may disclose the information to third parties. This Privacy Policy applies only to information we collect through the Website and does not apply to our collection of information from other sources.","head_1_para_2":"This Privacy Policy, together with the Terms of service posted on our Website, set forth the general rules and policies governing your use of our Website. Depending on your activities when visiting our Website, you may be required to agree to additional terms of service.","head_2":"Contents","head_2_para_1":"Click below to jump to any section of this privacy policy","head_2_para_2":"Website Visitors","head_2_para_3":"Cookies","head_2_para_4":"Privacy Policy Changes","head_2_para_5":"Contact Information &amp; Credit","head_3":"1. Website Visitors","head_3_para_1":"
Like most website operators, Uyamak collects non-personally-identifying information of the sort that web browsers and servers typically make available, such as the browser type, language preference, referring site, and the date and time of each visitor request. Uyamak's purpose in collecting non-personally identifying information is to better understand how Uyamak's visitors use its website. From time to time, Uyamak may release non-personally-identifying information in the aggregate, e.g., by publishing a report on trends in the usage of its website.","head_3_para_2":"Uyamak also collects potentially personally-identifying information like Internet Protocol (IP) addresses for logged in users and for users leaving comments on https://umk.skgadi.com/ blog posts. Uyamak only discloses logged in user and commenter IP addresses under the same circumstances that it uses and discloses personally-identifying information as described below.","return_to_top":"Back to table of contents","head_4":"2. Cookies","head_4_para_1":"
To enrich and perfect your online experience, Uyamak uses "Cookies", similar technologies and services provided by others to display personalized content, appropriate advertising and store your preferences on your computer.","head_4_para_2":"A cookie is a string of information that a website stores on a visitor's computer, and that the visitor's browser provides to the website each time the visitor returns. Uyamak uses cookies to help Uyamak identify and track visitors, their usage of https://umk.skgadi.com/, and their website access preferences. Uyamak visitors who do not wish to have cookies placed on their computers should set their browsers to refuse cookies before using Uyamak's websites, with the drawback that certain features of Uyamak's websites may not function properly without the aid of cookies.","head_4_para_3":"By continuing to navigate our website without changing your cookie settings, you hereby acknowledge and agree to Uyamak's use of cookies.","head_5":"
3. Privacy Policy Changes","head_5_para_1":"
Although most changes are likely to be minor, Uyamak may change its Privacy Policy from time to time, and in Uyamak's sole discretion. Uyamak encourages visitors to frequently check this page for any changes to its Privacy Policy. Your continued use of this site after any change in this Privacy Policy will constitute your acceptance of such change.","head_6":"
4. Contact Information &amp; Credit","head_6_para_1":"
This privacy policy was created at privacyterms.io privacy policy generator. If you have any questions about our Privacy Policy, please contact us via email or phone."}</v>
      </c>
      <c r="F1" s="6" t="str">
        <f t="shared" ref="F1:G1" si="0">"{"&amp;_xlfn.CONCAT(F2:F506)&amp;"}"</f>
        <v>{"title":"Privacy Policy - Uyamak","description":"El aprendizaje de las matemáticas se hace divertido con Uyamak.","keywords":["Uyamak","matemáticas","diagrama de bloques","simulación","aplicación"],"author":"Suresh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"URL":"../script/index.min.js"}],"Anchors":[{"id":"home","value":"Parte superior"}],"eff_date":"Error","head_1":"","head_1_para_1":"","head_1_para_2":"","head_2":"","head_2_para_1":"","head_2_para_2":"","head_2_para_3":"","head_2_para_4":"","head_2_para_5":"","head_3":"","head_3_para_1":"","head_3_para_2":"","return_to_top":"","head_4":"","head_4_para_1":"","head_4_para_2":"","head_4_para_3":"","head_5":"","head_5_para_1":"","head_6":"","head_6_para_1":""}</v>
      </c>
      <c r="G1" s="6" t="str">
        <f t="shared" si="0"/>
        <v>{"title":"","description":"","keywords":["","","","",""],"author":"","publisher":"","image":"","twitter_creator":"","eff_date":"","head_1":"","head_1_para_1":"","head_1_para_2":"","head_2":"","head_2_para_1":"","head_2_para_2":"","head_2_para_3":"","head_2_para_4":"","head_2_para_5":"","head_3":"","head_3_para_1":"","head_3_para_2":"","return_to_top":"","head_4":"","head_4_para_1":"","head_4_para_2":"","head_4_para_3":"","head_5":"","head_5_para_1":"","head_6":"","head_6_para_1":""}</v>
      </c>
    </row>
    <row r="2" spans="1:7" x14ac:dyDescent="0.3">
      <c r="A2" s="6" t="s">
        <v>7</v>
      </c>
      <c r="B2" s="6" t="s">
        <v>1004</v>
      </c>
      <c r="C2" s="6" t="s">
        <v>1004</v>
      </c>
      <c r="E2" s="6" t="str">
        <f t="shared" ref="E2:G3" si="1">CHAR(34)&amp;$A2&amp;CHAR(34)&amp;":"&amp;CHAR(34)&amp;B2&amp;CHAR(34)&amp;","</f>
        <v>"title":"Privacy Policy - Uyamak",</v>
      </c>
      <c r="F2" s="6" t="str">
        <f t="shared" si="1"/>
        <v>"title":"Privacy Policy - Uyamak",</v>
      </c>
      <c r="G2" s="6" t="str">
        <f t="shared" si="1"/>
        <v>"title":"",</v>
      </c>
    </row>
    <row r="3" spans="1:7" x14ac:dyDescent="0.3">
      <c r="A3" s="6" t="s">
        <v>9</v>
      </c>
      <c r="B3" s="6" t="s">
        <v>1002</v>
      </c>
      <c r="C3" s="6" t="s">
        <v>842</v>
      </c>
      <c r="E3" s="6" t="str">
        <f t="shared" si="1"/>
        <v>"description":"Privacy policy for the Uyamak",</v>
      </c>
      <c r="F3" s="6" t="str">
        <f t="shared" si="1"/>
        <v>"description":"El aprendizaje de las matemáticas se hace divertido con Uyamak.",</v>
      </c>
      <c r="G3" s="6" t="str">
        <f t="shared" si="1"/>
        <v>"description":"",</v>
      </c>
    </row>
    <row r="4" spans="1:7" x14ac:dyDescent="0.3">
      <c r="A4" s="6" t="s">
        <v>10</v>
      </c>
      <c r="B4" s="6" t="s">
        <v>811</v>
      </c>
      <c r="C4" s="6" t="s">
        <v>811</v>
      </c>
      <c r="E4" s="6" t="str">
        <f>CHAR(34)&amp;$A4&amp;CHAR(34)&amp;":["&amp;CHAR(34)&amp;B4&amp;CHAR(34)&amp;","</f>
        <v>"keywords":["Uyamak",</v>
      </c>
      <c r="F4" s="6" t="str">
        <f>CHAR(34)&amp;$A4&amp;CHAR(34)&amp;":["&amp;CHAR(34)&amp;C4&amp;CHAR(34)&amp;","</f>
        <v>"keywords":["Uyamak",</v>
      </c>
      <c r="G4" s="6" t="str">
        <f>CHAR(34)&amp;$A4&amp;CHAR(34)&amp;":["&amp;CHAR(34)&amp;D4&amp;CHAR(34)&amp;","</f>
        <v>"keywords":["",</v>
      </c>
    </row>
    <row r="5" spans="1:7" x14ac:dyDescent="0.3">
      <c r="A5" s="6" t="s">
        <v>10</v>
      </c>
      <c r="B5" s="6" t="s">
        <v>833</v>
      </c>
      <c r="C5" s="6" t="s">
        <v>837</v>
      </c>
      <c r="E5" s="6" t="str">
        <f>CHAR(34)&amp;B5&amp;CHAR(34)&amp;","</f>
        <v>"mathematics",</v>
      </c>
      <c r="F5" s="6" t="str">
        <f>CHAR(34)&amp;C5&amp;CHAR(34)&amp;","</f>
        <v>"matemáticas",</v>
      </c>
      <c r="G5" s="6" t="str">
        <f>CHAR(34)&amp;D5&amp;CHAR(34)&amp;","</f>
        <v>"",</v>
      </c>
    </row>
    <row r="6" spans="1:7" x14ac:dyDescent="0.3">
      <c r="A6" s="6" t="s">
        <v>10</v>
      </c>
      <c r="B6" s="6" t="s">
        <v>834</v>
      </c>
      <c r="C6" s="6" t="s">
        <v>838</v>
      </c>
      <c r="E6" s="6" t="str">
        <f t="shared" ref="E6:G7" si="2">CHAR(34)&amp;B6&amp;CHAR(34)&amp;","</f>
        <v>"block diagram",</v>
      </c>
      <c r="F6" s="6" t="str">
        <f t="shared" si="2"/>
        <v>"diagrama de bloques",</v>
      </c>
      <c r="G6" s="6" t="str">
        <f t="shared" si="2"/>
        <v>"",</v>
      </c>
    </row>
    <row r="7" spans="1:7" x14ac:dyDescent="0.3">
      <c r="A7" s="6" t="s">
        <v>10</v>
      </c>
      <c r="B7" s="6" t="s">
        <v>835</v>
      </c>
      <c r="C7" s="6" t="s">
        <v>839</v>
      </c>
      <c r="E7" s="6" t="str">
        <f t="shared" si="2"/>
        <v>"simulation",</v>
      </c>
      <c r="F7" s="6" t="str">
        <f t="shared" si="2"/>
        <v>"simulación",</v>
      </c>
      <c r="G7" s="6" t="str">
        <f t="shared" si="2"/>
        <v>"",</v>
      </c>
    </row>
    <row r="8" spans="1:7" x14ac:dyDescent="0.3">
      <c r="A8" s="6" t="s">
        <v>10</v>
      </c>
      <c r="B8" s="6" t="s">
        <v>1003</v>
      </c>
      <c r="C8" s="6" t="s">
        <v>840</v>
      </c>
      <c r="E8" s="6" t="str">
        <f>CHAR(34)&amp;B8&amp;CHAR(34)&amp;"],"</f>
        <v>"Privacy policy"],</v>
      </c>
      <c r="F8" s="6" t="str">
        <f>CHAR(34)&amp;C8&amp;CHAR(34)&amp;"],"</f>
        <v>"aplicación"],</v>
      </c>
      <c r="G8" s="6" t="str">
        <f>CHAR(34)&amp;D8&amp;CHAR(34)&amp;"],"</f>
        <v>""],</v>
      </c>
    </row>
    <row r="9" spans="1:7" x14ac:dyDescent="0.3">
      <c r="A9" s="6" t="s">
        <v>11</v>
      </c>
      <c r="B9" s="6" t="s">
        <v>19</v>
      </c>
      <c r="C9" s="6" t="str">
        <f>IF(ISBLANK(B9),"",B9)</f>
        <v>Suresh Kumar Gadi</v>
      </c>
      <c r="E9" s="6" t="str">
        <f>IF(ISBLANK($A9),"",CHAR(34)&amp;$A9&amp;CHAR(34)&amp;":"&amp;CHAR(34)&amp;B9&amp;CHAR(34)&amp;IF(ISBLANK($A10),"",","))</f>
        <v>"author":"Suresh Kumar Gadi",</v>
      </c>
      <c r="F9" s="6" t="str">
        <f t="shared" ref="F9:G30" si="3">IF(ISBLANK($A9),"",CHAR(34)&amp;$A9&amp;CHAR(34)&amp;":"&amp;CHAR(34)&amp;C9&amp;CHAR(34)&amp;IF(ISBLANK($A10),"",","))</f>
        <v>"author":"Suresh Kumar Gadi",</v>
      </c>
      <c r="G9" s="6" t="str">
        <f t="shared" si="3"/>
        <v>"author":"",</v>
      </c>
    </row>
    <row r="10" spans="1:7" x14ac:dyDescent="0.3">
      <c r="A10" s="6" t="s">
        <v>12</v>
      </c>
      <c r="B10" s="7" t="s">
        <v>20</v>
      </c>
      <c r="C10" s="6" t="str">
        <f t="shared" ref="C10:C11" si="4">IF(ISBLANK(B10),"",B10)</f>
        <v>https://plus.google.com/+SureshKumarGadi/posts</v>
      </c>
      <c r="E10" s="6" t="str">
        <f t="shared" ref="E10:G49" si="5">IF(ISBLANK($A10),"",CHAR(34)&amp;$A10&amp;CHAR(34)&amp;":"&amp;CHAR(34)&amp;B10&amp;CHAR(34)&amp;IF(ISBLANK($A11),"",","))</f>
        <v>"publisher":"https://plus.google.com/+SureshKumarGadi/posts",</v>
      </c>
      <c r="F10" s="6" t="str">
        <f t="shared" si="3"/>
        <v>"publisher":"https://plus.google.com/+SureshKumarGadi/posts",</v>
      </c>
      <c r="G10" s="6" t="str">
        <f t="shared" si="3"/>
        <v>"publisher":"",</v>
      </c>
    </row>
    <row r="11" spans="1:7" x14ac:dyDescent="0.3">
      <c r="A11" s="6" t="s">
        <v>5</v>
      </c>
      <c r="B11" s="7" t="s">
        <v>21</v>
      </c>
      <c r="C11" s="6" t="str">
        <f t="shared" si="4"/>
        <v>https://lagunamedicalcenter.com/images/logo.jpg</v>
      </c>
      <c r="E11" s="6" t="str">
        <f t="shared" si="5"/>
        <v>"image":"https://lagunamedicalcenter.com/images/logo.jpg",</v>
      </c>
      <c r="F11" s="6" t="str">
        <f t="shared" si="3"/>
        <v>"image":"https://lagunamedicalcenter.com/images/logo.jpg",</v>
      </c>
      <c r="G11" s="6" t="str">
        <f t="shared" si="3"/>
        <v>"image":"",</v>
      </c>
    </row>
    <row r="12" spans="1:7" x14ac:dyDescent="0.3">
      <c r="A12" s="6" t="s">
        <v>13</v>
      </c>
      <c r="B12" s="8" t="s">
        <v>22</v>
      </c>
      <c r="C12" s="6" t="str">
        <f>IF(ISBLANK(B12),"",B12)</f>
        <v>@SureshKumarGadi</v>
      </c>
      <c r="E12" s="6" t="str">
        <f>IF(ISBLANK($A12),"",CHAR(34)&amp;$A12&amp;CHAR(34)&amp;":"&amp;CHAR(34)&amp;B12&amp;CHAR(34)&amp;IF(ISBLANK(#REF!),"",","))</f>
        <v>"twitter_creator":"@SureshKumarGadi",</v>
      </c>
      <c r="F12" s="6" t="str">
        <f>IF(ISBLANK($A12),"",CHAR(34)&amp;$A12&amp;CHAR(34)&amp;":"&amp;CHAR(34)&amp;C12&amp;CHAR(34)&amp;IF(ISBLANK(#REF!),"",","))</f>
        <v>"twitter_creator":"@SureshKumarGadi",</v>
      </c>
      <c r="G12" s="6" t="str">
        <f>IF(ISBLANK($A12),"",CHAR(34)&amp;$A12&amp;CHAR(34)&amp;":"&amp;CHAR(34)&amp;D12&amp;CHAR(34)&amp;IF(ISBLANK(#REF!),"",","))</f>
        <v>"twitter_creator":"",</v>
      </c>
    </row>
    <row r="13" spans="1:7" x14ac:dyDescent="0.3">
      <c r="A13" s="6" t="s">
        <v>812</v>
      </c>
      <c r="B13" s="8" t="s">
        <v>813</v>
      </c>
      <c r="C13" s="6" t="str">
        <f t="shared" ref="C13:C20" si="6">IF(ISBLANK(B13),"",B13)</f>
        <v>{"Local":true, "URL":"w3css/w3.css"},</v>
      </c>
      <c r="E13" s="6" t="str">
        <f>IF(ISBLANK($A13),"",CHAR(34)&amp;$A13&amp;CHAR(34)&amp;":"&amp;"["&amp;_xlfn.CONCAT($B$13:$B$18)&amp;"]"&amp;IF(ISBLANK(#REF!),"",","))</f>
        <v>"CSSPlugIn":[{"Local":true, "URL":"w3css/w3.css"},{"Local":true, "URL":"w3css/w3-theme-teal.css"},{"Local":true, "URL":"../css/w3css-ext.min.css"},{"Local":true, "URL":"../css/fonts/u57c.min.css"},{"Local":true, "URL":"../css/index.min.css"},{"Local":true, "URL":"fa/css/all.min.css"}],</v>
      </c>
      <c r="F13" s="6" t="str">
        <f>E13</f>
        <v>"CSSPlugIn":[{"Local":true, "URL":"w3css/w3.css"},{"Local":true, "URL":"w3css/w3-theme-teal.css"},{"Local":true, "URL":"../css/w3css-ext.min.css"},{"Local":true, "URL":"../css/fonts/u57c.min.css"},{"Local":true, "URL":"../css/index.min.css"},{"Local":true, "URL":"fa/css/all.min.css"}],</v>
      </c>
    </row>
    <row r="14" spans="1:7" x14ac:dyDescent="0.3">
      <c r="A14" s="6" t="s">
        <v>812</v>
      </c>
      <c r="B14" s="8" t="s">
        <v>817</v>
      </c>
      <c r="C14" s="6" t="str">
        <f t="shared" si="6"/>
        <v>{"Local":true, "URL":"w3css/w3-theme-teal.css"},</v>
      </c>
    </row>
    <row r="15" spans="1:7" x14ac:dyDescent="0.3">
      <c r="A15" s="6" t="s">
        <v>812</v>
      </c>
      <c r="B15" s="8" t="s">
        <v>819</v>
      </c>
      <c r="C15" s="6" t="str">
        <f t="shared" si="6"/>
        <v>{"Local":true, "URL":"../css/w3css-ext.min.css"},</v>
      </c>
    </row>
    <row r="16" spans="1:7" x14ac:dyDescent="0.3">
      <c r="A16" s="6" t="s">
        <v>812</v>
      </c>
      <c r="B16" s="8" t="s">
        <v>821</v>
      </c>
      <c r="C16" s="6" t="str">
        <f t="shared" si="6"/>
        <v>{"Local":true, "URL":"../css/fonts/u57c.min.css"},</v>
      </c>
    </row>
    <row r="17" spans="1:7" x14ac:dyDescent="0.3">
      <c r="A17" s="6" t="s">
        <v>812</v>
      </c>
      <c r="B17" s="8" t="s">
        <v>820</v>
      </c>
      <c r="C17" s="6" t="str">
        <f t="shared" si="6"/>
        <v>{"Local":true, "URL":"../css/index.min.css"},</v>
      </c>
    </row>
    <row r="18" spans="1:7" x14ac:dyDescent="0.3">
      <c r="A18" s="6" t="s">
        <v>812</v>
      </c>
      <c r="B18" s="8" t="s">
        <v>818</v>
      </c>
      <c r="C18" s="6" t="str">
        <f t="shared" si="6"/>
        <v>{"Local":true, "URL":"fa/css/all.min.css"}</v>
      </c>
    </row>
    <row r="19" spans="1:7" x14ac:dyDescent="0.3">
      <c r="A19" s="6" t="s">
        <v>814</v>
      </c>
      <c r="B19" s="8" t="s">
        <v>832</v>
      </c>
      <c r="C19" s="6" t="str">
        <f t="shared" si="6"/>
        <v>{"Local":true, "URL":"jquery/jquery.min.js"},</v>
      </c>
      <c r="E19" s="6" t="str">
        <f>IF(ISBLANK($A19),"",CHAR(34)&amp;$A19&amp;CHAR(34)&amp;":"&amp;"["&amp;_xlfn.CONCAT($B$19:$B$20)&amp;"],")</f>
        <v>"JSPlugInEnd":[{"Local":true, "URL":"jquery/jquery.min.js"},{"Local":true, "URL":"../script/index.min.js"}],</v>
      </c>
      <c r="F19" s="6" t="str">
        <f>E19</f>
        <v>"JSPlugInEnd":[{"Local":true, "URL":"jquery/jquery.min.js"},{"Local":true, "URL":"../script/index.min.js"}],</v>
      </c>
    </row>
    <row r="20" spans="1:7" x14ac:dyDescent="0.3">
      <c r="A20" s="6" t="s">
        <v>814</v>
      </c>
      <c r="B20" s="8" t="s">
        <v>831</v>
      </c>
      <c r="C20" s="6" t="str">
        <f t="shared" si="6"/>
        <v>{"Local":true, "URL":"../script/index.min.js"}</v>
      </c>
    </row>
    <row r="21" spans="1:7" x14ac:dyDescent="0.3">
      <c r="A21" s="6" t="s">
        <v>822</v>
      </c>
      <c r="B21" s="8"/>
      <c r="E21" s="6" t="str">
        <f>CHAR(34)&amp;A21&amp;CHAR(34)&amp;":"&amp;"["</f>
        <v>"Anchors":[</v>
      </c>
      <c r="F21" s="6" t="str">
        <f>E21</f>
        <v>"Anchors":[</v>
      </c>
    </row>
    <row r="22" spans="1:7" x14ac:dyDescent="0.3">
      <c r="A22" s="6" t="s">
        <v>828</v>
      </c>
      <c r="B22" s="8" t="s">
        <v>824</v>
      </c>
      <c r="C22" s="6" t="s">
        <v>826</v>
      </c>
      <c r="E22" s="6" t="str">
        <f>"{"&amp;CHAR(34)&amp;"id"&amp;CHAR(34)&amp;":"&amp;CHAR(34)&amp;$A22&amp;CHAR(34)&amp;","&amp;CHAR(34)&amp;"value"&amp;CHAR(34)&amp;":"&amp;CHAR(34)&amp;B22&amp;CHAR(34)&amp;"}"&amp;IF(ISBLANK(A23),"",",")</f>
        <v>{"id":"home","value":"Top"}</v>
      </c>
      <c r="F22" s="6" t="str">
        <f>"{"&amp;CHAR(34)&amp;"id"&amp;CHAR(34)&amp;":"&amp;CHAR(34)&amp;$A22&amp;CHAR(34)&amp;","&amp;CHAR(34)&amp;"value"&amp;CHAR(34)&amp;":"&amp;CHAR(34)&amp;C22&amp;CHAR(34)&amp;"}"&amp;IF(ISBLANK(B23),"",",")</f>
        <v>{"id":"home","value":"Parte superior"}</v>
      </c>
    </row>
    <row r="23" spans="1:7" x14ac:dyDescent="0.3">
      <c r="B23" s="8"/>
      <c r="E23" s="6" t="s">
        <v>823</v>
      </c>
      <c r="F23" s="6" t="str">
        <f>E23</f>
        <v>],</v>
      </c>
    </row>
    <row r="24" spans="1:7" x14ac:dyDescent="0.3">
      <c r="A24" s="6" t="s">
        <v>1005</v>
      </c>
      <c r="B24" s="8" t="s">
        <v>1006</v>
      </c>
      <c r="C24" s="6" t="s">
        <v>1001</v>
      </c>
      <c r="E24" s="6" t="str">
        <f t="shared" ref="E24:F49" si="7">IF(ISBLANK($A24),"",CHAR(34)&amp;$A24&amp;CHAR(34)&amp;":"&amp;CHAR(34)&amp;B24&amp;CHAR(34)&amp;IF(ISBLANK($A25),"",","))</f>
        <v>"eff_date":"Effective Date: 11-11-2020",</v>
      </c>
      <c r="F24" s="6" t="str">
        <f t="shared" si="7"/>
        <v>"eff_date":"Error",</v>
      </c>
      <c r="G24" s="6" t="str">
        <f t="shared" si="3"/>
        <v>"eff_date":"",</v>
      </c>
    </row>
    <row r="25" spans="1:7" x14ac:dyDescent="0.3">
      <c r="A25" s="6" t="s">
        <v>1000</v>
      </c>
      <c r="B25" s="8" t="s">
        <v>1007</v>
      </c>
      <c r="E25" s="6" t="str">
        <f t="shared" si="7"/>
        <v>"head_1":"Your privacy is important to us",</v>
      </c>
      <c r="F25" s="6" t="str">
        <f t="shared" si="7"/>
        <v>"head_1":"",</v>
      </c>
      <c r="G25" s="6" t="str">
        <f t="shared" si="3"/>
        <v>"head_1":"",</v>
      </c>
    </row>
    <row r="26" spans="1:7" x14ac:dyDescent="0.3">
      <c r="A26" s="6" t="s">
        <v>843</v>
      </c>
      <c r="B26" s="8" t="s">
        <v>1008</v>
      </c>
      <c r="E26" s="6" t="str">
        <f t="shared" si="7"/>
        <v>"head_1_para_1":"It is Uyamak's policy to respect your privacy regarding any information we may collect while operating our website. This Privacy Policy applies to umk.skgadi.com/ (hereinafter, "us", "we", or "umk.skgadi.com/"). We respect your privacy and are committed to protecting personally identifiable information you may provide us through the Website. We have adopted this privacy policy ("Privacy Policy") to explain what information may be collected on our Website, how we use this information, and under what circumstances we may disclose the information to third parties. This Privacy Policy applies only to information we collect through the Website and does not apply to our collection of information from other sources.",</v>
      </c>
      <c r="F26" s="6" t="str">
        <f t="shared" si="7"/>
        <v>"head_1_para_1":"",</v>
      </c>
      <c r="G26" s="6" t="str">
        <f t="shared" si="3"/>
        <v>"head_1_para_1":"",</v>
      </c>
    </row>
    <row r="27" spans="1:7" x14ac:dyDescent="0.3">
      <c r="A27" s="6" t="s">
        <v>844</v>
      </c>
      <c r="B27" s="8" t="s">
        <v>1009</v>
      </c>
      <c r="E27" s="6" t="str">
        <f t="shared" si="7"/>
        <v>"head_1_para_2":"This Privacy Policy, together with the Terms of service posted on our Website, set forth the general rules and policies governing your use of our Website. Depending on your activities when visiting our Website, you may be required to agree to additional terms of service.",</v>
      </c>
      <c r="F27" s="6" t="str">
        <f t="shared" si="7"/>
        <v>"head_1_para_2":"",</v>
      </c>
      <c r="G27" s="6" t="str">
        <f t="shared" si="3"/>
        <v>"head_1_para_2":"",</v>
      </c>
    </row>
    <row r="28" spans="1:7" x14ac:dyDescent="0.3">
      <c r="A28" s="6" t="s">
        <v>876</v>
      </c>
      <c r="B28" s="8" t="s">
        <v>1012</v>
      </c>
      <c r="E28" s="6" t="str">
        <f t="shared" si="7"/>
        <v>"head_2":"Contents",</v>
      </c>
      <c r="F28" s="6" t="str">
        <f t="shared" si="7"/>
        <v>"head_2":"",</v>
      </c>
      <c r="G28" s="6" t="str">
        <f t="shared" si="3"/>
        <v>"head_2":"",</v>
      </c>
    </row>
    <row r="29" spans="1:7" x14ac:dyDescent="0.3">
      <c r="A29" s="6" t="s">
        <v>886</v>
      </c>
      <c r="B29" s="8" t="s">
        <v>1013</v>
      </c>
      <c r="E29" s="6" t="str">
        <f t="shared" si="7"/>
        <v>"head_2_para_1":"Click below to jump to any section of this privacy policy",</v>
      </c>
      <c r="F29" s="6" t="str">
        <f t="shared" si="7"/>
        <v>"head_2_para_1":"",</v>
      </c>
      <c r="G29" s="6" t="str">
        <f t="shared" si="3"/>
        <v>"head_2_para_1":"",</v>
      </c>
    </row>
    <row r="30" spans="1:7" x14ac:dyDescent="0.3">
      <c r="A30" s="6" t="s">
        <v>887</v>
      </c>
      <c r="B30" s="8" t="s">
        <v>1014</v>
      </c>
      <c r="E30" s="6" t="str">
        <f t="shared" si="7"/>
        <v>"head_2_para_2":"Website Visitors",</v>
      </c>
      <c r="F30" s="6" t="str">
        <f t="shared" si="7"/>
        <v>"head_2_para_2":"",</v>
      </c>
      <c r="G30" s="6" t="str">
        <f t="shared" si="3"/>
        <v>"head_2_para_2":"",</v>
      </c>
    </row>
    <row r="31" spans="1:7" x14ac:dyDescent="0.3">
      <c r="A31" s="6" t="s">
        <v>888</v>
      </c>
      <c r="B31" s="8" t="s">
        <v>1015</v>
      </c>
      <c r="E31" s="6" t="str">
        <f t="shared" si="7"/>
        <v>"head_2_para_3":"Cookies",</v>
      </c>
      <c r="F31" s="6" t="str">
        <f t="shared" si="7"/>
        <v>"head_2_para_3":"",</v>
      </c>
      <c r="G31" s="6" t="str">
        <f t="shared" si="5"/>
        <v>"head_2_para_3":"",</v>
      </c>
    </row>
    <row r="32" spans="1:7" x14ac:dyDescent="0.3">
      <c r="A32" s="6" t="s">
        <v>1010</v>
      </c>
      <c r="B32" s="6" t="s">
        <v>1016</v>
      </c>
      <c r="E32" s="6" t="str">
        <f t="shared" si="7"/>
        <v>"head_2_para_4":"Privacy Policy Changes",</v>
      </c>
      <c r="F32" s="6" t="str">
        <f t="shared" si="7"/>
        <v>"head_2_para_4":"",</v>
      </c>
      <c r="G32" s="6" t="str">
        <f t="shared" si="5"/>
        <v>"head_2_para_4":"",</v>
      </c>
    </row>
    <row r="33" spans="1:7" x14ac:dyDescent="0.3">
      <c r="A33" s="6" t="s">
        <v>1011</v>
      </c>
      <c r="B33" s="6" t="s">
        <v>1017</v>
      </c>
      <c r="E33" s="6" t="str">
        <f t="shared" si="7"/>
        <v>"head_2_para_5":"Contact Information &amp; Credit",</v>
      </c>
      <c r="F33" s="6" t="str">
        <f t="shared" si="7"/>
        <v>"head_2_para_5":"",</v>
      </c>
      <c r="G33" s="6" t="str">
        <f t="shared" si="5"/>
        <v>"head_2_para_5":"",</v>
      </c>
    </row>
    <row r="34" spans="1:7" x14ac:dyDescent="0.3">
      <c r="A34" s="6" t="s">
        <v>913</v>
      </c>
      <c r="B34" s="6" t="s">
        <v>1018</v>
      </c>
      <c r="E34" s="6" t="str">
        <f t="shared" si="7"/>
        <v>"head_3":"1. Website Visitors",</v>
      </c>
      <c r="F34" s="6" t="str">
        <f t="shared" si="7"/>
        <v>"head_3":"",</v>
      </c>
      <c r="G34" s="6" t="str">
        <f t="shared" si="5"/>
        <v>"head_3":"",</v>
      </c>
    </row>
    <row r="35" spans="1:7" x14ac:dyDescent="0.3">
      <c r="A35" s="6" t="s">
        <v>915</v>
      </c>
      <c r="B35" s="6" t="s">
        <v>1020</v>
      </c>
      <c r="E35" s="6" t="str">
        <f t="shared" si="7"/>
        <v>"head_3_para_1":"
Like most website operators, Uyamak collects non-personally-identifying information of the sort that web browsers and servers typically make available, such as the browser type, language preference, referring site, and the date and time of each visitor request. Uyamak's purpose in collecting non-personally identifying information is to better understand how Uyamak's visitors use its website. From time to time, Uyamak may release non-personally-identifying information in the aggregate, e.g., by publishing a report on trends in the usage of its website.",</v>
      </c>
      <c r="F35" s="6" t="str">
        <f t="shared" si="7"/>
        <v>"head_3_para_1":"",</v>
      </c>
      <c r="G35" s="6" t="str">
        <f t="shared" si="5"/>
        <v>"head_3_para_1":"",</v>
      </c>
    </row>
    <row r="36" spans="1:7" x14ac:dyDescent="0.3">
      <c r="A36" s="6" t="s">
        <v>1019</v>
      </c>
      <c r="B36" s="6" t="s">
        <v>1021</v>
      </c>
      <c r="E36" s="6" t="str">
        <f t="shared" si="7"/>
        <v>"head_3_para_2":"Uyamak also collects potentially personally-identifying information like Internet Protocol (IP) addresses for logged in users and for users leaving comments on https://umk.skgadi.com/ blog posts. Uyamak only discloses logged in user and commenter IP addresses under the same circumstances that it uses and discloses personally-identifying information as described below.",</v>
      </c>
      <c r="F36" s="6" t="str">
        <f t="shared" si="7"/>
        <v>"head_3_para_2":"",</v>
      </c>
      <c r="G36" s="6" t="str">
        <f t="shared" si="5"/>
        <v>"head_3_para_2":"",</v>
      </c>
    </row>
    <row r="37" spans="1:7" x14ac:dyDescent="0.3">
      <c r="A37" s="6" t="s">
        <v>1022</v>
      </c>
      <c r="B37" s="6" t="s">
        <v>1023</v>
      </c>
      <c r="E37" s="6" t="str">
        <f t="shared" si="7"/>
        <v>"return_to_top":"Back to table of contents",</v>
      </c>
      <c r="F37" s="6" t="str">
        <f t="shared" si="7"/>
        <v>"return_to_top":"",</v>
      </c>
      <c r="G37" s="6" t="str">
        <f t="shared" si="5"/>
        <v>"return_to_top":"",</v>
      </c>
    </row>
    <row r="38" spans="1:7" x14ac:dyDescent="0.3">
      <c r="A38" s="6" t="s">
        <v>945</v>
      </c>
      <c r="B38" s="6" t="s">
        <v>1024</v>
      </c>
      <c r="E38" s="6" t="str">
        <f t="shared" si="7"/>
        <v>"head_4":"2. Cookies",</v>
      </c>
      <c r="F38" s="6" t="str">
        <f t="shared" si="7"/>
        <v>"head_4":"",</v>
      </c>
      <c r="G38" s="6" t="str">
        <f t="shared" si="5"/>
        <v>"head_4":"",</v>
      </c>
    </row>
    <row r="39" spans="1:7" x14ac:dyDescent="0.3">
      <c r="A39" s="6" t="s">
        <v>947</v>
      </c>
      <c r="B39" s="6" t="s">
        <v>1025</v>
      </c>
      <c r="E39" s="6" t="str">
        <f t="shared" si="7"/>
        <v>"head_4_para_1":"
To enrich and perfect your online experience, Uyamak uses "Cookies", similar technologies and services provided by others to display personalized content, appropriate advertising and store your preferences on your computer.",</v>
      </c>
      <c r="F39" s="6" t="str">
        <f t="shared" si="7"/>
        <v>"head_4_para_1":"",</v>
      </c>
      <c r="G39" s="6" t="str">
        <f t="shared" si="5"/>
        <v>"head_4_para_1":"",</v>
      </c>
    </row>
    <row r="40" spans="1:7" x14ac:dyDescent="0.3">
      <c r="A40" s="6" t="s">
        <v>952</v>
      </c>
      <c r="B40" s="6" t="s">
        <v>1026</v>
      </c>
      <c r="E40" s="6" t="str">
        <f t="shared" si="7"/>
        <v>"head_4_para_2":"A cookie is a string of information that a website stores on a visitor's computer, and that the visitor's browser provides to the website each time the visitor returns. Uyamak uses cookies to help Uyamak identify and track visitors, their usage of https://umk.skgadi.com/, and their website access preferences. Uyamak visitors who do not wish to have cookies placed on their computers should set their browsers to refuse cookies before using Uyamak's websites, with the drawback that certain features of Uyamak's websites may not function properly without the aid of cookies.",</v>
      </c>
      <c r="F40" s="6" t="str">
        <f t="shared" si="7"/>
        <v>"head_4_para_2":"",</v>
      </c>
      <c r="G40" s="6" t="str">
        <f t="shared" si="5"/>
        <v>"head_4_para_2":"",</v>
      </c>
    </row>
    <row r="41" spans="1:7" x14ac:dyDescent="0.3">
      <c r="A41" s="6" t="s">
        <v>953</v>
      </c>
      <c r="B41" s="6" t="s">
        <v>1027</v>
      </c>
      <c r="E41" s="6" t="str">
        <f t="shared" si="7"/>
        <v>"head_4_para_3":"By continuing to navigate our website without changing your cookie settings, you hereby acknowledge and agree to Uyamak's use of cookies.",</v>
      </c>
      <c r="F41" s="6" t="str">
        <f t="shared" si="7"/>
        <v>"head_4_para_3":"",</v>
      </c>
      <c r="G41" s="6" t="str">
        <f t="shared" si="5"/>
        <v>"head_4_para_3":"",</v>
      </c>
    </row>
    <row r="42" spans="1:7" x14ac:dyDescent="0.3">
      <c r="A42" s="6" t="s">
        <v>984</v>
      </c>
      <c r="B42" s="6" t="s">
        <v>1028</v>
      </c>
      <c r="E42" s="6" t="str">
        <f t="shared" si="7"/>
        <v>"head_5":"
3. Privacy Policy Changes",</v>
      </c>
      <c r="F42" s="6" t="str">
        <f t="shared" si="7"/>
        <v>"head_5":"",</v>
      </c>
      <c r="G42" s="6" t="str">
        <f t="shared" si="5"/>
        <v>"head_5":"",</v>
      </c>
    </row>
    <row r="43" spans="1:7" x14ac:dyDescent="0.3">
      <c r="A43" s="6" t="s">
        <v>986</v>
      </c>
      <c r="B43" s="6" t="s">
        <v>1029</v>
      </c>
      <c r="E43" s="6" t="str">
        <f t="shared" si="7"/>
        <v>"head_5_para_1":"
Although most changes are likely to be minor, Uyamak may change its Privacy Policy from time to time, and in Uyamak's sole discretion. Uyamak encourages visitors to frequently check this page for any changes to its Privacy Policy. Your continued use of this site after any change in this Privacy Policy will constitute your acceptance of such change.",</v>
      </c>
      <c r="F43" s="6" t="str">
        <f t="shared" si="7"/>
        <v>"head_5_para_1":"",</v>
      </c>
      <c r="G43" s="6" t="str">
        <f t="shared" si="5"/>
        <v>"head_5_para_1":"",</v>
      </c>
    </row>
    <row r="44" spans="1:7" x14ac:dyDescent="0.3">
      <c r="A44" s="6" t="s">
        <v>1030</v>
      </c>
      <c r="B44" s="6" t="s">
        <v>1032</v>
      </c>
      <c r="E44" s="6" t="str">
        <f t="shared" si="7"/>
        <v>"head_6":"
4. Contact Information &amp; Credit",</v>
      </c>
      <c r="F44" s="6" t="str">
        <f t="shared" si="7"/>
        <v>"head_6":"",</v>
      </c>
      <c r="G44" s="6" t="str">
        <f t="shared" si="5"/>
        <v>"head_6":"",</v>
      </c>
    </row>
    <row r="45" spans="1:7" x14ac:dyDescent="0.3">
      <c r="A45" s="6" t="s">
        <v>1031</v>
      </c>
      <c r="B45" s="6" t="s">
        <v>1033</v>
      </c>
      <c r="E45" s="6" t="str">
        <f t="shared" si="7"/>
        <v>"head_6_para_1":"
This privacy policy was created at privacyterms.io privacy policy generator. If you have any questions about our Privacy Policy, please contact us via email or phone."</v>
      </c>
      <c r="F45" s="6" t="str">
        <f t="shared" si="7"/>
        <v>"head_6_para_1":""</v>
      </c>
      <c r="G45" s="6" t="str">
        <f t="shared" si="5"/>
        <v>"head_6_para_1":""</v>
      </c>
    </row>
    <row r="46" spans="1:7" x14ac:dyDescent="0.3">
      <c r="E46" s="6" t="str">
        <f t="shared" si="7"/>
        <v/>
      </c>
      <c r="F46" s="6" t="str">
        <f t="shared" si="7"/>
        <v/>
      </c>
      <c r="G46" s="6" t="str">
        <f t="shared" si="5"/>
        <v/>
      </c>
    </row>
    <row r="47" spans="1:7" x14ac:dyDescent="0.3">
      <c r="E47" s="6" t="str">
        <f t="shared" si="7"/>
        <v/>
      </c>
      <c r="F47" s="6" t="str">
        <f t="shared" si="7"/>
        <v/>
      </c>
      <c r="G47" s="6" t="str">
        <f t="shared" si="5"/>
        <v/>
      </c>
    </row>
    <row r="48" spans="1:7" x14ac:dyDescent="0.3">
      <c r="E48" s="6" t="str">
        <f t="shared" si="7"/>
        <v/>
      </c>
      <c r="F48" s="6" t="str">
        <f t="shared" si="7"/>
        <v/>
      </c>
      <c r="G48" s="6" t="str">
        <f t="shared" si="5"/>
        <v/>
      </c>
    </row>
    <row r="49" spans="5:7" x14ac:dyDescent="0.3">
      <c r="E49" s="6" t="str">
        <f t="shared" si="7"/>
        <v/>
      </c>
      <c r="F49" s="6" t="str">
        <f t="shared" si="7"/>
        <v/>
      </c>
      <c r="G49" s="6" t="str">
        <f t="shared" si="5"/>
        <v/>
      </c>
    </row>
    <row r="50" spans="5:7" x14ac:dyDescent="0.3">
      <c r="E50" s="6" t="str">
        <f t="shared" ref="E50:G81" si="8">IF(ISBLANK($A50),"",CHAR(34)&amp;$A50&amp;CHAR(34)&amp;":"&amp;CHAR(34)&amp;B50&amp;CHAR(34)&amp;IF(ISBLANK($A51),"",","))</f>
        <v/>
      </c>
      <c r="F50" s="6" t="str">
        <f t="shared" si="8"/>
        <v/>
      </c>
      <c r="G50" s="6" t="str">
        <f t="shared" si="8"/>
        <v/>
      </c>
    </row>
    <row r="51" spans="5:7" x14ac:dyDescent="0.3">
      <c r="E51" s="6" t="str">
        <f t="shared" si="8"/>
        <v/>
      </c>
      <c r="F51" s="6" t="str">
        <f t="shared" si="8"/>
        <v/>
      </c>
      <c r="G51" s="6" t="str">
        <f t="shared" si="8"/>
        <v/>
      </c>
    </row>
    <row r="52" spans="5:7" x14ac:dyDescent="0.3">
      <c r="E52" s="6" t="str">
        <f t="shared" si="8"/>
        <v/>
      </c>
      <c r="F52" s="6" t="str">
        <f t="shared" si="8"/>
        <v/>
      </c>
      <c r="G52" s="6" t="str">
        <f t="shared" si="8"/>
        <v/>
      </c>
    </row>
    <row r="53" spans="5:7" x14ac:dyDescent="0.3">
      <c r="E53" s="6" t="str">
        <f t="shared" si="8"/>
        <v/>
      </c>
      <c r="F53" s="6" t="str">
        <f t="shared" si="8"/>
        <v/>
      </c>
      <c r="G53" s="6" t="str">
        <f t="shared" si="8"/>
        <v/>
      </c>
    </row>
    <row r="54" spans="5:7" x14ac:dyDescent="0.3">
      <c r="E54" s="6" t="str">
        <f t="shared" si="8"/>
        <v/>
      </c>
      <c r="F54" s="6" t="str">
        <f t="shared" si="8"/>
        <v/>
      </c>
      <c r="G54" s="6" t="str">
        <f t="shared" si="8"/>
        <v/>
      </c>
    </row>
    <row r="55" spans="5:7" x14ac:dyDescent="0.3">
      <c r="E55" s="6" t="str">
        <f t="shared" si="8"/>
        <v/>
      </c>
      <c r="F55" s="6" t="str">
        <f t="shared" si="8"/>
        <v/>
      </c>
      <c r="G55" s="6" t="str">
        <f t="shared" si="8"/>
        <v/>
      </c>
    </row>
    <row r="56" spans="5:7" x14ac:dyDescent="0.3">
      <c r="E56" s="6" t="str">
        <f t="shared" si="8"/>
        <v/>
      </c>
      <c r="F56" s="6" t="str">
        <f t="shared" si="8"/>
        <v/>
      </c>
      <c r="G56" s="6" t="str">
        <f t="shared" si="8"/>
        <v/>
      </c>
    </row>
    <row r="57" spans="5:7" x14ac:dyDescent="0.3">
      <c r="E57" s="6" t="str">
        <f t="shared" si="8"/>
        <v/>
      </c>
      <c r="F57" s="6" t="str">
        <f t="shared" si="8"/>
        <v/>
      </c>
      <c r="G57" s="6" t="str">
        <f t="shared" si="8"/>
        <v/>
      </c>
    </row>
    <row r="58" spans="5:7" x14ac:dyDescent="0.3">
      <c r="E58" s="6" t="str">
        <f t="shared" si="8"/>
        <v/>
      </c>
      <c r="F58" s="6" t="str">
        <f t="shared" si="8"/>
        <v/>
      </c>
      <c r="G58" s="6" t="str">
        <f t="shared" si="8"/>
        <v/>
      </c>
    </row>
    <row r="59" spans="5:7" x14ac:dyDescent="0.3">
      <c r="E59" s="6" t="str">
        <f t="shared" si="8"/>
        <v/>
      </c>
      <c r="F59" s="6" t="str">
        <f t="shared" si="8"/>
        <v/>
      </c>
      <c r="G59" s="6" t="str">
        <f t="shared" si="8"/>
        <v/>
      </c>
    </row>
    <row r="60" spans="5:7" x14ac:dyDescent="0.3">
      <c r="E60" s="6" t="str">
        <f t="shared" si="8"/>
        <v/>
      </c>
      <c r="F60" s="6" t="str">
        <f t="shared" si="8"/>
        <v/>
      </c>
      <c r="G60" s="6" t="str">
        <f t="shared" si="8"/>
        <v/>
      </c>
    </row>
    <row r="61" spans="5:7" x14ac:dyDescent="0.3">
      <c r="E61" s="6" t="str">
        <f t="shared" si="8"/>
        <v/>
      </c>
      <c r="F61" s="6" t="str">
        <f t="shared" si="8"/>
        <v/>
      </c>
      <c r="G61" s="6" t="str">
        <f t="shared" si="8"/>
        <v/>
      </c>
    </row>
    <row r="62" spans="5:7" x14ac:dyDescent="0.3">
      <c r="E62" s="6" t="str">
        <f t="shared" si="8"/>
        <v/>
      </c>
      <c r="F62" s="6" t="str">
        <f t="shared" si="8"/>
        <v/>
      </c>
      <c r="G62" s="6" t="str">
        <f t="shared" si="8"/>
        <v/>
      </c>
    </row>
    <row r="63" spans="5:7" x14ac:dyDescent="0.3">
      <c r="E63" s="6" t="str">
        <f t="shared" si="8"/>
        <v/>
      </c>
      <c r="F63" s="6" t="str">
        <f t="shared" si="8"/>
        <v/>
      </c>
      <c r="G63" s="6" t="str">
        <f t="shared" si="8"/>
        <v/>
      </c>
    </row>
    <row r="64" spans="5:7" x14ac:dyDescent="0.3">
      <c r="E64" s="6" t="str">
        <f t="shared" si="8"/>
        <v/>
      </c>
      <c r="F64" s="6" t="str">
        <f t="shared" si="8"/>
        <v/>
      </c>
      <c r="G64" s="6" t="str">
        <f t="shared" si="8"/>
        <v/>
      </c>
    </row>
    <row r="65" spans="5:7" x14ac:dyDescent="0.3">
      <c r="E65" s="6" t="str">
        <f t="shared" si="8"/>
        <v/>
      </c>
      <c r="F65" s="6" t="str">
        <f t="shared" si="8"/>
        <v/>
      </c>
      <c r="G65" s="6" t="str">
        <f t="shared" si="8"/>
        <v/>
      </c>
    </row>
    <row r="66" spans="5:7" x14ac:dyDescent="0.3">
      <c r="E66" s="6" t="str">
        <f t="shared" si="8"/>
        <v/>
      </c>
      <c r="F66" s="6" t="str">
        <f t="shared" si="8"/>
        <v/>
      </c>
      <c r="G66" s="6" t="str">
        <f t="shared" si="8"/>
        <v/>
      </c>
    </row>
    <row r="67" spans="5:7" x14ac:dyDescent="0.3">
      <c r="E67" s="6" t="str">
        <f t="shared" si="8"/>
        <v/>
      </c>
      <c r="F67" s="6" t="str">
        <f t="shared" si="8"/>
        <v/>
      </c>
      <c r="G67" s="6" t="str">
        <f t="shared" si="8"/>
        <v/>
      </c>
    </row>
    <row r="68" spans="5:7" x14ac:dyDescent="0.3">
      <c r="E68" s="6" t="str">
        <f t="shared" si="8"/>
        <v/>
      </c>
      <c r="F68" s="6" t="str">
        <f t="shared" si="8"/>
        <v/>
      </c>
      <c r="G68" s="6" t="str">
        <f t="shared" si="8"/>
        <v/>
      </c>
    </row>
    <row r="69" spans="5:7" x14ac:dyDescent="0.3">
      <c r="E69" s="6" t="str">
        <f t="shared" si="8"/>
        <v/>
      </c>
      <c r="F69" s="6" t="str">
        <f t="shared" si="8"/>
        <v/>
      </c>
      <c r="G69" s="6" t="str">
        <f t="shared" si="8"/>
        <v/>
      </c>
    </row>
    <row r="70" spans="5:7" x14ac:dyDescent="0.3">
      <c r="E70" s="6" t="str">
        <f t="shared" si="8"/>
        <v/>
      </c>
      <c r="F70" s="6" t="str">
        <f t="shared" si="8"/>
        <v/>
      </c>
      <c r="G70" s="6" t="str">
        <f t="shared" si="8"/>
        <v/>
      </c>
    </row>
    <row r="71" spans="5:7" x14ac:dyDescent="0.3">
      <c r="E71" s="6" t="str">
        <f t="shared" si="8"/>
        <v/>
      </c>
      <c r="F71" s="6" t="str">
        <f t="shared" si="8"/>
        <v/>
      </c>
      <c r="G71" s="6" t="str">
        <f t="shared" si="8"/>
        <v/>
      </c>
    </row>
    <row r="72" spans="5:7" x14ac:dyDescent="0.3">
      <c r="E72" s="6" t="str">
        <f t="shared" si="8"/>
        <v/>
      </c>
      <c r="F72" s="6" t="str">
        <f t="shared" si="8"/>
        <v/>
      </c>
      <c r="G72" s="6" t="str">
        <f t="shared" si="8"/>
        <v/>
      </c>
    </row>
    <row r="73" spans="5:7" x14ac:dyDescent="0.3">
      <c r="E73" s="6" t="str">
        <f t="shared" si="8"/>
        <v/>
      </c>
      <c r="F73" s="6" t="str">
        <f t="shared" si="8"/>
        <v/>
      </c>
      <c r="G73" s="6" t="str">
        <f t="shared" si="8"/>
        <v/>
      </c>
    </row>
    <row r="74" spans="5:7" x14ac:dyDescent="0.3">
      <c r="E74" s="6" t="str">
        <f t="shared" si="8"/>
        <v/>
      </c>
      <c r="F74" s="6" t="str">
        <f t="shared" si="8"/>
        <v/>
      </c>
      <c r="G74" s="6" t="str">
        <f t="shared" si="8"/>
        <v/>
      </c>
    </row>
    <row r="75" spans="5:7" x14ac:dyDescent="0.3">
      <c r="E75" s="6" t="str">
        <f t="shared" si="8"/>
        <v/>
      </c>
      <c r="F75" s="6" t="str">
        <f t="shared" si="8"/>
        <v/>
      </c>
      <c r="G75" s="6" t="str">
        <f t="shared" si="8"/>
        <v/>
      </c>
    </row>
    <row r="76" spans="5:7" x14ac:dyDescent="0.3">
      <c r="E76" s="6" t="str">
        <f t="shared" si="8"/>
        <v/>
      </c>
      <c r="F76" s="6" t="str">
        <f t="shared" si="8"/>
        <v/>
      </c>
      <c r="G76" s="6" t="str">
        <f t="shared" si="8"/>
        <v/>
      </c>
    </row>
    <row r="77" spans="5:7" x14ac:dyDescent="0.3">
      <c r="E77" s="6" t="str">
        <f t="shared" si="8"/>
        <v/>
      </c>
      <c r="F77" s="6" t="str">
        <f t="shared" si="8"/>
        <v/>
      </c>
      <c r="G77" s="6" t="str">
        <f t="shared" si="8"/>
        <v/>
      </c>
    </row>
    <row r="78" spans="5:7" x14ac:dyDescent="0.3">
      <c r="E78" s="6" t="str">
        <f t="shared" si="8"/>
        <v/>
      </c>
      <c r="F78" s="6" t="str">
        <f t="shared" si="8"/>
        <v/>
      </c>
      <c r="G78" s="6" t="str">
        <f t="shared" si="8"/>
        <v/>
      </c>
    </row>
    <row r="79" spans="5:7" x14ac:dyDescent="0.3">
      <c r="E79" s="6" t="str">
        <f t="shared" si="8"/>
        <v/>
      </c>
      <c r="F79" s="6" t="str">
        <f t="shared" si="8"/>
        <v/>
      </c>
      <c r="G79" s="6" t="str">
        <f t="shared" si="8"/>
        <v/>
      </c>
    </row>
    <row r="80" spans="5:7" x14ac:dyDescent="0.3">
      <c r="E80" s="6" t="str">
        <f t="shared" si="8"/>
        <v/>
      </c>
      <c r="F80" s="6" t="str">
        <f t="shared" si="8"/>
        <v/>
      </c>
      <c r="G80" s="6" t="str">
        <f t="shared" si="8"/>
        <v/>
      </c>
    </row>
    <row r="81" spans="5:7" x14ac:dyDescent="0.3">
      <c r="E81" s="6" t="str">
        <f t="shared" si="8"/>
        <v/>
      </c>
      <c r="F81" s="6" t="str">
        <f t="shared" si="8"/>
        <v/>
      </c>
      <c r="G81" s="6" t="str">
        <f t="shared" si="8"/>
        <v/>
      </c>
    </row>
  </sheetData>
  <phoneticPr fontId="2" type="noConversion"/>
  <hyperlinks>
    <hyperlink ref="B10" r:id="rId1" xr:uid="{66A381BD-143A-4707-850F-36305B737884}"/>
    <hyperlink ref="B11" r:id="rId2" xr:uid="{CD7ABDD6-DD5A-4C98-9EDA-06239FA5C7BD}"/>
  </hyperlinks>
  <pageMargins left="0.7" right="0.7" top="0.75" bottom="0.75" header="0.3" footer="0.3"/>
  <pageSetup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62DE7-5696-4B5A-83C0-66295D5EC22F}">
  <sheetPr codeName="Sheet17"/>
  <dimension ref="A1:G81"/>
  <sheetViews>
    <sheetView workbookViewId="0">
      <selection activeCell="B15" sqref="B15"/>
    </sheetView>
  </sheetViews>
  <sheetFormatPr defaultRowHeight="14.4" x14ac:dyDescent="0.3"/>
  <cols>
    <col min="1" max="1" width="25.109375" customWidth="1"/>
  </cols>
  <sheetData>
    <row r="1" spans="1:7" x14ac:dyDescent="0.3">
      <c r="A1" t="s">
        <v>3</v>
      </c>
      <c r="B1" t="s">
        <v>0</v>
      </c>
      <c r="C1" t="s">
        <v>1</v>
      </c>
      <c r="D1" t="s">
        <v>2</v>
      </c>
      <c r="E1" t="str">
        <f>"{"&amp;_xlfn.CONCAT(E2:E506)&amp;"}"</f>
        <v>{"title":"Uyamak","description":"Learning mathematics is made fun with the Uyamak.","keywords":["Uyamak","mathematics","block diagram","simulation","application"],"author":"Suresh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"URL":"../script/index.min.js"}],"Anchors":[{"id":"home","value":"Top"}],"head_1":"Error"}</v>
      </c>
      <c r="F1" t="str">
        <f t="shared" ref="F1:G1" si="0">"{"&amp;_xlfn.CONCAT(F2:F506)&amp;"}"</f>
        <v>{"title":"Uyamak","description":"El aprendizaje de las matemáticas se hace divertido con Uyamak.","keywords":["Uyamak","matemáticas","diagrama de bloques","simulación","aplicación"],"author":"Suresh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"URL":"../script/index.min.js"}],"Anchors":[{"id":"home","value":"Parte superior"}],"head_1":"Error"}</v>
      </c>
      <c r="G1" t="str">
        <f t="shared" si="0"/>
        <v>{"title":"","description":"","keywords":["","","","",""],"author":"","publisher":"","image":"","twitter_creator":"","head_1":""}</v>
      </c>
    </row>
    <row r="2" spans="1:7" x14ac:dyDescent="0.3">
      <c r="A2" t="s">
        <v>7</v>
      </c>
      <c r="B2" t="s">
        <v>811</v>
      </c>
      <c r="C2" t="s">
        <v>811</v>
      </c>
      <c r="E2" t="str">
        <f t="shared" ref="E2:G3" si="1">CHAR(34)&amp;$A2&amp;CHAR(34)&amp;":"&amp;CHAR(34)&amp;B2&amp;CHAR(34)&amp;","</f>
        <v>"title":"Uyamak",</v>
      </c>
      <c r="F2" t="str">
        <f t="shared" si="1"/>
        <v>"title":"Uyamak",</v>
      </c>
      <c r="G2" t="str">
        <f t="shared" si="1"/>
        <v>"title":"",</v>
      </c>
    </row>
    <row r="3" spans="1:7" x14ac:dyDescent="0.3">
      <c r="A3" t="s">
        <v>9</v>
      </c>
      <c r="B3" t="s">
        <v>841</v>
      </c>
      <c r="C3" t="s">
        <v>842</v>
      </c>
      <c r="E3" t="str">
        <f t="shared" si="1"/>
        <v>"description":"Learning mathematics is made fun with the Uyamak.",</v>
      </c>
      <c r="F3" t="str">
        <f t="shared" si="1"/>
        <v>"description":"El aprendizaje de las matemáticas se hace divertido con Uyamak.",</v>
      </c>
      <c r="G3" t="str">
        <f t="shared" si="1"/>
        <v>"description":"",</v>
      </c>
    </row>
    <row r="4" spans="1:7" x14ac:dyDescent="0.3">
      <c r="A4" t="s">
        <v>10</v>
      </c>
      <c r="B4" t="s">
        <v>811</v>
      </c>
      <c r="C4" t="s">
        <v>811</v>
      </c>
      <c r="E4" t="str">
        <f>CHAR(34)&amp;$A4&amp;CHAR(34)&amp;":["&amp;CHAR(34)&amp;B4&amp;CHAR(34)&amp;","</f>
        <v>"keywords":["Uyamak",</v>
      </c>
      <c r="F4" t="str">
        <f>CHAR(34)&amp;$A4&amp;CHAR(34)&amp;":["&amp;CHAR(34)&amp;C4&amp;CHAR(34)&amp;","</f>
        <v>"keywords":["Uyamak",</v>
      </c>
      <c r="G4" t="str">
        <f>CHAR(34)&amp;$A4&amp;CHAR(34)&amp;":["&amp;CHAR(34)&amp;D4&amp;CHAR(34)&amp;","</f>
        <v>"keywords":["",</v>
      </c>
    </row>
    <row r="5" spans="1:7" x14ac:dyDescent="0.3">
      <c r="A5" t="s">
        <v>10</v>
      </c>
      <c r="B5" t="s">
        <v>833</v>
      </c>
      <c r="C5" t="s">
        <v>837</v>
      </c>
      <c r="E5" t="str">
        <f>CHAR(34)&amp;B5&amp;CHAR(34)&amp;","</f>
        <v>"mathematics",</v>
      </c>
      <c r="F5" t="str">
        <f>CHAR(34)&amp;C5&amp;CHAR(34)&amp;","</f>
        <v>"matemáticas",</v>
      </c>
      <c r="G5" t="str">
        <f>CHAR(34)&amp;D5&amp;CHAR(34)&amp;","</f>
        <v>"",</v>
      </c>
    </row>
    <row r="6" spans="1:7" x14ac:dyDescent="0.3">
      <c r="A6" t="s">
        <v>10</v>
      </c>
      <c r="B6" t="s">
        <v>834</v>
      </c>
      <c r="C6" t="s">
        <v>838</v>
      </c>
      <c r="E6" t="str">
        <f t="shared" ref="E6:G7" si="2">CHAR(34)&amp;B6&amp;CHAR(34)&amp;","</f>
        <v>"block diagram",</v>
      </c>
      <c r="F6" t="str">
        <f t="shared" si="2"/>
        <v>"diagrama de bloques",</v>
      </c>
      <c r="G6" t="str">
        <f t="shared" si="2"/>
        <v>"",</v>
      </c>
    </row>
    <row r="7" spans="1:7" x14ac:dyDescent="0.3">
      <c r="A7" t="s">
        <v>10</v>
      </c>
      <c r="B7" t="s">
        <v>835</v>
      </c>
      <c r="C7" t="s">
        <v>839</v>
      </c>
      <c r="E7" t="str">
        <f t="shared" si="2"/>
        <v>"simulation",</v>
      </c>
      <c r="F7" t="str">
        <f t="shared" si="2"/>
        <v>"simulación",</v>
      </c>
      <c r="G7" t="str">
        <f t="shared" si="2"/>
        <v>"",</v>
      </c>
    </row>
    <row r="8" spans="1:7" x14ac:dyDescent="0.3">
      <c r="A8" t="s">
        <v>10</v>
      </c>
      <c r="B8" t="s">
        <v>836</v>
      </c>
      <c r="C8" t="s">
        <v>840</v>
      </c>
      <c r="E8" t="str">
        <f>CHAR(34)&amp;B8&amp;CHAR(34)&amp;"],"</f>
        <v>"application"],</v>
      </c>
      <c r="F8" t="str">
        <f>CHAR(34)&amp;C8&amp;CHAR(34)&amp;"],"</f>
        <v>"aplicación"],</v>
      </c>
      <c r="G8" t="str">
        <f>CHAR(34)&amp;D8&amp;CHAR(34)&amp;"],"</f>
        <v>""],</v>
      </c>
    </row>
    <row r="9" spans="1:7" x14ac:dyDescent="0.3">
      <c r="A9" t="s">
        <v>11</v>
      </c>
      <c r="B9" t="s">
        <v>19</v>
      </c>
      <c r="C9" t="str">
        <f>IF(ISBLANK(B9),"",B9)</f>
        <v>Suresh Kumar Gadi</v>
      </c>
      <c r="E9" t="str">
        <f>IF(ISBLANK($A9),"",CHAR(34)&amp;$A9&amp;CHAR(34)&amp;":"&amp;CHAR(34)&amp;B9&amp;CHAR(34)&amp;IF(ISBLANK($A10),"",","))</f>
        <v>"author":"Suresh Kumar Gadi",</v>
      </c>
      <c r="F9" t="str">
        <f t="shared" ref="F9:G30" si="3">IF(ISBLANK($A9),"",CHAR(34)&amp;$A9&amp;CHAR(34)&amp;":"&amp;CHAR(34)&amp;C9&amp;CHAR(34)&amp;IF(ISBLANK($A10),"",","))</f>
        <v>"author":"Suresh Kumar Gadi",</v>
      </c>
      <c r="G9" t="str">
        <f t="shared" si="3"/>
        <v>"author":"",</v>
      </c>
    </row>
    <row r="10" spans="1:7" x14ac:dyDescent="0.3">
      <c r="A10" t="s">
        <v>12</v>
      </c>
      <c r="B10" s="3" t="s">
        <v>20</v>
      </c>
      <c r="C10" t="str">
        <f t="shared" ref="C10:C11" si="4">IF(ISBLANK(B10),"",B10)</f>
        <v>https://plus.google.com/+SureshKumarGadi/posts</v>
      </c>
      <c r="E10" t="str">
        <f t="shared" ref="E10:G49" si="5">IF(ISBLANK($A10),"",CHAR(34)&amp;$A10&amp;CHAR(34)&amp;":"&amp;CHAR(34)&amp;B10&amp;CHAR(34)&amp;IF(ISBLANK($A11),"",","))</f>
        <v>"publisher":"https://plus.google.com/+SureshKumarGadi/posts",</v>
      </c>
      <c r="F10" t="str">
        <f t="shared" si="3"/>
        <v>"publisher":"https://plus.google.com/+SureshKumarGadi/posts",</v>
      </c>
      <c r="G10" t="str">
        <f t="shared" si="3"/>
        <v>"publisher":"",</v>
      </c>
    </row>
    <row r="11" spans="1:7" x14ac:dyDescent="0.3">
      <c r="A11" t="s">
        <v>5</v>
      </c>
      <c r="B11" s="3" t="s">
        <v>21</v>
      </c>
      <c r="C11" t="str">
        <f t="shared" si="4"/>
        <v>https://lagunamedicalcenter.com/images/logo.jpg</v>
      </c>
      <c r="E11" t="str">
        <f t="shared" si="5"/>
        <v>"image":"https://lagunamedicalcenter.com/images/logo.jpg",</v>
      </c>
      <c r="F11" t="str">
        <f t="shared" si="3"/>
        <v>"image":"https://lagunamedicalcenter.com/images/logo.jpg",</v>
      </c>
      <c r="G11" t="str">
        <f t="shared" si="3"/>
        <v>"image":"",</v>
      </c>
    </row>
    <row r="12" spans="1:7" x14ac:dyDescent="0.3">
      <c r="A12" t="s">
        <v>13</v>
      </c>
      <c r="B12" s="4" t="s">
        <v>22</v>
      </c>
      <c r="C12" t="str">
        <f>IF(ISBLANK(B12),"",B12)</f>
        <v>@SureshKumarGadi</v>
      </c>
      <c r="E12" t="str">
        <f>IF(ISBLANK($A12),"",CHAR(34)&amp;$A12&amp;CHAR(34)&amp;":"&amp;CHAR(34)&amp;B12&amp;CHAR(34)&amp;IF(ISBLANK(#REF!),"",","))</f>
        <v>"twitter_creator":"@SureshKumarGadi",</v>
      </c>
      <c r="F12" t="str">
        <f>IF(ISBLANK($A12),"",CHAR(34)&amp;$A12&amp;CHAR(34)&amp;":"&amp;CHAR(34)&amp;C12&amp;CHAR(34)&amp;IF(ISBLANK(#REF!),"",","))</f>
        <v>"twitter_creator":"@SureshKumarGadi",</v>
      </c>
      <c r="G12" t="str">
        <f>IF(ISBLANK($A12),"",CHAR(34)&amp;$A12&amp;CHAR(34)&amp;":"&amp;CHAR(34)&amp;D12&amp;CHAR(34)&amp;IF(ISBLANK(#REF!),"",","))</f>
        <v>"twitter_creator":"",</v>
      </c>
    </row>
    <row r="13" spans="1:7" x14ac:dyDescent="0.3">
      <c r="A13" t="s">
        <v>812</v>
      </c>
      <c r="B13" s="4" t="s">
        <v>813</v>
      </c>
      <c r="C13" t="str">
        <f t="shared" ref="C13:C20" si="6">IF(ISBLANK(B13),"",B13)</f>
        <v>{"Local":true, "URL":"w3css/w3.css"},</v>
      </c>
      <c r="E13" t="str">
        <f>IF(ISBLANK($A13),"",CHAR(34)&amp;$A13&amp;CHAR(34)&amp;":"&amp;"["&amp;_xlfn.CONCAT($B$13:$B$18)&amp;"]"&amp;IF(ISBLANK(#REF!),"",","))</f>
        <v>"CSSPlugIn":[{"Local":true, "URL":"w3css/w3.css"},{"Local":true, "URL":"w3css/w3-theme-teal.css"},{"Local":true, "URL":"../css/w3css-ext.min.css"},{"Local":true, "URL":"../css/fonts/u57c.min.css"},{"Local":true, "URL":"../css/index.min.css"},{"Local":true, "URL":"fa/css/all.min.css"}],</v>
      </c>
      <c r="F13" t="str">
        <f>E13</f>
        <v>"CSSPlugIn":[{"Local":true, "URL":"w3css/w3.css"},{"Local":true, "URL":"w3css/w3-theme-teal.css"},{"Local":true, "URL":"../css/w3css-ext.min.css"},{"Local":true, "URL":"../css/fonts/u57c.min.css"},{"Local":true, "URL":"../css/index.min.css"},{"Local":true, "URL":"fa/css/all.min.css"}],</v>
      </c>
    </row>
    <row r="14" spans="1:7" x14ac:dyDescent="0.3">
      <c r="A14" t="s">
        <v>812</v>
      </c>
      <c r="B14" s="4" t="s">
        <v>817</v>
      </c>
      <c r="C14" t="str">
        <f t="shared" si="6"/>
        <v>{"Local":true, "URL":"w3css/w3-theme-teal.css"},</v>
      </c>
    </row>
    <row r="15" spans="1:7" x14ac:dyDescent="0.3">
      <c r="A15" t="s">
        <v>812</v>
      </c>
      <c r="B15" s="4" t="s">
        <v>819</v>
      </c>
      <c r="C15" t="str">
        <f t="shared" si="6"/>
        <v>{"Local":true, "URL":"../css/w3css-ext.min.css"},</v>
      </c>
    </row>
    <row r="16" spans="1:7" x14ac:dyDescent="0.3">
      <c r="A16" t="s">
        <v>812</v>
      </c>
      <c r="B16" s="4" t="s">
        <v>821</v>
      </c>
      <c r="C16" t="str">
        <f t="shared" si="6"/>
        <v>{"Local":true, "URL":"../css/fonts/u57c.min.css"},</v>
      </c>
    </row>
    <row r="17" spans="1:7" x14ac:dyDescent="0.3">
      <c r="A17" t="s">
        <v>812</v>
      </c>
      <c r="B17" s="4" t="s">
        <v>820</v>
      </c>
      <c r="C17" t="str">
        <f t="shared" si="6"/>
        <v>{"Local":true, "URL":"../css/index.min.css"},</v>
      </c>
    </row>
    <row r="18" spans="1:7" x14ac:dyDescent="0.3">
      <c r="A18" t="s">
        <v>812</v>
      </c>
      <c r="B18" s="4" t="s">
        <v>818</v>
      </c>
      <c r="C18" t="str">
        <f t="shared" si="6"/>
        <v>{"Local":true, "URL":"fa/css/all.min.css"}</v>
      </c>
    </row>
    <row r="19" spans="1:7" x14ac:dyDescent="0.3">
      <c r="A19" t="s">
        <v>814</v>
      </c>
      <c r="B19" s="4" t="s">
        <v>832</v>
      </c>
      <c r="C19" t="str">
        <f t="shared" si="6"/>
        <v>{"Local":true, "URL":"jquery/jquery.min.js"},</v>
      </c>
      <c r="E19" t="str">
        <f>IF(ISBLANK($A19),"",CHAR(34)&amp;$A19&amp;CHAR(34)&amp;":"&amp;"["&amp;_xlfn.CONCAT($B$19:$B$20)&amp;"],")</f>
        <v>"JSPlugInEnd":[{"Local":true, "URL":"jquery/jquery.min.js"},{"Local":true, "URL":"../script/index.min.js"}],</v>
      </c>
      <c r="F19" t="str">
        <f>E19</f>
        <v>"JSPlugInEnd":[{"Local":true, "URL":"jquery/jquery.min.js"},{"Local":true, "URL":"../script/index.min.js"}],</v>
      </c>
    </row>
    <row r="20" spans="1:7" x14ac:dyDescent="0.3">
      <c r="A20" t="s">
        <v>814</v>
      </c>
      <c r="B20" s="4" t="s">
        <v>831</v>
      </c>
      <c r="C20" t="str">
        <f t="shared" si="6"/>
        <v>{"Local":true, "URL":"../script/index.min.js"}</v>
      </c>
    </row>
    <row r="21" spans="1:7" x14ac:dyDescent="0.3">
      <c r="A21" t="s">
        <v>822</v>
      </c>
      <c r="B21" s="4"/>
      <c r="E21" t="str">
        <f>CHAR(34)&amp;A21&amp;CHAR(34)&amp;":"&amp;"["</f>
        <v>"Anchors":[</v>
      </c>
      <c r="F21" t="str">
        <f>E21</f>
        <v>"Anchors":[</v>
      </c>
    </row>
    <row r="22" spans="1:7" x14ac:dyDescent="0.3">
      <c r="A22" t="s">
        <v>828</v>
      </c>
      <c r="B22" s="4" t="s">
        <v>824</v>
      </c>
      <c r="C22" t="s">
        <v>826</v>
      </c>
      <c r="E22" t="str">
        <f>"{"&amp;CHAR(34)&amp;"id"&amp;CHAR(34)&amp;":"&amp;CHAR(34)&amp;$A22&amp;CHAR(34)&amp;","&amp;CHAR(34)&amp;"value"&amp;CHAR(34)&amp;":"&amp;CHAR(34)&amp;B22&amp;CHAR(34)&amp;"}"&amp;IF(ISBLANK(A23),"",",")</f>
        <v>{"id":"home","value":"Top"}</v>
      </c>
      <c r="F22" t="str">
        <f>"{"&amp;CHAR(34)&amp;"id"&amp;CHAR(34)&amp;":"&amp;CHAR(34)&amp;$A22&amp;CHAR(34)&amp;","&amp;CHAR(34)&amp;"value"&amp;CHAR(34)&amp;":"&amp;CHAR(34)&amp;C22&amp;CHAR(34)&amp;"}"&amp;IF(ISBLANK(B23),"",",")</f>
        <v>{"id":"home","value":"Parte superior"}</v>
      </c>
    </row>
    <row r="23" spans="1:7" x14ac:dyDescent="0.3">
      <c r="B23" s="4"/>
      <c r="E23" t="s">
        <v>823</v>
      </c>
      <c r="F23" t="str">
        <f>E23</f>
        <v>],</v>
      </c>
    </row>
    <row r="24" spans="1:7" x14ac:dyDescent="0.3">
      <c r="A24" t="s">
        <v>1000</v>
      </c>
      <c r="B24" s="4" t="s">
        <v>1001</v>
      </c>
      <c r="C24" t="s">
        <v>1001</v>
      </c>
      <c r="E24" t="str">
        <f t="shared" ref="E24:F49" si="7">IF(ISBLANK($A24),"",CHAR(34)&amp;$A24&amp;CHAR(34)&amp;":"&amp;CHAR(34)&amp;B24&amp;CHAR(34)&amp;IF(ISBLANK($A25),"",","))</f>
        <v>"head_1":"Error"</v>
      </c>
      <c r="F24" t="str">
        <f t="shared" si="7"/>
        <v>"head_1":"Error"</v>
      </c>
      <c r="G24" t="str">
        <f t="shared" si="3"/>
        <v>"head_1":""</v>
      </c>
    </row>
    <row r="25" spans="1:7" x14ac:dyDescent="0.3">
      <c r="B25" s="4"/>
      <c r="E25" t="str">
        <f t="shared" si="7"/>
        <v/>
      </c>
      <c r="F25" t="str">
        <f t="shared" si="7"/>
        <v/>
      </c>
      <c r="G25" t="str">
        <f t="shared" si="3"/>
        <v/>
      </c>
    </row>
    <row r="26" spans="1:7" x14ac:dyDescent="0.3">
      <c r="B26" s="4"/>
      <c r="E26" t="str">
        <f t="shared" si="7"/>
        <v/>
      </c>
      <c r="F26" t="str">
        <f t="shared" si="7"/>
        <v/>
      </c>
      <c r="G26" t="str">
        <f t="shared" si="3"/>
        <v/>
      </c>
    </row>
    <row r="27" spans="1:7" x14ac:dyDescent="0.3">
      <c r="B27" s="4"/>
      <c r="E27" t="str">
        <f t="shared" si="7"/>
        <v/>
      </c>
      <c r="F27" t="str">
        <f t="shared" si="7"/>
        <v/>
      </c>
      <c r="G27" t="str">
        <f t="shared" si="3"/>
        <v/>
      </c>
    </row>
    <row r="28" spans="1:7" x14ac:dyDescent="0.3">
      <c r="B28" s="4"/>
      <c r="E28" t="str">
        <f t="shared" si="7"/>
        <v/>
      </c>
      <c r="F28" t="str">
        <f t="shared" si="7"/>
        <v/>
      </c>
      <c r="G28" t="str">
        <f t="shared" si="3"/>
        <v/>
      </c>
    </row>
    <row r="29" spans="1:7" x14ac:dyDescent="0.3">
      <c r="B29" s="4"/>
      <c r="E29" t="str">
        <f t="shared" si="7"/>
        <v/>
      </c>
      <c r="F29" t="str">
        <f t="shared" si="7"/>
        <v/>
      </c>
      <c r="G29" t="str">
        <f t="shared" si="3"/>
        <v/>
      </c>
    </row>
    <row r="30" spans="1:7" x14ac:dyDescent="0.3">
      <c r="B30" s="4"/>
      <c r="E30" t="str">
        <f t="shared" si="7"/>
        <v/>
      </c>
      <c r="F30" t="str">
        <f t="shared" si="7"/>
        <v/>
      </c>
      <c r="G30" t="str">
        <f t="shared" si="3"/>
        <v/>
      </c>
    </row>
    <row r="31" spans="1:7" x14ac:dyDescent="0.3">
      <c r="B31" s="4"/>
      <c r="E31" t="str">
        <f t="shared" si="7"/>
        <v/>
      </c>
      <c r="F31" t="str">
        <f t="shared" si="7"/>
        <v/>
      </c>
      <c r="G31" t="str">
        <f t="shared" si="5"/>
        <v/>
      </c>
    </row>
    <row r="32" spans="1:7" x14ac:dyDescent="0.3">
      <c r="E32" t="str">
        <f t="shared" si="7"/>
        <v/>
      </c>
      <c r="F32" t="str">
        <f t="shared" si="7"/>
        <v/>
      </c>
      <c r="G32" t="str">
        <f t="shared" si="5"/>
        <v/>
      </c>
    </row>
    <row r="33" spans="5:7" x14ac:dyDescent="0.3">
      <c r="E33" t="str">
        <f t="shared" si="7"/>
        <v/>
      </c>
      <c r="F33" t="str">
        <f t="shared" si="7"/>
        <v/>
      </c>
      <c r="G33" t="str">
        <f t="shared" si="5"/>
        <v/>
      </c>
    </row>
    <row r="34" spans="5:7" x14ac:dyDescent="0.3">
      <c r="E34" t="str">
        <f t="shared" si="7"/>
        <v/>
      </c>
      <c r="F34" t="str">
        <f t="shared" si="7"/>
        <v/>
      </c>
      <c r="G34" t="str">
        <f t="shared" si="5"/>
        <v/>
      </c>
    </row>
    <row r="35" spans="5:7" x14ac:dyDescent="0.3">
      <c r="E35" t="str">
        <f t="shared" si="7"/>
        <v/>
      </c>
      <c r="F35" t="str">
        <f t="shared" si="7"/>
        <v/>
      </c>
      <c r="G35" t="str">
        <f t="shared" si="5"/>
        <v/>
      </c>
    </row>
    <row r="36" spans="5:7" x14ac:dyDescent="0.3">
      <c r="E36" t="str">
        <f t="shared" si="7"/>
        <v/>
      </c>
      <c r="F36" t="str">
        <f t="shared" si="7"/>
        <v/>
      </c>
      <c r="G36" t="str">
        <f t="shared" si="5"/>
        <v/>
      </c>
    </row>
    <row r="37" spans="5:7" x14ac:dyDescent="0.3">
      <c r="E37" t="str">
        <f t="shared" si="7"/>
        <v/>
      </c>
      <c r="F37" t="str">
        <f t="shared" si="7"/>
        <v/>
      </c>
      <c r="G37" t="str">
        <f t="shared" si="5"/>
        <v/>
      </c>
    </row>
    <row r="38" spans="5:7" x14ac:dyDescent="0.3">
      <c r="E38" t="str">
        <f t="shared" si="7"/>
        <v/>
      </c>
      <c r="F38" t="str">
        <f t="shared" si="7"/>
        <v/>
      </c>
      <c r="G38" t="str">
        <f t="shared" si="5"/>
        <v/>
      </c>
    </row>
    <row r="39" spans="5:7" x14ac:dyDescent="0.3">
      <c r="E39" t="str">
        <f t="shared" si="7"/>
        <v/>
      </c>
      <c r="F39" t="str">
        <f t="shared" si="7"/>
        <v/>
      </c>
      <c r="G39" t="str">
        <f t="shared" si="5"/>
        <v/>
      </c>
    </row>
    <row r="40" spans="5:7" x14ac:dyDescent="0.3">
      <c r="E40" t="str">
        <f t="shared" si="7"/>
        <v/>
      </c>
      <c r="F40" t="str">
        <f t="shared" si="7"/>
        <v/>
      </c>
      <c r="G40" t="str">
        <f t="shared" si="5"/>
        <v/>
      </c>
    </row>
    <row r="41" spans="5:7" x14ac:dyDescent="0.3">
      <c r="E41" t="str">
        <f t="shared" si="7"/>
        <v/>
      </c>
      <c r="F41" t="str">
        <f t="shared" si="7"/>
        <v/>
      </c>
      <c r="G41" t="str">
        <f t="shared" si="5"/>
        <v/>
      </c>
    </row>
    <row r="42" spans="5:7" x14ac:dyDescent="0.3">
      <c r="E42" t="str">
        <f t="shared" si="7"/>
        <v/>
      </c>
      <c r="F42" t="str">
        <f t="shared" si="7"/>
        <v/>
      </c>
      <c r="G42" t="str">
        <f t="shared" si="5"/>
        <v/>
      </c>
    </row>
    <row r="43" spans="5:7" x14ac:dyDescent="0.3">
      <c r="E43" t="str">
        <f t="shared" si="7"/>
        <v/>
      </c>
      <c r="F43" t="str">
        <f t="shared" si="7"/>
        <v/>
      </c>
      <c r="G43" t="str">
        <f t="shared" si="5"/>
        <v/>
      </c>
    </row>
    <row r="44" spans="5:7" x14ac:dyDescent="0.3">
      <c r="E44" t="str">
        <f t="shared" si="7"/>
        <v/>
      </c>
      <c r="F44" t="str">
        <f t="shared" si="7"/>
        <v/>
      </c>
      <c r="G44" t="str">
        <f t="shared" si="5"/>
        <v/>
      </c>
    </row>
    <row r="45" spans="5:7" x14ac:dyDescent="0.3">
      <c r="E45" t="str">
        <f t="shared" si="7"/>
        <v/>
      </c>
      <c r="F45" t="str">
        <f t="shared" si="7"/>
        <v/>
      </c>
      <c r="G45" t="str">
        <f t="shared" si="5"/>
        <v/>
      </c>
    </row>
    <row r="46" spans="5:7" x14ac:dyDescent="0.3">
      <c r="E46" t="str">
        <f t="shared" si="7"/>
        <v/>
      </c>
      <c r="F46" t="str">
        <f t="shared" si="7"/>
        <v/>
      </c>
      <c r="G46" t="str">
        <f t="shared" si="5"/>
        <v/>
      </c>
    </row>
    <row r="47" spans="5:7" x14ac:dyDescent="0.3">
      <c r="E47" t="str">
        <f t="shared" si="7"/>
        <v/>
      </c>
      <c r="F47" t="str">
        <f t="shared" si="7"/>
        <v/>
      </c>
      <c r="G47" t="str">
        <f t="shared" si="5"/>
        <v/>
      </c>
    </row>
    <row r="48" spans="5:7" x14ac:dyDescent="0.3">
      <c r="E48" t="str">
        <f t="shared" si="7"/>
        <v/>
      </c>
      <c r="F48" t="str">
        <f t="shared" si="7"/>
        <v/>
      </c>
      <c r="G48" t="str">
        <f t="shared" si="5"/>
        <v/>
      </c>
    </row>
    <row r="49" spans="5:7" x14ac:dyDescent="0.3">
      <c r="E49" t="str">
        <f t="shared" si="7"/>
        <v/>
      </c>
      <c r="F49" t="str">
        <f t="shared" si="7"/>
        <v/>
      </c>
      <c r="G49" t="str">
        <f t="shared" si="5"/>
        <v/>
      </c>
    </row>
    <row r="50" spans="5:7" x14ac:dyDescent="0.3">
      <c r="E50" t="str">
        <f t="shared" ref="E50:G81" si="8">IF(ISBLANK($A50),"",CHAR(34)&amp;$A50&amp;CHAR(34)&amp;":"&amp;CHAR(34)&amp;B50&amp;CHAR(34)&amp;IF(ISBLANK($A51),"",","))</f>
        <v/>
      </c>
      <c r="F50" t="str">
        <f t="shared" si="8"/>
        <v/>
      </c>
      <c r="G50" t="str">
        <f t="shared" si="8"/>
        <v/>
      </c>
    </row>
    <row r="51" spans="5:7" x14ac:dyDescent="0.3">
      <c r="E51" t="str">
        <f t="shared" si="8"/>
        <v/>
      </c>
      <c r="F51" t="str">
        <f t="shared" si="8"/>
        <v/>
      </c>
      <c r="G51" t="str">
        <f t="shared" si="8"/>
        <v/>
      </c>
    </row>
    <row r="52" spans="5:7" x14ac:dyDescent="0.3">
      <c r="E52" t="str">
        <f t="shared" si="8"/>
        <v/>
      </c>
      <c r="F52" t="str">
        <f t="shared" si="8"/>
        <v/>
      </c>
      <c r="G52" t="str">
        <f t="shared" si="8"/>
        <v/>
      </c>
    </row>
    <row r="53" spans="5:7" x14ac:dyDescent="0.3">
      <c r="E53" t="str">
        <f t="shared" si="8"/>
        <v/>
      </c>
      <c r="F53" t="str">
        <f t="shared" si="8"/>
        <v/>
      </c>
      <c r="G53" t="str">
        <f t="shared" si="8"/>
        <v/>
      </c>
    </row>
    <row r="54" spans="5:7" x14ac:dyDescent="0.3">
      <c r="E54" t="str">
        <f t="shared" si="8"/>
        <v/>
      </c>
      <c r="F54" t="str">
        <f t="shared" si="8"/>
        <v/>
      </c>
      <c r="G54" t="str">
        <f t="shared" si="8"/>
        <v/>
      </c>
    </row>
    <row r="55" spans="5:7" x14ac:dyDescent="0.3">
      <c r="E55" t="str">
        <f t="shared" si="8"/>
        <v/>
      </c>
      <c r="F55" t="str">
        <f t="shared" si="8"/>
        <v/>
      </c>
      <c r="G55" t="str">
        <f t="shared" si="8"/>
        <v/>
      </c>
    </row>
    <row r="56" spans="5:7" x14ac:dyDescent="0.3">
      <c r="E56" t="str">
        <f t="shared" si="8"/>
        <v/>
      </c>
      <c r="F56" t="str">
        <f t="shared" si="8"/>
        <v/>
      </c>
      <c r="G56" t="str">
        <f t="shared" si="8"/>
        <v/>
      </c>
    </row>
    <row r="57" spans="5:7" x14ac:dyDescent="0.3">
      <c r="E57" t="str">
        <f t="shared" si="8"/>
        <v/>
      </c>
      <c r="F57" t="str">
        <f t="shared" si="8"/>
        <v/>
      </c>
      <c r="G57" t="str">
        <f t="shared" si="8"/>
        <v/>
      </c>
    </row>
    <row r="58" spans="5:7" x14ac:dyDescent="0.3">
      <c r="E58" t="str">
        <f t="shared" si="8"/>
        <v/>
      </c>
      <c r="F58" t="str">
        <f t="shared" si="8"/>
        <v/>
      </c>
      <c r="G58" t="str">
        <f t="shared" si="8"/>
        <v/>
      </c>
    </row>
    <row r="59" spans="5:7" x14ac:dyDescent="0.3">
      <c r="E59" t="str">
        <f t="shared" si="8"/>
        <v/>
      </c>
      <c r="F59" t="str">
        <f t="shared" si="8"/>
        <v/>
      </c>
      <c r="G59" t="str">
        <f t="shared" si="8"/>
        <v/>
      </c>
    </row>
    <row r="60" spans="5:7" x14ac:dyDescent="0.3">
      <c r="E60" t="str">
        <f t="shared" si="8"/>
        <v/>
      </c>
      <c r="F60" t="str">
        <f t="shared" si="8"/>
        <v/>
      </c>
      <c r="G60" t="str">
        <f t="shared" si="8"/>
        <v/>
      </c>
    </row>
    <row r="61" spans="5:7" x14ac:dyDescent="0.3">
      <c r="E61" t="str">
        <f t="shared" si="8"/>
        <v/>
      </c>
      <c r="F61" t="str">
        <f t="shared" si="8"/>
        <v/>
      </c>
      <c r="G61" t="str">
        <f t="shared" si="8"/>
        <v/>
      </c>
    </row>
    <row r="62" spans="5:7" x14ac:dyDescent="0.3">
      <c r="E62" t="str">
        <f t="shared" si="8"/>
        <v/>
      </c>
      <c r="F62" t="str">
        <f t="shared" si="8"/>
        <v/>
      </c>
      <c r="G62" t="str">
        <f t="shared" si="8"/>
        <v/>
      </c>
    </row>
    <row r="63" spans="5:7" x14ac:dyDescent="0.3">
      <c r="E63" t="str">
        <f t="shared" si="8"/>
        <v/>
      </c>
      <c r="F63" t="str">
        <f t="shared" si="8"/>
        <v/>
      </c>
      <c r="G63" t="str">
        <f t="shared" si="8"/>
        <v/>
      </c>
    </row>
    <row r="64" spans="5:7" x14ac:dyDescent="0.3">
      <c r="E64" t="str">
        <f t="shared" si="8"/>
        <v/>
      </c>
      <c r="F64" t="str">
        <f t="shared" si="8"/>
        <v/>
      </c>
      <c r="G64" t="str">
        <f t="shared" si="8"/>
        <v/>
      </c>
    </row>
    <row r="65" spans="5:7" x14ac:dyDescent="0.3">
      <c r="E65" t="str">
        <f t="shared" si="8"/>
        <v/>
      </c>
      <c r="F65" t="str">
        <f t="shared" si="8"/>
        <v/>
      </c>
      <c r="G65" t="str">
        <f t="shared" si="8"/>
        <v/>
      </c>
    </row>
    <row r="66" spans="5:7" x14ac:dyDescent="0.3">
      <c r="E66" t="str">
        <f t="shared" si="8"/>
        <v/>
      </c>
      <c r="F66" t="str">
        <f t="shared" si="8"/>
        <v/>
      </c>
      <c r="G66" t="str">
        <f t="shared" si="8"/>
        <v/>
      </c>
    </row>
    <row r="67" spans="5:7" x14ac:dyDescent="0.3">
      <c r="E67" t="str">
        <f t="shared" si="8"/>
        <v/>
      </c>
      <c r="F67" t="str">
        <f t="shared" si="8"/>
        <v/>
      </c>
      <c r="G67" t="str">
        <f t="shared" si="8"/>
        <v/>
      </c>
    </row>
    <row r="68" spans="5:7" x14ac:dyDescent="0.3">
      <c r="E68" t="str">
        <f t="shared" si="8"/>
        <v/>
      </c>
      <c r="F68" t="str">
        <f t="shared" si="8"/>
        <v/>
      </c>
      <c r="G68" t="str">
        <f t="shared" si="8"/>
        <v/>
      </c>
    </row>
    <row r="69" spans="5:7" x14ac:dyDescent="0.3">
      <c r="E69" t="str">
        <f t="shared" si="8"/>
        <v/>
      </c>
      <c r="F69" t="str">
        <f t="shared" si="8"/>
        <v/>
      </c>
      <c r="G69" t="str">
        <f t="shared" si="8"/>
        <v/>
      </c>
    </row>
    <row r="70" spans="5:7" x14ac:dyDescent="0.3">
      <c r="E70" t="str">
        <f t="shared" si="8"/>
        <v/>
      </c>
      <c r="F70" t="str">
        <f t="shared" si="8"/>
        <v/>
      </c>
      <c r="G70" t="str">
        <f t="shared" si="8"/>
        <v/>
      </c>
    </row>
    <row r="71" spans="5:7" x14ac:dyDescent="0.3">
      <c r="E71" t="str">
        <f t="shared" si="8"/>
        <v/>
      </c>
      <c r="F71" t="str">
        <f t="shared" si="8"/>
        <v/>
      </c>
      <c r="G71" t="str">
        <f t="shared" si="8"/>
        <v/>
      </c>
    </row>
    <row r="72" spans="5:7" x14ac:dyDescent="0.3">
      <c r="E72" t="str">
        <f t="shared" si="8"/>
        <v/>
      </c>
      <c r="F72" t="str">
        <f t="shared" si="8"/>
        <v/>
      </c>
      <c r="G72" t="str">
        <f t="shared" si="8"/>
        <v/>
      </c>
    </row>
    <row r="73" spans="5:7" x14ac:dyDescent="0.3">
      <c r="E73" t="str">
        <f t="shared" si="8"/>
        <v/>
      </c>
      <c r="F73" t="str">
        <f t="shared" si="8"/>
        <v/>
      </c>
      <c r="G73" t="str">
        <f t="shared" si="8"/>
        <v/>
      </c>
    </row>
    <row r="74" spans="5:7" x14ac:dyDescent="0.3">
      <c r="E74" t="str">
        <f t="shared" si="8"/>
        <v/>
      </c>
      <c r="F74" t="str">
        <f t="shared" si="8"/>
        <v/>
      </c>
      <c r="G74" t="str">
        <f t="shared" si="8"/>
        <v/>
      </c>
    </row>
    <row r="75" spans="5:7" x14ac:dyDescent="0.3">
      <c r="E75" t="str">
        <f t="shared" si="8"/>
        <v/>
      </c>
      <c r="F75" t="str">
        <f t="shared" si="8"/>
        <v/>
      </c>
      <c r="G75" t="str">
        <f t="shared" si="8"/>
        <v/>
      </c>
    </row>
    <row r="76" spans="5:7" x14ac:dyDescent="0.3">
      <c r="E76" t="str">
        <f t="shared" si="8"/>
        <v/>
      </c>
      <c r="F76" t="str">
        <f t="shared" si="8"/>
        <v/>
      </c>
      <c r="G76" t="str">
        <f t="shared" si="8"/>
        <v/>
      </c>
    </row>
    <row r="77" spans="5:7" x14ac:dyDescent="0.3">
      <c r="E77" t="str">
        <f t="shared" si="8"/>
        <v/>
      </c>
      <c r="F77" t="str">
        <f t="shared" si="8"/>
        <v/>
      </c>
      <c r="G77" t="str">
        <f t="shared" si="8"/>
        <v/>
      </c>
    </row>
    <row r="78" spans="5:7" x14ac:dyDescent="0.3">
      <c r="E78" t="str">
        <f t="shared" si="8"/>
        <v/>
      </c>
      <c r="F78" t="str">
        <f t="shared" si="8"/>
        <v/>
      </c>
      <c r="G78" t="str">
        <f t="shared" si="8"/>
        <v/>
      </c>
    </row>
    <row r="79" spans="5:7" x14ac:dyDescent="0.3">
      <c r="E79" t="str">
        <f t="shared" si="8"/>
        <v/>
      </c>
      <c r="F79" t="str">
        <f t="shared" si="8"/>
        <v/>
      </c>
      <c r="G79" t="str">
        <f t="shared" si="8"/>
        <v/>
      </c>
    </row>
    <row r="80" spans="5:7" x14ac:dyDescent="0.3">
      <c r="E80" t="str">
        <f t="shared" si="8"/>
        <v/>
      </c>
      <c r="F80" t="str">
        <f t="shared" si="8"/>
        <v/>
      </c>
      <c r="G80" t="str">
        <f t="shared" si="8"/>
        <v/>
      </c>
    </row>
    <row r="81" spans="5:7" x14ac:dyDescent="0.3">
      <c r="E81" t="str">
        <f t="shared" si="8"/>
        <v/>
      </c>
      <c r="F81" t="str">
        <f t="shared" si="8"/>
        <v/>
      </c>
      <c r="G81" t="str">
        <f t="shared" si="8"/>
        <v/>
      </c>
    </row>
  </sheetData>
  <hyperlinks>
    <hyperlink ref="B10" r:id="rId1" xr:uid="{546F8172-61D5-4D7D-BA49-328D9BBCB6F3}"/>
    <hyperlink ref="B11" r:id="rId2" xr:uid="{C4957B59-A7F1-471D-A67E-200D6B14F635}"/>
  </hyperlinks>
  <pageMargins left="0.7" right="0.7" top="0.75" bottom="0.75" header="0.3" footer="0.3"/>
  <pageSetup orientation="portrait"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E80BB-2185-4F8B-A3BD-819C494BA286}">
  <sheetPr codeName="Sheet3"/>
  <dimension ref="A1:G94"/>
  <sheetViews>
    <sheetView tabSelected="1" workbookViewId="0">
      <selection activeCell="E1" sqref="E1"/>
    </sheetView>
  </sheetViews>
  <sheetFormatPr defaultRowHeight="14.4" x14ac:dyDescent="0.3"/>
  <cols>
    <col min="1" max="1" width="25.109375" customWidth="1"/>
    <col min="2" max="2" width="26.44140625" customWidth="1"/>
  </cols>
  <sheetData>
    <row r="1" spans="1:7" x14ac:dyDescent="0.3">
      <c r="A1" t="s">
        <v>3</v>
      </c>
      <c r="B1" t="s">
        <v>0</v>
      </c>
      <c r="C1" t="s">
        <v>1</v>
      </c>
      <c r="D1" t="s">
        <v>2</v>
      </c>
      <c r="E1" t="str">
        <f>"{"&amp;_xlfn.CONCAT(E2:E510)&amp;"}"</f>
        <v>{"title":"Uyamak","description":"Learning mathematics is made fun with the Uyamak.","keywords":["Uyamak","mathematics","block diagram","simulation","application"],"author":"Suresh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"URL":"../script/index.min.js"}],"Anchors":[{"id":"home","value":"Top"},{"id":"work","value":"How does it work?"},{"id":"features","value":"Features"},{"id":"support","value":"Support Uyamak"},{"id":"contact","value":"Contact us"}],"head_1_para_1":"Uyamak editor allows you to design and simulate a mathematical model. It uses a pictorial way of design. Prepare your algorithm by connecting different blocks with the wires.","head_1_para_2":"It is useful for students of all levels and researchers. We are actively developing this application to improve its functionality. Some parts of the website are incomplete, but please proceed to the app to try it yourself.","head_1_subhead":"Making learning mathematics fun","head_1_card_1_title_1":"Schools","head_1_card_1_title_2":"Colleges","head_1_card_1_title_3":"Universities","head_1_card_1_title_4":"Researchers","learn_more":"Learn more","head_1_card_1_desc_1":"At schools, students can learn to perform basic mathematical operations and trigonometric functions.","head_1_card_1_desc_2":"College students can practice their newly acquired knowledge in topics such as complex numbers, matrices, calculus, etc.","head_1_card_1_desc_3":"Solving differential equations, visualizing complex mathematical model is made easy with the Uyamak for the university students.","head_1_card_1_desc_4":"Researchers can test their algorithms by applying different integration methods.","head_2":"How does it work?","head_2_subhead":"Sneak peek under the hood","head_2_para_1":"Uyamak uses javascript to identify the algorithm, which is the block diagram created by the user. It then prepares an execution-order and passes it to the simulation engine. The simulation engine then executes one block at a time.","head_2_para_2":"Web workers are used for multi-threading to make sure the GUI is responsive during the execution of the simulation.","head_2_para_3":"We are drafting a scientific article to present a detailed explanation of the working of the Uyamak. Once published, we would make it available here.","head_2_card_1_title_1":"Interpret","head_2_card_1_title_2":"Simulate","head_2_card_1_title_3":"Display","head_2_card_1_title_4":"Update","head_2_card_1_desc_1":"Uyamak interprets the user flowchart to prepare an execution order.","head_2_card_1_desc_2":"The simulation engine numerically evaluates each block and sends the results to the main window.","head_2_card_1_desc_3":"The main window thread displays the results at certain intervals to keep the GUI interactive.","head_2_card_1_desc_4":"In Uyamak, you can update the models on the fly. However, the changes to the connections won't affect the simulation.","head_3":"Features","head_3_subhead":"What makes ఉ special","head_3_para_1":"Uyamak is unique because you can use it on your school computer, laptop, or any other computer with internet access. All your code runs on your computer, so it doesn't require a fast internet connection.","head_3_card_1_title_1":"OS independent","head_3_card_1_title_2":"Instant access","head_3_card_1_title_3":"No coding","head_3_card_1_title_4":"Sharing","head_3_card_1_desc_1":"Uyamak runs on a browser, so no matter which operating system you are in, Uyamak comes in handy.","head_3_card_1_desc_2":"You can instantly start it working without any need for downloading, installing, and doesn't need admin rights to run.","head_3_card_1_desc_3":"You don't have to code anything. It is all visual programming, which is as simple as drawing a block diagram.","head_3_card_1_desc_4":"You can download your program to your computer or save and share it on your Google Drive storage. ","head_4":"Support Uyamak","head_4_subhead":"We need your help to improve","head_4_para_1":"We do not use advertisements because it interferes with the app performance. Also, we don't want to charge a subscription fee because we want it to be freely available to all the students. We need support from generous users to spend more time to complete this project and improve it.","head_4_para_2":"We plan to create a complete Uyamak ecosystem by including hardware support that is capable of running the algorithm in the realtime. We will update more details shortly.","head_4_para_3":"You can support us by selecting any of the following options. We strongly recommend you to use GitHub Sponsors or Pateron because it makes the funds collected public instantly. However, once in a month, we will update the information here.","head_4_card_1_title":"GitHub Sponsors","head_4_card_1_desc_1":"Our first preference","head_4_card_2_title":"Patreon","head_4_card_2_desc_1":"Our second preference","head_4_card_3_title":"PayPal","head_4_card_3_desc_1":"Our last preference","support_generated":"Generated","last_month":"in the last month","this_month":"in the present month","head_5":"Contact us","head_5_subhead":"We want to hear from you","head_5_para_1":"We welcome your comments, suggestions, questions, and complaints. Please note that SKGadi designed, coded, and tested Uyamak. However, without guidance from Antonio Concha, it would be impossible to achieve its accuracy. The Uyamak team is just two persons, so it may take some time to answer your concerns.","head_5_para_2":"The following button to take you to the contact page of SKGadi. Please mention the word Uyamak in the subject to identify your area of interest.","button_contact":"SKGadi's contact page","button_goto":"Go to","button_goto_app":"Online app","button_download_app":"Download app for windows","download":"Download"}</v>
      </c>
      <c r="F1" t="str">
        <f t="shared" ref="F1:G1" si="0">"{"&amp;_xlfn.CONCAT(F2:F510)&amp;"}"</f>
        <v>{"title":"Uyamak","description":"El aprendizaje de las matemáticas se hace divertido con Uyamak.","keywords":["Uyamak","matemáticas","diagrama de bloques","simulación","aplicación"],"author":"Suresh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"URL":"../script/index.min.js"}],"Anchors":[{"id":"home","value":"Parte superior"},{"id":"work","value":"¿Como funciona?"},{"id":"features","value":"Caracteristicas"},{"id":"support","value":"Apoya a Uyamak"},{"id":"contact","value":"Contáctenos"}],"head_1_para_1":"El editor de Uyamak le permite diseñar y simular un modelo matemático. Utiliza una forma pictórica de diseño. Prepare su algoritmo conectando diferentes bloques con los cables.","head_1_para_2":"Es útil para estudiantes de todos los niveles e investigadores. Estamos desarrollando activamente esta aplicación para mejorar su funcionalidad. Algunas partes del sitio web están incompletas, pero vaya a la aplicación para probarla usted mismo.","head_1_subhead":"Hacer que el aprendizaje de las matemáticas sea divertido","head_1_card_1_title_1":"Escuelas","head_1_card_1_title_2":"Colegios","head_1_card_1_title_3":"Universidades","head_1_card_1_title_4":"Investigadores","learn_more":"Más información","head_1_card_1_desc_1":"En las escuelas, los estudiantes pueden aprender a realizar operaciones matemáticas básicas y funciones trigonométricas.","head_1_card_1_desc_2":"Los estudiantes universitarios pueden practicar sus conocimientos recién adquiridos en temas como números complejos, matrices, cálculo, etc.","head_1_card_1_desc_3":"Resolver ecuaciones diferenciales, visualizar modelos matemáticos complejos es fácil con el Uyamak para los estudiantes universitarios.","head_1_card_1_desc_4":"Los investigadores pueden probar sus algoritmos aplicando diferentes métodos de integración.","head_2":"¿Como funciona?","head_2_subhead":"Echa un vistazo debajo del capó","head_2_para_1":"Uyamak usa javascript para identificar el algoritmo, que es el diagrama de bloques creado por el usuario. Luego prepara una orden de ejecución y la pasa al motor de simulación. El motor de simulación luego ejecuta un bloque a la vez.","head_2_para_2":"Los trabajadores web se utilizan para subprocesos múltiples para asegurarse de que la GUI responda durante la ejecución de la simulación.","head_2_para_3":"Estamos redactando un artículo científico para presentar una explicación detallada del funcionamiento del Uyamak. Una vez publicado, lo pondríamos a disposición aquí.","head_2_card_1_title_1":"Interpretar","head_2_card_1_title_2":"Simular","head_2_card_1_title_3":"Monitor","head_2_card_1_title_4":"Actualizar","head_2_card_1_desc_1":"Uyamak interpreta el diagrama de flujo del usuario para preparar una orden de ejecución.","head_2_card_1_desc_2":"El motor de simulación evalúa numéricamente cada bloque y envía los resultados a la ventana principal.","head_2_card_1_desc_3":"El hilo de la ventana principal muestra los resultados a ciertos intervalos para mantener interactiva la GUI.","head_2_card_1_desc_4":"En Uyamak, puede actualizar los modelos sobre la marcha. Sin embargo, los cambios en las conexiones no afectarán la simulación.","head_3":"Caracteristicas","head_3_subhead":"Que hace a ఉ especial","head_3_para_1":"Uyamak es único porque puede usarlo en la computadora de su escuela, computadora portátil o cualquier otra computadora con acceso a Internet. Todo su código se ejecuta en su computadora, por lo que no requiere una conexión rápida a Internet.","head_3_card_1_title_1":"Independiente del SO","head_3_card_1_title_2":"Acceso instantáneo","head_3_card_1_title_3":"Sin codificación","head_3_card_1_title_4":"Compartiendo","head_3_card_1_desc_1":"Uyamak se ejecuta en un navegador, por lo que no importa en qué sistema operativo se encuentre, Uyamak es útil.","head_3_card_1_desc_2":"Puede comenzar a funcionar instantáneamente sin necesidad de descargar, instalar y no necesita derechos de administrador para ejecutarse.","head_3_card_1_desc_3":"No tienes que codificar nada. Todo es programación visual, que es tan simple como dibujar un diagrama de bloques.","head_3_card_1_desc_4":"Puede descargar su programa a su computadora o guardarlo y compartirlo en su almacenamiento de Google Drive.","head_4":"Apoya a Uyamak","head_4_subhead":"Necesitamos tu ayuda para mejorar","head_4_para_1":"No utilizamos publicidad porque interfiere con el rendimiento de la aplicación. Además, no queremos cobrar una tarifa de suscripción porque queremos que esté disponible gratuitamente para todos los estudiantes. Necesitamos el apoyo de usuarios generosos para dedicar más tiempo a completar este proyecto y mejorarlo.","head_4_para_2":"Planeamos crear un ecosistema Uyamak completo al incluir soporte de hardware que sea capaz de ejecutar el algoritmo en tiempo real. Actualizaremos más detalles en breve.","head_4_para_3":"Puede apoyarnos seleccionando cualquiera de las siguientes opciones. Le recomendamos encarecidamente que utilice Patreon porque hace públicos los fondos recaudados al instante. Sin embargo, actualizamos esto aquí mensualmente.","head_4_card_1_title":"Patreon","head_4_card_1_desc_1":"Nuestra primera preferencia","head_4_card_2_title":"PayPal","head_4_card_2_desc_1":"Nuestra segunda preferencia","head_4_card_3_title":"Mercancías","head_4_card_3_desc_1":"Nuestra ultima preferencia","support_generated":"Generado","last_month":"en el último mes","this_month":"en el mes actual","head_5":"Contáctenos","head_5_subhead":"Queremos escuchar de ti","head_5_para_1":"Agradecemos sus comentarios, sugerencias, preguntas y quejas. Tenga en cuenta que SKGadi diseñó, codificó y probó Uyamak. Sin embargo, sin la guía de Antonio Concha, sería imposible lograr su precisión. El equipo de Uyamak es solo de dos personas, por lo que puede llevar algún tiempo responder a sus inquietudes.","head_5_para_2":"El siguiente botón le llevará a la página de contacto de SKGadi. Por favor mencione la palabra Uyamak en el tema para identificar su área de interés.","button_contact":"Página de contacto de SKGadi","button_goto":"Ir a","button_goto_app":"Aplicación en línea","button_download_app":"Descarga la aplicación para windows","download":"Descargar"}</v>
      </c>
      <c r="G1" t="str">
        <f t="shared" si="0"/>
        <v>{"title":"","description":"","keywords":["","","","",""],"author":"","publisher":"","image":"","twitter_creator":"","head_1_para_1":"","head_1_para_2":"","head_1_subhead":"","head_1_card_1_title_1":"","head_1_card_1_title_2":"","head_1_card_1_title_3":"","head_1_card_1_title_4":"","learn_more":"","head_1_card_1_desc_1":"","head_1_card_1_desc_2":"","head_1_card_1_desc_3":"","head_1_card_1_desc_4":"","head_2":"","head_2_subhead":"","head_2_para_1":"","head_2_para_2":"","head_2_para_3":"","head_2_card_1_title_1":"","head_2_card_1_title_2":"","head_2_card_1_title_3":"","head_2_card_1_title_4":"","head_2_card_1_desc_1":"","head_2_card_1_desc_2":"","head_2_card_1_desc_3":"","head_2_card_1_desc_4":"","head_3":"","head_3_subhead":"","head_3_para_1":"","head_3_card_1_title_1":"","head_3_card_1_title_2":"","head_3_card_1_title_3":"","head_3_card_1_title_4":"","head_3_card_1_desc_1":"","head_3_card_1_desc_2":"","head_3_card_1_desc_3":"","head_3_card_1_desc_4":"","head_4":"","head_4_subhead":"","head_4_para_1":"","head_4_para_2":"","head_4_para_3":"","head_4_card_1_title":"","head_4_card_1_desc_1":"","head_4_card_2_title":"","head_4_card_2_desc_1":"","head_4_card_3_title":"","head_4_card_3_desc_1":"","support_generated":"","last_month":"","this_month":"","head_5":"","head_5_subhead":"","head_5_para_1":"","head_5_para_2":"","button_contact":"","button_goto":"","button_goto_app":"","button_download_app":"","download":""}</v>
      </c>
    </row>
    <row r="2" spans="1:7" x14ac:dyDescent="0.3">
      <c r="A2" t="s">
        <v>7</v>
      </c>
      <c r="B2" t="s">
        <v>811</v>
      </c>
      <c r="C2" t="s">
        <v>811</v>
      </c>
      <c r="E2" t="str">
        <f t="shared" ref="E2:G3" si="1">CHAR(34)&amp;$A2&amp;CHAR(34)&amp;":"&amp;CHAR(34)&amp;B2&amp;CHAR(34)&amp;","</f>
        <v>"title":"Uyamak",</v>
      </c>
      <c r="F2" t="str">
        <f t="shared" si="1"/>
        <v>"title":"Uyamak",</v>
      </c>
      <c r="G2" t="str">
        <f t="shared" si="1"/>
        <v>"title":"",</v>
      </c>
    </row>
    <row r="3" spans="1:7" x14ac:dyDescent="0.3">
      <c r="A3" t="s">
        <v>9</v>
      </c>
      <c r="B3" t="s">
        <v>841</v>
      </c>
      <c r="C3" t="s">
        <v>842</v>
      </c>
      <c r="E3" t="str">
        <f t="shared" si="1"/>
        <v>"description":"Learning mathematics is made fun with the Uyamak.",</v>
      </c>
      <c r="F3" t="str">
        <f t="shared" si="1"/>
        <v>"description":"El aprendizaje de las matemáticas se hace divertido con Uyamak.",</v>
      </c>
      <c r="G3" t="str">
        <f t="shared" si="1"/>
        <v>"description":"",</v>
      </c>
    </row>
    <row r="4" spans="1:7" x14ac:dyDescent="0.3">
      <c r="A4" t="s">
        <v>10</v>
      </c>
      <c r="B4" t="s">
        <v>811</v>
      </c>
      <c r="C4" t="s">
        <v>811</v>
      </c>
      <c r="E4" t="str">
        <f>CHAR(34)&amp;$A4&amp;CHAR(34)&amp;":["&amp;CHAR(34)&amp;B4&amp;CHAR(34)&amp;","</f>
        <v>"keywords":["Uyamak",</v>
      </c>
      <c r="F4" t="str">
        <f>CHAR(34)&amp;$A4&amp;CHAR(34)&amp;":["&amp;CHAR(34)&amp;C4&amp;CHAR(34)&amp;","</f>
        <v>"keywords":["Uyamak",</v>
      </c>
      <c r="G4" t="str">
        <f>CHAR(34)&amp;$A4&amp;CHAR(34)&amp;":["&amp;CHAR(34)&amp;D4&amp;CHAR(34)&amp;","</f>
        <v>"keywords":["",</v>
      </c>
    </row>
    <row r="5" spans="1:7" x14ac:dyDescent="0.3">
      <c r="A5" t="s">
        <v>10</v>
      </c>
      <c r="B5" t="s">
        <v>833</v>
      </c>
      <c r="C5" t="s">
        <v>837</v>
      </c>
      <c r="E5" t="str">
        <f>CHAR(34)&amp;B5&amp;CHAR(34)&amp;","</f>
        <v>"mathematics",</v>
      </c>
      <c r="F5" t="str">
        <f>CHAR(34)&amp;C5&amp;CHAR(34)&amp;","</f>
        <v>"matemáticas",</v>
      </c>
      <c r="G5" t="str">
        <f>CHAR(34)&amp;D5&amp;CHAR(34)&amp;","</f>
        <v>"",</v>
      </c>
    </row>
    <row r="6" spans="1:7" x14ac:dyDescent="0.3">
      <c r="A6" t="s">
        <v>10</v>
      </c>
      <c r="B6" t="s">
        <v>834</v>
      </c>
      <c r="C6" t="s">
        <v>838</v>
      </c>
      <c r="E6" t="str">
        <f t="shared" ref="E6:G7" si="2">CHAR(34)&amp;B6&amp;CHAR(34)&amp;","</f>
        <v>"block diagram",</v>
      </c>
      <c r="F6" t="str">
        <f t="shared" si="2"/>
        <v>"diagrama de bloques",</v>
      </c>
      <c r="G6" t="str">
        <f t="shared" si="2"/>
        <v>"",</v>
      </c>
    </row>
    <row r="7" spans="1:7" x14ac:dyDescent="0.3">
      <c r="A7" t="s">
        <v>10</v>
      </c>
      <c r="B7" t="s">
        <v>835</v>
      </c>
      <c r="C7" t="s">
        <v>839</v>
      </c>
      <c r="E7" t="str">
        <f t="shared" si="2"/>
        <v>"simulation",</v>
      </c>
      <c r="F7" t="str">
        <f t="shared" si="2"/>
        <v>"simulación",</v>
      </c>
      <c r="G7" t="str">
        <f t="shared" si="2"/>
        <v>"",</v>
      </c>
    </row>
    <row r="8" spans="1:7" x14ac:dyDescent="0.3">
      <c r="A8" t="s">
        <v>10</v>
      </c>
      <c r="B8" t="s">
        <v>836</v>
      </c>
      <c r="C8" t="s">
        <v>840</v>
      </c>
      <c r="E8" t="str">
        <f>CHAR(34)&amp;B8&amp;CHAR(34)&amp;"],"</f>
        <v>"application"],</v>
      </c>
      <c r="F8" t="str">
        <f>CHAR(34)&amp;C8&amp;CHAR(34)&amp;"],"</f>
        <v>"aplicación"],</v>
      </c>
      <c r="G8" t="str">
        <f>CHAR(34)&amp;D8&amp;CHAR(34)&amp;"],"</f>
        <v>""],</v>
      </c>
    </row>
    <row r="9" spans="1:7" x14ac:dyDescent="0.3">
      <c r="A9" t="s">
        <v>11</v>
      </c>
      <c r="B9" t="s">
        <v>19</v>
      </c>
      <c r="C9" t="str">
        <f>IF(ISBLANK(B9),"",B9)</f>
        <v>Suresh Kumar Gadi</v>
      </c>
      <c r="E9" t="str">
        <f>IF(ISBLANK($A9),"",CHAR(34)&amp;$A9&amp;CHAR(34)&amp;":"&amp;CHAR(34)&amp;B9&amp;CHAR(34)&amp;IF(ISBLANK($A10),"",","))</f>
        <v>"author":"Suresh Kumar Gadi",</v>
      </c>
      <c r="F9" t="str">
        <f t="shared" ref="F9:G34" si="3">IF(ISBLANK($A9),"",CHAR(34)&amp;$A9&amp;CHAR(34)&amp;":"&amp;CHAR(34)&amp;C9&amp;CHAR(34)&amp;IF(ISBLANK($A10),"",","))</f>
        <v>"author":"Suresh Kumar Gadi",</v>
      </c>
      <c r="G9" t="str">
        <f t="shared" si="3"/>
        <v>"author":"",</v>
      </c>
    </row>
    <row r="10" spans="1:7" x14ac:dyDescent="0.3">
      <c r="A10" t="s">
        <v>12</v>
      </c>
      <c r="B10" s="3" t="s">
        <v>20</v>
      </c>
      <c r="C10" t="str">
        <f t="shared" ref="C10:C11" si="4">IF(ISBLANK(B10),"",B10)</f>
        <v>https://plus.google.com/+SureshKumarGadi/posts</v>
      </c>
      <c r="E10" t="str">
        <f t="shared" ref="E10:G53" si="5">IF(ISBLANK($A10),"",CHAR(34)&amp;$A10&amp;CHAR(34)&amp;":"&amp;CHAR(34)&amp;B10&amp;CHAR(34)&amp;IF(ISBLANK($A11),"",","))</f>
        <v>"publisher":"https://plus.google.com/+SureshKumarGadi/posts",</v>
      </c>
      <c r="F10" t="str">
        <f t="shared" si="3"/>
        <v>"publisher":"https://plus.google.com/+SureshKumarGadi/posts",</v>
      </c>
      <c r="G10" t="str">
        <f t="shared" si="3"/>
        <v>"publisher":"",</v>
      </c>
    </row>
    <row r="11" spans="1:7" x14ac:dyDescent="0.3">
      <c r="A11" t="s">
        <v>5</v>
      </c>
      <c r="B11" s="3" t="s">
        <v>21</v>
      </c>
      <c r="C11" t="str">
        <f t="shared" si="4"/>
        <v>https://lagunamedicalcenter.com/images/logo.jpg</v>
      </c>
      <c r="E11" t="str">
        <f t="shared" si="5"/>
        <v>"image":"https://lagunamedicalcenter.com/images/logo.jpg",</v>
      </c>
      <c r="F11" t="str">
        <f t="shared" si="3"/>
        <v>"image":"https://lagunamedicalcenter.com/images/logo.jpg",</v>
      </c>
      <c r="G11" t="str">
        <f t="shared" si="3"/>
        <v>"image":"",</v>
      </c>
    </row>
    <row r="12" spans="1:7" x14ac:dyDescent="0.3">
      <c r="A12" t="s">
        <v>13</v>
      </c>
      <c r="B12" s="4" t="s">
        <v>22</v>
      </c>
      <c r="C12" t="str">
        <f>IF(ISBLANK(B12),"",B12)</f>
        <v>@SureshKumarGadi</v>
      </c>
      <c r="E12" t="str">
        <f>IF(ISBLANK($A12),"",CHAR(34)&amp;$A12&amp;CHAR(34)&amp;":"&amp;CHAR(34)&amp;B12&amp;CHAR(34)&amp;IF(ISBLANK(#REF!),"",","))</f>
        <v>"twitter_creator":"@SureshKumarGadi",</v>
      </c>
      <c r="F12" t="str">
        <f>IF(ISBLANK($A12),"",CHAR(34)&amp;$A12&amp;CHAR(34)&amp;":"&amp;CHAR(34)&amp;C12&amp;CHAR(34)&amp;IF(ISBLANK(#REF!),"",","))</f>
        <v>"twitter_creator":"@SureshKumarGadi",</v>
      </c>
      <c r="G12" t="str">
        <f>IF(ISBLANK($A12),"",CHAR(34)&amp;$A12&amp;CHAR(34)&amp;":"&amp;CHAR(34)&amp;D12&amp;CHAR(34)&amp;IF(ISBLANK(#REF!),"",","))</f>
        <v>"twitter_creator":"",</v>
      </c>
    </row>
    <row r="13" spans="1:7" x14ac:dyDescent="0.3">
      <c r="A13" t="s">
        <v>812</v>
      </c>
      <c r="B13" s="4" t="s">
        <v>813</v>
      </c>
      <c r="C13" t="str">
        <f t="shared" ref="C13:C20" si="6">IF(ISBLANK(B13),"",B13)</f>
        <v>{"Local":true, "URL":"w3css/w3.css"},</v>
      </c>
      <c r="E13" t="str">
        <f>IF(ISBLANK($A13),"",CHAR(34)&amp;$A13&amp;CHAR(34)&amp;":"&amp;"["&amp;_xlfn.CONCAT($B$13:$B$18)&amp;"]"&amp;IF(ISBLANK(#REF!),"",","))</f>
        <v>"CSSPlugIn":[{"Local":true, "URL":"w3css/w3.css"},{"Local":true, "URL":"w3css/w3-theme-teal.css"},{"Local":true, "URL":"../css/w3css-ext.min.css"},{"Local":true, "URL":"../css/fonts/u57c.min.css"},{"Local":true, "URL":"../css/index.min.css"},{"Local":true, "URL":"fa/css/all.min.css"}],</v>
      </c>
      <c r="F13" t="str">
        <f>E13</f>
        <v>"CSSPlugIn":[{"Local":true, "URL":"w3css/w3.css"},{"Local":true, "URL":"w3css/w3-theme-teal.css"},{"Local":true, "URL":"../css/w3css-ext.min.css"},{"Local":true, "URL":"../css/fonts/u57c.min.css"},{"Local":true, "URL":"../css/index.min.css"},{"Local":true, "URL":"fa/css/all.min.css"}],</v>
      </c>
    </row>
    <row r="14" spans="1:7" x14ac:dyDescent="0.3">
      <c r="A14" t="s">
        <v>812</v>
      </c>
      <c r="B14" s="4" t="s">
        <v>817</v>
      </c>
      <c r="C14" t="str">
        <f t="shared" si="6"/>
        <v>{"Local":true, "URL":"w3css/w3-theme-teal.css"},</v>
      </c>
    </row>
    <row r="15" spans="1:7" x14ac:dyDescent="0.3">
      <c r="A15" t="s">
        <v>812</v>
      </c>
      <c r="B15" s="4" t="s">
        <v>819</v>
      </c>
      <c r="C15" t="str">
        <f t="shared" si="6"/>
        <v>{"Local":true, "URL":"../css/w3css-ext.min.css"},</v>
      </c>
    </row>
    <row r="16" spans="1:7" x14ac:dyDescent="0.3">
      <c r="A16" t="s">
        <v>812</v>
      </c>
      <c r="B16" s="4" t="s">
        <v>821</v>
      </c>
      <c r="C16" t="str">
        <f t="shared" si="6"/>
        <v>{"Local":true, "URL":"../css/fonts/u57c.min.css"},</v>
      </c>
    </row>
    <row r="17" spans="1:7" x14ac:dyDescent="0.3">
      <c r="A17" t="s">
        <v>812</v>
      </c>
      <c r="B17" s="4" t="s">
        <v>820</v>
      </c>
      <c r="C17" t="str">
        <f t="shared" si="6"/>
        <v>{"Local":true, "URL":"../css/index.min.css"},</v>
      </c>
    </row>
    <row r="18" spans="1:7" x14ac:dyDescent="0.3">
      <c r="A18" t="s">
        <v>812</v>
      </c>
      <c r="B18" s="4" t="s">
        <v>818</v>
      </c>
      <c r="C18" t="str">
        <f t="shared" si="6"/>
        <v>{"Local":true, "URL":"fa/css/all.min.css"}</v>
      </c>
    </row>
    <row r="19" spans="1:7" x14ac:dyDescent="0.3">
      <c r="A19" t="s">
        <v>814</v>
      </c>
      <c r="B19" s="4" t="s">
        <v>832</v>
      </c>
      <c r="C19" t="str">
        <f t="shared" si="6"/>
        <v>{"Local":true, "URL":"jquery/jquery.min.js"},</v>
      </c>
      <c r="E19" t="str">
        <f>IF(ISBLANK($A19),"",CHAR(34)&amp;$A19&amp;CHAR(34)&amp;":"&amp;"["&amp;_xlfn.CONCAT($B$19:$B$20)&amp;"],")</f>
        <v>"JSPlugInEnd":[{"Local":true, "URL":"jquery/jquery.min.js"},{"Local":true, "URL":"../script/index.min.js"}],</v>
      </c>
      <c r="F19" t="str">
        <f>E19</f>
        <v>"JSPlugInEnd":[{"Local":true, "URL":"jquery/jquery.min.js"},{"Local":true, "URL":"../script/index.min.js"}],</v>
      </c>
    </row>
    <row r="20" spans="1:7" x14ac:dyDescent="0.3">
      <c r="A20" t="s">
        <v>814</v>
      </c>
      <c r="B20" s="4" t="s">
        <v>831</v>
      </c>
      <c r="C20" t="str">
        <f t="shared" si="6"/>
        <v>{"Local":true, "URL":"../script/index.min.js"}</v>
      </c>
    </row>
    <row r="21" spans="1:7" x14ac:dyDescent="0.3">
      <c r="A21" t="s">
        <v>822</v>
      </c>
      <c r="B21" s="4"/>
      <c r="E21" t="str">
        <f>CHAR(34)&amp;A21&amp;CHAR(34)&amp;":"&amp;"["</f>
        <v>"Anchors":[</v>
      </c>
      <c r="F21" t="str">
        <f>E21</f>
        <v>"Anchors":[</v>
      </c>
    </row>
    <row r="22" spans="1:7" x14ac:dyDescent="0.3">
      <c r="A22" t="s">
        <v>828</v>
      </c>
      <c r="B22" s="4" t="s">
        <v>824</v>
      </c>
      <c r="C22" t="s">
        <v>826</v>
      </c>
      <c r="E22" t="str">
        <f>"{"&amp;CHAR(34)&amp;"id"&amp;CHAR(34)&amp;":"&amp;CHAR(34)&amp;$A22&amp;CHAR(34)&amp;","&amp;CHAR(34)&amp;"value"&amp;CHAR(34)&amp;":"&amp;CHAR(34)&amp;B22&amp;CHAR(34)&amp;"}"&amp;IF(ISBLANK(A23),"",",")</f>
        <v>{"id":"home","value":"Top"},</v>
      </c>
      <c r="F22" t="str">
        <f>"{"&amp;CHAR(34)&amp;"id"&amp;CHAR(34)&amp;":"&amp;CHAR(34)&amp;$A22&amp;CHAR(34)&amp;","&amp;CHAR(34)&amp;"value"&amp;CHAR(34)&amp;":"&amp;CHAR(34)&amp;C22&amp;CHAR(34)&amp;"}"&amp;IF(ISBLANK(B23),"",",")</f>
        <v>{"id":"home","value":"Parte superior"},</v>
      </c>
    </row>
    <row r="23" spans="1:7" x14ac:dyDescent="0.3">
      <c r="A23" t="s">
        <v>829</v>
      </c>
      <c r="B23" s="4" t="s">
        <v>825</v>
      </c>
      <c r="C23" t="s">
        <v>827</v>
      </c>
      <c r="E23" t="str">
        <f t="shared" ref="E23:E26" si="7">"{"&amp;CHAR(34)&amp;"id"&amp;CHAR(34)&amp;":"&amp;CHAR(34)&amp;$A23&amp;CHAR(34)&amp;","&amp;CHAR(34)&amp;"value"&amp;CHAR(34)&amp;":"&amp;CHAR(34)&amp;B23&amp;CHAR(34)&amp;"}"&amp;IF(ISBLANK(A24),"",",")</f>
        <v>{"id":"work","value":"How does it work?"},</v>
      </c>
      <c r="F23" t="str">
        <f t="shared" ref="F23:F26" si="8">"{"&amp;CHAR(34)&amp;"id"&amp;CHAR(34)&amp;":"&amp;CHAR(34)&amp;$A23&amp;CHAR(34)&amp;","&amp;CHAR(34)&amp;"value"&amp;CHAR(34)&amp;":"&amp;CHAR(34)&amp;C23&amp;CHAR(34)&amp;"}"&amp;IF(ISBLANK(B24),"",",")</f>
        <v>{"id":"work","value":"¿Como funciona?"},</v>
      </c>
    </row>
    <row r="24" spans="1:7" x14ac:dyDescent="0.3">
      <c r="A24" t="s">
        <v>830</v>
      </c>
      <c r="B24" s="4" t="s">
        <v>815</v>
      </c>
      <c r="C24" t="s">
        <v>816</v>
      </c>
      <c r="E24" t="str">
        <f t="shared" si="7"/>
        <v>{"id":"features","value":"Features"},</v>
      </c>
      <c r="F24" t="str">
        <f t="shared" si="8"/>
        <v>{"id":"features","value":"Caracteristicas"},</v>
      </c>
    </row>
    <row r="25" spans="1:7" x14ac:dyDescent="0.3">
      <c r="A25" t="s">
        <v>940</v>
      </c>
      <c r="B25" t="s">
        <v>948</v>
      </c>
      <c r="C25" t="s">
        <v>949</v>
      </c>
      <c r="E25" t="str">
        <f t="shared" ref="E25" si="9">"{"&amp;CHAR(34)&amp;"id"&amp;CHAR(34)&amp;":"&amp;CHAR(34)&amp;$A25&amp;CHAR(34)&amp;","&amp;CHAR(34)&amp;"value"&amp;CHAR(34)&amp;":"&amp;CHAR(34)&amp;B25&amp;CHAR(34)&amp;"}"&amp;IF(ISBLANK(A26),"",",")</f>
        <v>{"id":"support","value":"Support Uyamak"},</v>
      </c>
      <c r="F25" t="str">
        <f t="shared" ref="F25" si="10">"{"&amp;CHAR(34)&amp;"id"&amp;CHAR(34)&amp;":"&amp;CHAR(34)&amp;$A25&amp;CHAR(34)&amp;","&amp;CHAR(34)&amp;"value"&amp;CHAR(34)&amp;":"&amp;CHAR(34)&amp;C25&amp;CHAR(34)&amp;"}"&amp;IF(ISBLANK(B26),"",",")</f>
        <v>{"id":"support","value":"Apoya a Uyamak"},</v>
      </c>
    </row>
    <row r="26" spans="1:7" x14ac:dyDescent="0.3">
      <c r="A26" t="s">
        <v>695</v>
      </c>
      <c r="B26" s="4" t="s">
        <v>692</v>
      </c>
      <c r="C26" t="s">
        <v>689</v>
      </c>
      <c r="E26" t="str">
        <f t="shared" si="7"/>
        <v>{"id":"contact","value":"Contact us"}</v>
      </c>
      <c r="F26" t="str">
        <f t="shared" si="8"/>
        <v>{"id":"contact","value":"Contáctenos"}</v>
      </c>
    </row>
    <row r="27" spans="1:7" x14ac:dyDescent="0.3">
      <c r="B27" s="4"/>
      <c r="E27" t="s">
        <v>823</v>
      </c>
      <c r="F27" t="str">
        <f>E27</f>
        <v>],</v>
      </c>
    </row>
    <row r="28" spans="1:7" x14ac:dyDescent="0.3">
      <c r="A28" t="s">
        <v>843</v>
      </c>
      <c r="B28" s="4" t="s">
        <v>872</v>
      </c>
      <c r="C28" t="s">
        <v>873</v>
      </c>
      <c r="E28" t="str">
        <f t="shared" ref="E28:E53" si="11">IF(ISBLANK($A28),"",CHAR(34)&amp;$A28&amp;CHAR(34)&amp;":"&amp;CHAR(34)&amp;B28&amp;CHAR(34)&amp;IF(ISBLANK($A29),"",","))</f>
        <v>"head_1_para_1":"Uyamak editor allows you to design and simulate a mathematical model. It uses a pictorial way of design. Prepare your algorithm by connecting different blocks with the wires.",</v>
      </c>
      <c r="F28" t="str">
        <f t="shared" ref="F28:F53" si="12">IF(ISBLANK($A28),"",CHAR(34)&amp;$A28&amp;CHAR(34)&amp;":"&amp;CHAR(34)&amp;C28&amp;CHAR(34)&amp;IF(ISBLANK($A29),"",","))</f>
        <v>"head_1_para_1":"El editor de Uyamak le permite diseñar y simular un modelo matemático. Utiliza una forma pictórica de diseño. Prepare su algoritmo conectando diferentes bloques con los cables.",</v>
      </c>
      <c r="G28" t="str">
        <f t="shared" si="3"/>
        <v>"head_1_para_1":"",</v>
      </c>
    </row>
    <row r="29" spans="1:7" x14ac:dyDescent="0.3">
      <c r="A29" t="s">
        <v>844</v>
      </c>
      <c r="B29" s="4" t="s">
        <v>846</v>
      </c>
      <c r="C29" t="s">
        <v>845</v>
      </c>
      <c r="E29" t="str">
        <f t="shared" si="11"/>
        <v>"head_1_para_2":"It is useful for students of all levels and researchers. We are actively developing this application to improve its functionality. Some parts of the website are incomplete, but please proceed to the app to try it yourself.",</v>
      </c>
      <c r="F29" t="str">
        <f t="shared" si="12"/>
        <v>"head_1_para_2":"Es útil para estudiantes de todos los niveles e investigadores. Estamos desarrollando activamente esta aplicación para mejorar su funcionalidad. Algunas partes del sitio web están incompletas, pero vaya a la aplicación para probarla usted mismo.",</v>
      </c>
      <c r="G29" t="str">
        <f t="shared" si="3"/>
        <v>"head_1_para_2":"",</v>
      </c>
    </row>
    <row r="30" spans="1:7" x14ac:dyDescent="0.3">
      <c r="A30" t="s">
        <v>847</v>
      </c>
      <c r="B30" s="4" t="s">
        <v>1036</v>
      </c>
      <c r="C30" t="s">
        <v>1037</v>
      </c>
      <c r="E30" t="str">
        <f t="shared" si="11"/>
        <v>"head_1_subhead":"Making learning mathematics fun",</v>
      </c>
      <c r="F30" t="str">
        <f t="shared" si="12"/>
        <v>"head_1_subhead":"Hacer que el aprendizaje de las matemáticas sea divertido",</v>
      </c>
      <c r="G30" t="str">
        <f t="shared" si="3"/>
        <v>"head_1_subhead":"",</v>
      </c>
    </row>
    <row r="31" spans="1:7" x14ac:dyDescent="0.3">
      <c r="A31" t="s">
        <v>852</v>
      </c>
      <c r="B31" s="4" t="s">
        <v>848</v>
      </c>
      <c r="C31" t="s">
        <v>856</v>
      </c>
      <c r="E31" t="str">
        <f t="shared" si="11"/>
        <v>"head_1_card_1_title_1":"Schools",</v>
      </c>
      <c r="F31" t="str">
        <f t="shared" si="12"/>
        <v>"head_1_card_1_title_1":"Escuelas",</v>
      </c>
      <c r="G31" t="str">
        <f t="shared" si="3"/>
        <v>"head_1_card_1_title_1":"",</v>
      </c>
    </row>
    <row r="32" spans="1:7" x14ac:dyDescent="0.3">
      <c r="A32" t="s">
        <v>853</v>
      </c>
      <c r="B32" s="4" t="s">
        <v>849</v>
      </c>
      <c r="C32" t="s">
        <v>857</v>
      </c>
      <c r="E32" t="str">
        <f t="shared" si="11"/>
        <v>"head_1_card_1_title_2":"Colleges",</v>
      </c>
      <c r="F32" t="str">
        <f t="shared" si="12"/>
        <v>"head_1_card_1_title_2":"Colegios",</v>
      </c>
      <c r="G32" t="str">
        <f t="shared" si="3"/>
        <v>"head_1_card_1_title_2":"",</v>
      </c>
    </row>
    <row r="33" spans="1:7" x14ac:dyDescent="0.3">
      <c r="A33" t="s">
        <v>854</v>
      </c>
      <c r="B33" s="4" t="s">
        <v>850</v>
      </c>
      <c r="C33" t="s">
        <v>858</v>
      </c>
      <c r="E33" t="str">
        <f t="shared" si="11"/>
        <v>"head_1_card_1_title_3":"Universities",</v>
      </c>
      <c r="F33" t="str">
        <f t="shared" si="12"/>
        <v>"head_1_card_1_title_3":"Universidades",</v>
      </c>
      <c r="G33" t="str">
        <f t="shared" si="3"/>
        <v>"head_1_card_1_title_3":"",</v>
      </c>
    </row>
    <row r="34" spans="1:7" x14ac:dyDescent="0.3">
      <c r="A34" t="s">
        <v>855</v>
      </c>
      <c r="B34" s="4" t="s">
        <v>851</v>
      </c>
      <c r="C34" t="s">
        <v>859</v>
      </c>
      <c r="E34" t="str">
        <f t="shared" si="11"/>
        <v>"head_1_card_1_title_4":"Researchers",</v>
      </c>
      <c r="F34" t="str">
        <f t="shared" si="12"/>
        <v>"head_1_card_1_title_4":"Investigadores",</v>
      </c>
      <c r="G34" t="str">
        <f t="shared" si="3"/>
        <v>"head_1_card_1_title_4":"",</v>
      </c>
    </row>
    <row r="35" spans="1:7" x14ac:dyDescent="0.3">
      <c r="A35" t="s">
        <v>860</v>
      </c>
      <c r="B35" s="4" t="s">
        <v>861</v>
      </c>
      <c r="C35" t="s">
        <v>82</v>
      </c>
      <c r="E35" t="str">
        <f t="shared" si="11"/>
        <v>"learn_more":"Learn more",</v>
      </c>
      <c r="F35" t="str">
        <f t="shared" si="12"/>
        <v>"learn_more":"Más información",</v>
      </c>
      <c r="G35" t="str">
        <f t="shared" si="5"/>
        <v>"learn_more":"",</v>
      </c>
    </row>
    <row r="36" spans="1:7" x14ac:dyDescent="0.3">
      <c r="A36" t="s">
        <v>864</v>
      </c>
      <c r="B36" t="s">
        <v>863</v>
      </c>
      <c r="C36" t="s">
        <v>862</v>
      </c>
      <c r="E36" t="str">
        <f t="shared" si="11"/>
        <v>"head_1_card_1_desc_1":"At schools, students can learn to perform basic mathematical operations and trigonometric functions.",</v>
      </c>
      <c r="F36" t="str">
        <f t="shared" si="12"/>
        <v>"head_1_card_1_desc_1":"En las escuelas, los estudiantes pueden aprender a realizar operaciones matemáticas básicas y funciones trigonométricas.",</v>
      </c>
      <c r="G36" t="str">
        <f t="shared" si="5"/>
        <v>"head_1_card_1_desc_1":"",</v>
      </c>
    </row>
    <row r="37" spans="1:7" x14ac:dyDescent="0.3">
      <c r="A37" t="s">
        <v>865</v>
      </c>
      <c r="B37" t="s">
        <v>874</v>
      </c>
      <c r="C37" t="s">
        <v>875</v>
      </c>
      <c r="E37" t="str">
        <f t="shared" si="11"/>
        <v>"head_1_card_1_desc_2":"College students can practice their newly acquired knowledge in topics such as complex numbers, matrices, calculus, etc.",</v>
      </c>
      <c r="F37" t="str">
        <f t="shared" si="12"/>
        <v>"head_1_card_1_desc_2":"Los estudiantes universitarios pueden practicar sus conocimientos recién adquiridos en temas como números complejos, matrices, cálculo, etc.",</v>
      </c>
      <c r="G37" t="str">
        <f t="shared" si="5"/>
        <v>"head_1_card_1_desc_2":"",</v>
      </c>
    </row>
    <row r="38" spans="1:7" x14ac:dyDescent="0.3">
      <c r="A38" t="s">
        <v>866</v>
      </c>
      <c r="B38" t="s">
        <v>869</v>
      </c>
      <c r="C38" t="s">
        <v>868</v>
      </c>
      <c r="E38" t="str">
        <f t="shared" si="11"/>
        <v>"head_1_card_1_desc_3":"Solving differential equations, visualizing complex mathematical model is made easy with the Uyamak for the university students.",</v>
      </c>
      <c r="F38" t="str">
        <f t="shared" si="12"/>
        <v>"head_1_card_1_desc_3":"Resolver ecuaciones diferenciales, visualizar modelos matemáticos complejos es fácil con el Uyamak para los estudiantes universitarios.",</v>
      </c>
      <c r="G38" t="str">
        <f t="shared" si="5"/>
        <v>"head_1_card_1_desc_3":"",</v>
      </c>
    </row>
    <row r="39" spans="1:7" x14ac:dyDescent="0.3">
      <c r="A39" t="s">
        <v>867</v>
      </c>
      <c r="B39" t="s">
        <v>871</v>
      </c>
      <c r="C39" t="s">
        <v>870</v>
      </c>
      <c r="E39" t="str">
        <f t="shared" si="11"/>
        <v>"head_1_card_1_desc_4":"Researchers can test their algorithms by applying different integration methods.",</v>
      </c>
      <c r="F39" t="str">
        <f t="shared" si="12"/>
        <v>"head_1_card_1_desc_4":"Los investigadores pueden probar sus algoritmos aplicando diferentes métodos de integración.",</v>
      </c>
      <c r="G39" t="str">
        <f t="shared" si="5"/>
        <v>"head_1_card_1_desc_4":"",</v>
      </c>
    </row>
    <row r="40" spans="1:7" x14ac:dyDescent="0.3">
      <c r="A40" t="s">
        <v>876</v>
      </c>
      <c r="B40" t="s">
        <v>825</v>
      </c>
      <c r="C40" t="s">
        <v>827</v>
      </c>
      <c r="E40" t="str">
        <f t="shared" si="11"/>
        <v>"head_2":"How does it work?",</v>
      </c>
      <c r="F40" t="str">
        <f t="shared" si="12"/>
        <v>"head_2":"¿Como funciona?",</v>
      </c>
      <c r="G40" t="str">
        <f t="shared" si="5"/>
        <v>"head_2":"",</v>
      </c>
    </row>
    <row r="41" spans="1:7" x14ac:dyDescent="0.3">
      <c r="A41" t="s">
        <v>877</v>
      </c>
      <c r="B41" t="s">
        <v>878</v>
      </c>
      <c r="C41" t="s">
        <v>879</v>
      </c>
      <c r="E41" t="str">
        <f t="shared" si="11"/>
        <v>"head_2_subhead":"Sneak peek under the hood",</v>
      </c>
      <c r="F41" t="str">
        <f t="shared" si="12"/>
        <v>"head_2_subhead":"Echa un vistazo debajo del capó",</v>
      </c>
      <c r="G41" t="str">
        <f t="shared" si="5"/>
        <v>"head_2_subhead":"",</v>
      </c>
    </row>
    <row r="42" spans="1:7" x14ac:dyDescent="0.3">
      <c r="A42" t="s">
        <v>886</v>
      </c>
      <c r="B42" t="s">
        <v>880</v>
      </c>
      <c r="C42" t="s">
        <v>883</v>
      </c>
      <c r="E42" t="str">
        <f t="shared" si="11"/>
        <v>"head_2_para_1":"Uyamak uses javascript to identify the algorithm, which is the block diagram created by the user. It then prepares an execution-order and passes it to the simulation engine. The simulation engine then executes one block at a time.",</v>
      </c>
      <c r="F42" t="str">
        <f t="shared" si="12"/>
        <v>"head_2_para_1":"Uyamak usa javascript para identificar el algoritmo, que es el diagrama de bloques creado por el usuario. Luego prepara una orden de ejecución y la pasa al motor de simulación. El motor de simulación luego ejecuta un bloque a la vez.",</v>
      </c>
      <c r="G42" t="str">
        <f t="shared" si="5"/>
        <v>"head_2_para_1":"",</v>
      </c>
    </row>
    <row r="43" spans="1:7" x14ac:dyDescent="0.3">
      <c r="A43" t="s">
        <v>887</v>
      </c>
      <c r="B43" t="s">
        <v>881</v>
      </c>
      <c r="C43" t="s">
        <v>884</v>
      </c>
      <c r="E43" t="str">
        <f t="shared" si="11"/>
        <v>"head_2_para_2":"Web workers are used for multi-threading to make sure the GUI is responsive during the execution of the simulation.",</v>
      </c>
      <c r="F43" t="str">
        <f t="shared" si="12"/>
        <v>"head_2_para_2":"Los trabajadores web se utilizan para subprocesos múltiples para asegurarse de que la GUI responda durante la ejecución de la simulación.",</v>
      </c>
      <c r="G43" t="str">
        <f t="shared" si="5"/>
        <v>"head_2_para_2":"",</v>
      </c>
    </row>
    <row r="44" spans="1:7" x14ac:dyDescent="0.3">
      <c r="A44" t="s">
        <v>888</v>
      </c>
      <c r="B44" t="s">
        <v>882</v>
      </c>
      <c r="C44" t="s">
        <v>885</v>
      </c>
      <c r="E44" t="str">
        <f t="shared" si="11"/>
        <v>"head_2_para_3":"We are drafting a scientific article to present a detailed explanation of the working of the Uyamak. Once published, we would make it available here.",</v>
      </c>
      <c r="F44" t="str">
        <f t="shared" si="12"/>
        <v>"head_2_para_3":"Estamos redactando un artículo científico para presentar una explicación detallada del funcionamiento del Uyamak. Una vez publicado, lo pondríamos a disposición aquí.",</v>
      </c>
      <c r="G44" t="str">
        <f t="shared" si="5"/>
        <v>"head_2_para_3":"",</v>
      </c>
    </row>
    <row r="45" spans="1:7" x14ac:dyDescent="0.3">
      <c r="A45" t="s">
        <v>889</v>
      </c>
      <c r="B45" t="s">
        <v>897</v>
      </c>
      <c r="C45" t="s">
        <v>901</v>
      </c>
      <c r="E45" t="str">
        <f t="shared" si="11"/>
        <v>"head_2_card_1_title_1":"Interpret",</v>
      </c>
      <c r="F45" t="str">
        <f t="shared" si="12"/>
        <v>"head_2_card_1_title_1":"Interpretar",</v>
      </c>
      <c r="G45" t="str">
        <f t="shared" si="5"/>
        <v>"head_2_card_1_title_1":"",</v>
      </c>
    </row>
    <row r="46" spans="1:7" x14ac:dyDescent="0.3">
      <c r="A46" t="s">
        <v>890</v>
      </c>
      <c r="B46" t="s">
        <v>898</v>
      </c>
      <c r="C46" t="s">
        <v>902</v>
      </c>
      <c r="E46" t="str">
        <f t="shared" si="11"/>
        <v>"head_2_card_1_title_2":"Simulate",</v>
      </c>
      <c r="F46" t="str">
        <f t="shared" si="12"/>
        <v>"head_2_card_1_title_2":"Simular",</v>
      </c>
      <c r="G46" t="str">
        <f t="shared" si="5"/>
        <v>"head_2_card_1_title_2":"",</v>
      </c>
    </row>
    <row r="47" spans="1:7" x14ac:dyDescent="0.3">
      <c r="A47" t="s">
        <v>891</v>
      </c>
      <c r="B47" t="s">
        <v>899</v>
      </c>
      <c r="C47" t="s">
        <v>903</v>
      </c>
      <c r="E47" t="str">
        <f t="shared" si="11"/>
        <v>"head_2_card_1_title_3":"Display",</v>
      </c>
      <c r="F47" t="str">
        <f t="shared" si="12"/>
        <v>"head_2_card_1_title_3":"Monitor",</v>
      </c>
      <c r="G47" t="str">
        <f t="shared" si="5"/>
        <v>"head_2_card_1_title_3":"",</v>
      </c>
    </row>
    <row r="48" spans="1:7" x14ac:dyDescent="0.3">
      <c r="A48" t="s">
        <v>892</v>
      </c>
      <c r="B48" t="s">
        <v>900</v>
      </c>
      <c r="C48" t="s">
        <v>904</v>
      </c>
      <c r="E48" t="str">
        <f t="shared" si="11"/>
        <v>"head_2_card_1_title_4":"Update",</v>
      </c>
      <c r="F48" t="str">
        <f t="shared" si="12"/>
        <v>"head_2_card_1_title_4":"Actualizar",</v>
      </c>
      <c r="G48" t="str">
        <f t="shared" si="5"/>
        <v>"head_2_card_1_title_4":"",</v>
      </c>
    </row>
    <row r="49" spans="1:7" x14ac:dyDescent="0.3">
      <c r="A49" t="s">
        <v>893</v>
      </c>
      <c r="B49" t="s">
        <v>905</v>
      </c>
      <c r="C49" t="s">
        <v>906</v>
      </c>
      <c r="E49" t="str">
        <f t="shared" si="11"/>
        <v>"head_2_card_1_desc_1":"Uyamak interprets the user flowchart to prepare an execution order.",</v>
      </c>
      <c r="F49" t="str">
        <f t="shared" si="12"/>
        <v>"head_2_card_1_desc_1":"Uyamak interpreta el diagrama de flujo del usuario para preparar una orden de ejecución.",</v>
      </c>
      <c r="G49" t="str">
        <f t="shared" si="5"/>
        <v>"head_2_card_1_desc_1":"",</v>
      </c>
    </row>
    <row r="50" spans="1:7" x14ac:dyDescent="0.3">
      <c r="A50" t="s">
        <v>894</v>
      </c>
      <c r="B50" t="s">
        <v>907</v>
      </c>
      <c r="C50" t="s">
        <v>908</v>
      </c>
      <c r="E50" t="str">
        <f t="shared" si="11"/>
        <v>"head_2_card_1_desc_2":"The simulation engine numerically evaluates each block and sends the results to the main window.",</v>
      </c>
      <c r="F50" t="str">
        <f t="shared" si="12"/>
        <v>"head_2_card_1_desc_2":"El motor de simulación evalúa numéricamente cada bloque y envía los resultados a la ventana principal.",</v>
      </c>
      <c r="G50" t="str">
        <f t="shared" si="5"/>
        <v>"head_2_card_1_desc_2":"",</v>
      </c>
    </row>
    <row r="51" spans="1:7" x14ac:dyDescent="0.3">
      <c r="A51" t="s">
        <v>895</v>
      </c>
      <c r="B51" t="s">
        <v>909</v>
      </c>
      <c r="C51" t="s">
        <v>910</v>
      </c>
      <c r="E51" t="str">
        <f t="shared" si="11"/>
        <v>"head_2_card_1_desc_3":"The main window thread displays the results at certain intervals to keep the GUI interactive.",</v>
      </c>
      <c r="F51" t="str">
        <f t="shared" si="12"/>
        <v>"head_2_card_1_desc_3":"El hilo de la ventana principal muestra los resultados a ciertos intervalos para mantener interactiva la GUI.",</v>
      </c>
      <c r="G51" t="str">
        <f t="shared" si="5"/>
        <v>"head_2_card_1_desc_3":"",</v>
      </c>
    </row>
    <row r="52" spans="1:7" x14ac:dyDescent="0.3">
      <c r="A52" t="s">
        <v>896</v>
      </c>
      <c r="B52" t="s">
        <v>911</v>
      </c>
      <c r="C52" t="s">
        <v>912</v>
      </c>
      <c r="E52" t="str">
        <f t="shared" si="11"/>
        <v>"head_2_card_1_desc_4":"In Uyamak, you can update the models on the fly. However, the changes to the connections won't affect the simulation.",</v>
      </c>
      <c r="F52" t="str">
        <f t="shared" si="12"/>
        <v>"head_2_card_1_desc_4":"En Uyamak, puede actualizar los modelos sobre la marcha. Sin embargo, los cambios en las conexiones no afectarán la simulación.",</v>
      </c>
      <c r="G52" t="str">
        <f t="shared" si="5"/>
        <v>"head_2_card_1_desc_4":"",</v>
      </c>
    </row>
    <row r="53" spans="1:7" x14ac:dyDescent="0.3">
      <c r="A53" t="s">
        <v>913</v>
      </c>
      <c r="B53" t="s">
        <v>815</v>
      </c>
      <c r="C53" t="s">
        <v>816</v>
      </c>
      <c r="E53" t="str">
        <f t="shared" si="11"/>
        <v>"head_3":"Features",</v>
      </c>
      <c r="F53" t="str">
        <f t="shared" si="12"/>
        <v>"head_3":"Caracteristicas",</v>
      </c>
      <c r="G53" t="str">
        <f t="shared" si="5"/>
        <v>"head_3":"",</v>
      </c>
    </row>
    <row r="54" spans="1:7" x14ac:dyDescent="0.3">
      <c r="A54" t="s">
        <v>914</v>
      </c>
      <c r="B54" t="s">
        <v>941</v>
      </c>
      <c r="C54" t="s">
        <v>942</v>
      </c>
      <c r="E54" t="str">
        <f t="shared" ref="E54:E85" si="13">IF(ISBLANK($A54),"",CHAR(34)&amp;$A54&amp;CHAR(34)&amp;":"&amp;CHAR(34)&amp;B54&amp;CHAR(34)&amp;IF(ISBLANK($A55),"",","))</f>
        <v>"head_3_subhead":"What makes ఉ special",</v>
      </c>
      <c r="F54" t="str">
        <f t="shared" ref="F54:F85" si="14">IF(ISBLANK($A54),"",CHAR(34)&amp;$A54&amp;CHAR(34)&amp;":"&amp;CHAR(34)&amp;C54&amp;CHAR(34)&amp;IF(ISBLANK($A55),"",","))</f>
        <v>"head_3_subhead":"Que hace a ఉ especial",</v>
      </c>
      <c r="G54" t="str">
        <f t="shared" ref="G54:G85" si="15">IF(ISBLANK($A54),"",CHAR(34)&amp;$A54&amp;CHAR(34)&amp;":"&amp;CHAR(34)&amp;D54&amp;CHAR(34)&amp;IF(ISBLANK($A55),"",","))</f>
        <v>"head_3_subhead":"",</v>
      </c>
    </row>
    <row r="55" spans="1:7" x14ac:dyDescent="0.3">
      <c r="A55" t="s">
        <v>915</v>
      </c>
      <c r="B55" t="s">
        <v>998</v>
      </c>
      <c r="C55" t="s">
        <v>999</v>
      </c>
      <c r="E55" t="str">
        <f t="shared" si="13"/>
        <v>"head_3_para_1":"Uyamak is unique because you can use it on your school computer, laptop, or any other computer with internet access. All your code runs on your computer, so it doesn't require a fast internet connection.",</v>
      </c>
      <c r="F55" t="str">
        <f t="shared" si="14"/>
        <v>"head_3_para_1":"Uyamak es único porque puede usarlo en la computadora de su escuela, computadora portátil o cualquier otra computadora con acceso a Internet. Todo su código se ejecuta en su computadora, por lo que no requiere una conexión rápida a Internet.",</v>
      </c>
      <c r="G55" t="str">
        <f t="shared" si="15"/>
        <v>"head_3_para_1":"",</v>
      </c>
    </row>
    <row r="56" spans="1:7" x14ac:dyDescent="0.3">
      <c r="A56" t="s">
        <v>916</v>
      </c>
      <c r="B56" t="s">
        <v>917</v>
      </c>
      <c r="C56" t="s">
        <v>918</v>
      </c>
      <c r="E56" t="str">
        <f t="shared" si="13"/>
        <v>"head_3_card_1_title_1":"OS independent",</v>
      </c>
      <c r="F56" t="str">
        <f t="shared" si="14"/>
        <v>"head_3_card_1_title_1":"Independiente del SO",</v>
      </c>
      <c r="G56" t="str">
        <f t="shared" si="15"/>
        <v>"head_3_card_1_title_1":"",</v>
      </c>
    </row>
    <row r="57" spans="1:7" x14ac:dyDescent="0.3">
      <c r="A57" t="s">
        <v>919</v>
      </c>
      <c r="B57" t="s">
        <v>920</v>
      </c>
      <c r="C57" t="s">
        <v>921</v>
      </c>
      <c r="E57" t="str">
        <f t="shared" si="13"/>
        <v>"head_3_card_1_title_2":"Instant access",</v>
      </c>
      <c r="F57" t="str">
        <f t="shared" si="14"/>
        <v>"head_3_card_1_title_2":"Acceso instantáneo",</v>
      </c>
      <c r="G57" t="str">
        <f t="shared" si="15"/>
        <v>"head_3_card_1_title_2":"",</v>
      </c>
    </row>
    <row r="58" spans="1:7" x14ac:dyDescent="0.3">
      <c r="A58" t="s">
        <v>922</v>
      </c>
      <c r="B58" t="s">
        <v>923</v>
      </c>
      <c r="C58" t="s">
        <v>924</v>
      </c>
      <c r="E58" t="str">
        <f t="shared" si="13"/>
        <v>"head_3_card_1_title_3":"No coding",</v>
      </c>
      <c r="F58" t="str">
        <f t="shared" si="14"/>
        <v>"head_3_card_1_title_3":"Sin codificación",</v>
      </c>
      <c r="G58" t="str">
        <f t="shared" si="15"/>
        <v>"head_3_card_1_title_3":"",</v>
      </c>
    </row>
    <row r="59" spans="1:7" x14ac:dyDescent="0.3">
      <c r="A59" t="s">
        <v>925</v>
      </c>
      <c r="B59" t="s">
        <v>926</v>
      </c>
      <c r="C59" t="s">
        <v>927</v>
      </c>
      <c r="E59" t="str">
        <f t="shared" si="13"/>
        <v>"head_3_card_1_title_4":"Sharing",</v>
      </c>
      <c r="F59" t="str">
        <f t="shared" si="14"/>
        <v>"head_3_card_1_title_4":"Compartiendo",</v>
      </c>
      <c r="G59" t="str">
        <f t="shared" si="15"/>
        <v>"head_3_card_1_title_4":"",</v>
      </c>
    </row>
    <row r="60" spans="1:7" x14ac:dyDescent="0.3">
      <c r="A60" t="s">
        <v>928</v>
      </c>
      <c r="B60" t="s">
        <v>929</v>
      </c>
      <c r="C60" t="s">
        <v>930</v>
      </c>
      <c r="E60" t="str">
        <f t="shared" si="13"/>
        <v>"head_3_card_1_desc_1":"Uyamak runs on a browser, so no matter which operating system you are in, Uyamak comes in handy.",</v>
      </c>
      <c r="F60" t="str">
        <f t="shared" si="14"/>
        <v>"head_3_card_1_desc_1":"Uyamak se ejecuta en un navegador, por lo que no importa en qué sistema operativo se encuentre, Uyamak es útil.",</v>
      </c>
      <c r="G60" t="str">
        <f t="shared" si="15"/>
        <v>"head_3_card_1_desc_1":"",</v>
      </c>
    </row>
    <row r="61" spans="1:7" x14ac:dyDescent="0.3">
      <c r="A61" t="s">
        <v>931</v>
      </c>
      <c r="B61" t="s">
        <v>932</v>
      </c>
      <c r="C61" t="s">
        <v>933</v>
      </c>
      <c r="E61" t="str">
        <f t="shared" si="13"/>
        <v>"head_3_card_1_desc_2":"You can instantly start it working without any need for downloading, installing, and doesn't need admin rights to run.",</v>
      </c>
      <c r="F61" t="str">
        <f t="shared" si="14"/>
        <v>"head_3_card_1_desc_2":"Puede comenzar a funcionar instantáneamente sin necesidad de descargar, instalar y no necesita derechos de administrador para ejecutarse.",</v>
      </c>
      <c r="G61" t="str">
        <f t="shared" si="15"/>
        <v>"head_3_card_1_desc_2":"",</v>
      </c>
    </row>
    <row r="62" spans="1:7" x14ac:dyDescent="0.3">
      <c r="A62" t="s">
        <v>934</v>
      </c>
      <c r="B62" t="s">
        <v>935</v>
      </c>
      <c r="C62" t="s">
        <v>936</v>
      </c>
      <c r="E62" t="str">
        <f t="shared" si="13"/>
        <v>"head_3_card_1_desc_3":"You don't have to code anything. It is all visual programming, which is as simple as drawing a block diagram.",</v>
      </c>
      <c r="F62" t="str">
        <f t="shared" si="14"/>
        <v>"head_3_card_1_desc_3":"No tienes que codificar nada. Todo es programación visual, que es tan simple como dibujar un diagrama de bloques.",</v>
      </c>
      <c r="G62" t="str">
        <f t="shared" si="15"/>
        <v>"head_3_card_1_desc_3":"",</v>
      </c>
    </row>
    <row r="63" spans="1:7" x14ac:dyDescent="0.3">
      <c r="A63" t="s">
        <v>937</v>
      </c>
      <c r="B63" t="s">
        <v>938</v>
      </c>
      <c r="C63" t="s">
        <v>939</v>
      </c>
      <c r="E63" t="str">
        <f t="shared" si="13"/>
        <v>"head_3_card_1_desc_4":"You can download your program to your computer or save and share it on your Google Drive storage. ",</v>
      </c>
      <c r="F63" t="str">
        <f t="shared" si="14"/>
        <v>"head_3_card_1_desc_4":"Puede descargar su programa a su computadora o guardarlo y compartirlo en su almacenamiento de Google Drive.",</v>
      </c>
      <c r="G63" t="str">
        <f t="shared" si="15"/>
        <v>"head_3_card_1_desc_4":"",</v>
      </c>
    </row>
    <row r="64" spans="1:7" x14ac:dyDescent="0.3">
      <c r="A64" t="s">
        <v>945</v>
      </c>
      <c r="B64" t="s">
        <v>948</v>
      </c>
      <c r="C64" t="s">
        <v>949</v>
      </c>
      <c r="E64" t="str">
        <f t="shared" si="13"/>
        <v>"head_4":"Support Uyamak",</v>
      </c>
      <c r="F64" t="str">
        <f t="shared" si="14"/>
        <v>"head_4":"Apoya a Uyamak",</v>
      </c>
      <c r="G64" t="str">
        <f t="shared" si="15"/>
        <v>"head_4":"",</v>
      </c>
    </row>
    <row r="65" spans="1:7" x14ac:dyDescent="0.3">
      <c r="A65" t="s">
        <v>946</v>
      </c>
      <c r="B65" t="s">
        <v>943</v>
      </c>
      <c r="C65" t="s">
        <v>944</v>
      </c>
      <c r="E65" t="str">
        <f t="shared" si="13"/>
        <v>"head_4_subhead":"We need your help to improve",</v>
      </c>
      <c r="F65" t="str">
        <f t="shared" si="14"/>
        <v>"head_4_subhead":"Necesitamos tu ayuda para mejorar",</v>
      </c>
      <c r="G65" t="str">
        <f t="shared" si="15"/>
        <v>"head_4_subhead":"",</v>
      </c>
    </row>
    <row r="66" spans="1:7" x14ac:dyDescent="0.3">
      <c r="A66" t="s">
        <v>947</v>
      </c>
      <c r="B66" t="s">
        <v>950</v>
      </c>
      <c r="C66" t="s">
        <v>954</v>
      </c>
      <c r="E66" t="str">
        <f t="shared" si="13"/>
        <v>"head_4_para_1":"We do not use advertisements because it interferes with the app performance. Also, we don't want to charge a subscription fee because we want it to be freely available to all the students. We need support from generous users to spend more time to complete this project and improve it.",</v>
      </c>
      <c r="F66" t="str">
        <f t="shared" si="14"/>
        <v>"head_4_para_1":"No utilizamos publicidad porque interfiere con el rendimiento de la aplicación. Además, no queremos cobrar una tarifa de suscripción porque queremos que esté disponible gratuitamente para todos los estudiantes. Necesitamos el apoyo de usuarios generosos para dedicar más tiempo a completar este proyecto y mejorarlo.",</v>
      </c>
      <c r="G66" t="str">
        <f t="shared" si="15"/>
        <v>"head_4_para_1":"",</v>
      </c>
    </row>
    <row r="67" spans="1:7" x14ac:dyDescent="0.3">
      <c r="A67" t="s">
        <v>952</v>
      </c>
      <c r="B67" t="s">
        <v>951</v>
      </c>
      <c r="C67" t="s">
        <v>955</v>
      </c>
      <c r="E67" t="str">
        <f t="shared" si="13"/>
        <v>"head_4_para_2":"We plan to create a complete Uyamak ecosystem by including hardware support that is capable of running the algorithm in the realtime. We will update more details shortly.",</v>
      </c>
      <c r="F67" t="str">
        <f t="shared" si="14"/>
        <v>"head_4_para_2":"Planeamos crear un ecosistema Uyamak completo al incluir soporte de hardware que sea capaz de ejecutar el algoritmo en tiempo real. Actualizaremos más detalles en breve.",</v>
      </c>
      <c r="G67" t="str">
        <f t="shared" si="15"/>
        <v>"head_4_para_2":"",</v>
      </c>
    </row>
    <row r="68" spans="1:7" x14ac:dyDescent="0.3">
      <c r="A68" t="s">
        <v>953</v>
      </c>
      <c r="B68" t="s">
        <v>1035</v>
      </c>
      <c r="C68" t="s">
        <v>956</v>
      </c>
      <c r="E68" t="str">
        <f t="shared" si="13"/>
        <v>"head_4_para_3":"You can support us by selecting any of the following options. We strongly recommend you to use GitHub Sponsors or Pateron because it makes the funds collected public instantly. However, once in a month, we will update the information here.",</v>
      </c>
      <c r="F68" t="str">
        <f t="shared" si="14"/>
        <v>"head_4_para_3":"Puede apoyarnos seleccionando cualquiera de las siguientes opciones. Le recomendamos encarecidamente que utilice Patreon porque hace públicos los fondos recaudados al instante. Sin embargo, actualizamos esto aquí mensualmente.",</v>
      </c>
      <c r="G68" t="str">
        <f t="shared" si="15"/>
        <v>"head_4_para_3":"",</v>
      </c>
    </row>
    <row r="69" spans="1:7" x14ac:dyDescent="0.3">
      <c r="A69" t="s">
        <v>970</v>
      </c>
      <c r="B69" t="s">
        <v>1034</v>
      </c>
      <c r="C69" t="s">
        <v>957</v>
      </c>
      <c r="E69" t="str">
        <f t="shared" si="13"/>
        <v>"head_4_card_1_title":"GitHub Sponsors",</v>
      </c>
      <c r="F69" t="str">
        <f t="shared" si="14"/>
        <v>"head_4_card_1_title":"Patreon",</v>
      </c>
      <c r="G69" t="str">
        <f t="shared" si="15"/>
        <v>"head_4_card_1_title":"",</v>
      </c>
    </row>
    <row r="70" spans="1:7" x14ac:dyDescent="0.3">
      <c r="A70" t="s">
        <v>973</v>
      </c>
      <c r="B70" t="s">
        <v>958</v>
      </c>
      <c r="C70" t="s">
        <v>959</v>
      </c>
      <c r="E70" t="str">
        <f t="shared" si="13"/>
        <v>"head_4_card_1_desc_1":"Our first preference",</v>
      </c>
      <c r="F70" t="str">
        <f t="shared" si="14"/>
        <v>"head_4_card_1_desc_1":"Nuestra primera preferencia",</v>
      </c>
      <c r="G70" t="str">
        <f t="shared" si="15"/>
        <v>"head_4_card_1_desc_1":"",</v>
      </c>
    </row>
    <row r="71" spans="1:7" x14ac:dyDescent="0.3">
      <c r="A71" t="s">
        <v>971</v>
      </c>
      <c r="B71" t="s">
        <v>957</v>
      </c>
      <c r="C71" t="s">
        <v>960</v>
      </c>
      <c r="E71" t="str">
        <f t="shared" si="13"/>
        <v>"head_4_card_2_title":"Patreon",</v>
      </c>
      <c r="F71" t="str">
        <f t="shared" si="14"/>
        <v>"head_4_card_2_title":"PayPal",</v>
      </c>
      <c r="G71" t="str">
        <f t="shared" si="15"/>
        <v>"head_4_card_2_title":"",</v>
      </c>
    </row>
    <row r="72" spans="1:7" x14ac:dyDescent="0.3">
      <c r="A72" t="s">
        <v>974</v>
      </c>
      <c r="B72" t="s">
        <v>961</v>
      </c>
      <c r="C72" t="s">
        <v>962</v>
      </c>
      <c r="E72" t="str">
        <f t="shared" si="13"/>
        <v>"head_4_card_2_desc_1":"Our second preference",</v>
      </c>
      <c r="F72" t="str">
        <f t="shared" si="14"/>
        <v>"head_4_card_2_desc_1":"Nuestra segunda preferencia",</v>
      </c>
      <c r="G72" t="str">
        <f t="shared" si="15"/>
        <v>"head_4_card_2_desc_1":"",</v>
      </c>
    </row>
    <row r="73" spans="1:7" x14ac:dyDescent="0.3">
      <c r="A73" t="s">
        <v>972</v>
      </c>
      <c r="B73" t="s">
        <v>960</v>
      </c>
      <c r="C73" t="s">
        <v>963</v>
      </c>
      <c r="E73" t="str">
        <f t="shared" si="13"/>
        <v>"head_4_card_3_title":"PayPal",</v>
      </c>
      <c r="F73" t="str">
        <f t="shared" si="14"/>
        <v>"head_4_card_3_title":"Mercancías",</v>
      </c>
      <c r="G73" t="str">
        <f t="shared" si="15"/>
        <v>"head_4_card_3_title":"",</v>
      </c>
    </row>
    <row r="74" spans="1:7" x14ac:dyDescent="0.3">
      <c r="A74" t="s">
        <v>975</v>
      </c>
      <c r="B74" t="s">
        <v>964</v>
      </c>
      <c r="C74" t="s">
        <v>965</v>
      </c>
      <c r="E74" t="str">
        <f t="shared" si="13"/>
        <v>"head_4_card_3_desc_1":"Our last preference",</v>
      </c>
      <c r="F74" t="str">
        <f t="shared" si="14"/>
        <v>"head_4_card_3_desc_1":"Nuestra ultima preferencia",</v>
      </c>
      <c r="G74" t="str">
        <f t="shared" si="15"/>
        <v>"head_4_card_3_desc_1":"",</v>
      </c>
    </row>
    <row r="75" spans="1:7" x14ac:dyDescent="0.3">
      <c r="A75" t="s">
        <v>976</v>
      </c>
      <c r="B75" t="s">
        <v>966</v>
      </c>
      <c r="C75" t="s">
        <v>967</v>
      </c>
      <c r="E75" t="str">
        <f t="shared" si="13"/>
        <v>"support_generated":"Generated",</v>
      </c>
      <c r="F75" t="str">
        <f t="shared" si="14"/>
        <v>"support_generated":"Generado",</v>
      </c>
      <c r="G75" t="str">
        <f t="shared" si="15"/>
        <v>"support_generated":"",</v>
      </c>
    </row>
    <row r="76" spans="1:7" x14ac:dyDescent="0.3">
      <c r="A76" t="s">
        <v>977</v>
      </c>
      <c r="B76" t="s">
        <v>968</v>
      </c>
      <c r="C76" t="s">
        <v>969</v>
      </c>
      <c r="E76" t="str">
        <f t="shared" si="13"/>
        <v>"last_month":"in the last month",</v>
      </c>
      <c r="F76" t="str">
        <f t="shared" si="14"/>
        <v>"last_month":"en el último mes",</v>
      </c>
      <c r="G76" t="str">
        <f t="shared" si="15"/>
        <v>"last_month":"",</v>
      </c>
    </row>
    <row r="77" spans="1:7" x14ac:dyDescent="0.3">
      <c r="A77" t="s">
        <v>978</v>
      </c>
      <c r="B77" t="s">
        <v>979</v>
      </c>
      <c r="C77" t="s">
        <v>980</v>
      </c>
      <c r="E77" t="str">
        <f t="shared" si="13"/>
        <v>"this_month":"in the present month",</v>
      </c>
      <c r="F77" t="str">
        <f t="shared" si="14"/>
        <v>"this_month":"en el mes actual",</v>
      </c>
      <c r="G77" t="str">
        <f t="shared" si="15"/>
        <v>"this_month":"",</v>
      </c>
    </row>
    <row r="78" spans="1:7" x14ac:dyDescent="0.3">
      <c r="A78" t="s">
        <v>984</v>
      </c>
      <c r="B78" t="s">
        <v>692</v>
      </c>
      <c r="C78" t="s">
        <v>689</v>
      </c>
      <c r="E78" t="str">
        <f t="shared" si="13"/>
        <v>"head_5":"Contact us",</v>
      </c>
      <c r="F78" t="str">
        <f t="shared" si="14"/>
        <v>"head_5":"Contáctenos",</v>
      </c>
      <c r="G78" t="str">
        <f t="shared" si="15"/>
        <v>"head_5":"",</v>
      </c>
    </row>
    <row r="79" spans="1:7" x14ac:dyDescent="0.3">
      <c r="A79" t="s">
        <v>985</v>
      </c>
      <c r="B79" t="s">
        <v>981</v>
      </c>
      <c r="C79" t="s">
        <v>990</v>
      </c>
      <c r="E79" t="str">
        <f t="shared" si="13"/>
        <v>"head_5_subhead":"We want to hear from you",</v>
      </c>
      <c r="F79" t="str">
        <f t="shared" si="14"/>
        <v>"head_5_subhead":"Queremos escuchar de ti",</v>
      </c>
      <c r="G79" t="str">
        <f t="shared" si="15"/>
        <v>"head_5_subhead":"",</v>
      </c>
    </row>
    <row r="80" spans="1:7" x14ac:dyDescent="0.3">
      <c r="A80" t="s">
        <v>986</v>
      </c>
      <c r="B80" t="s">
        <v>982</v>
      </c>
      <c r="C80" t="s">
        <v>991</v>
      </c>
      <c r="E80" t="str">
        <f t="shared" si="13"/>
        <v>"head_5_para_1":"We welcome your comments, suggestions, questions, and complaints. Please note that SKGadi designed, coded, and tested Uyamak. However, without guidance from Antonio Concha, it would be impossible to achieve its accuracy. The Uyamak team is just two persons, so it may take some time to answer your concerns.",</v>
      </c>
      <c r="F80" t="str">
        <f t="shared" si="14"/>
        <v>"head_5_para_1":"Agradecemos sus comentarios, sugerencias, preguntas y quejas. Tenga en cuenta que SKGadi diseñó, codificó y probó Uyamak. Sin embargo, sin la guía de Antonio Concha, sería imposible lograr su precisión. El equipo de Uyamak es solo de dos personas, por lo que puede llevar algún tiempo responder a sus inquietudes.",</v>
      </c>
      <c r="G80" t="str">
        <f t="shared" si="15"/>
        <v>"head_5_para_1":"",</v>
      </c>
    </row>
    <row r="81" spans="1:7" x14ac:dyDescent="0.3">
      <c r="A81" t="s">
        <v>987</v>
      </c>
      <c r="B81" t="s">
        <v>983</v>
      </c>
      <c r="C81" t="s">
        <v>992</v>
      </c>
      <c r="E81" t="str">
        <f t="shared" si="13"/>
        <v>"head_5_para_2":"The following button to take you to the contact page of SKGadi. Please mention the word Uyamak in the subject to identify your area of interest.",</v>
      </c>
      <c r="F81" t="str">
        <f t="shared" si="14"/>
        <v>"head_5_para_2":"El siguiente botón le llevará a la página de contacto de SKGadi. Por favor mencione la palabra Uyamak en el tema para identificar su área de interés.",</v>
      </c>
      <c r="G81" t="str">
        <f t="shared" si="15"/>
        <v>"head_5_para_2":"",</v>
      </c>
    </row>
    <row r="82" spans="1:7" x14ac:dyDescent="0.3">
      <c r="A82" t="s">
        <v>995</v>
      </c>
      <c r="B82" t="s">
        <v>988</v>
      </c>
      <c r="C82" t="s">
        <v>993</v>
      </c>
      <c r="E82" t="str">
        <f t="shared" si="13"/>
        <v>"button_contact":"SKGadi's contact page",</v>
      </c>
      <c r="F82" t="str">
        <f t="shared" si="14"/>
        <v>"button_contact":"Página de contacto de SKGadi",</v>
      </c>
      <c r="G82" t="str">
        <f t="shared" si="15"/>
        <v>"button_contact":"",</v>
      </c>
    </row>
    <row r="83" spans="1:7" x14ac:dyDescent="0.3">
      <c r="A83" t="s">
        <v>996</v>
      </c>
      <c r="B83" t="s">
        <v>989</v>
      </c>
      <c r="C83" t="s">
        <v>994</v>
      </c>
      <c r="E83" t="str">
        <f t="shared" si="13"/>
        <v>"button_goto":"Go to",</v>
      </c>
      <c r="F83" t="str">
        <f t="shared" si="14"/>
        <v>"button_goto":"Ir a",</v>
      </c>
      <c r="G83" t="str">
        <f t="shared" si="15"/>
        <v>"button_goto":"",</v>
      </c>
    </row>
    <row r="84" spans="1:7" x14ac:dyDescent="0.3">
      <c r="A84" t="s">
        <v>997</v>
      </c>
      <c r="B84" t="s">
        <v>1039</v>
      </c>
      <c r="C84" t="s">
        <v>1041</v>
      </c>
      <c r="E84" t="str">
        <f t="shared" si="13"/>
        <v>"button_goto_app":"Online app",</v>
      </c>
      <c r="F84" t="str">
        <f t="shared" si="14"/>
        <v>"button_goto_app":"Aplicación en línea",</v>
      </c>
      <c r="G84" t="str">
        <f t="shared" si="15"/>
        <v>"button_goto_app":"",</v>
      </c>
    </row>
    <row r="85" spans="1:7" x14ac:dyDescent="0.3">
      <c r="A85" t="s">
        <v>1038</v>
      </c>
      <c r="B85" t="s">
        <v>1040</v>
      </c>
      <c r="C85" t="s">
        <v>1042</v>
      </c>
      <c r="E85" t="str">
        <f t="shared" si="13"/>
        <v>"button_download_app":"Download app for windows",</v>
      </c>
      <c r="F85" t="str">
        <f t="shared" si="14"/>
        <v>"button_download_app":"Descarga la aplicación para windows",</v>
      </c>
      <c r="G85" t="str">
        <f t="shared" si="15"/>
        <v>"button_download_app":"",</v>
      </c>
    </row>
    <row r="86" spans="1:7" x14ac:dyDescent="0.3">
      <c r="A86" t="s">
        <v>1043</v>
      </c>
      <c r="B86" t="s">
        <v>1044</v>
      </c>
      <c r="C86" t="s">
        <v>1045</v>
      </c>
      <c r="E86" t="str">
        <f t="shared" ref="E86:E94" si="16">IF(ISBLANK($A86),"",CHAR(34)&amp;$A86&amp;CHAR(34)&amp;":"&amp;CHAR(34)&amp;B86&amp;CHAR(34)&amp;IF(ISBLANK($A87),"",","))</f>
        <v>"download":"Download"</v>
      </c>
      <c r="F86" t="str">
        <f t="shared" ref="F86:F94" si="17">IF(ISBLANK($A86),"",CHAR(34)&amp;$A86&amp;CHAR(34)&amp;":"&amp;CHAR(34)&amp;C86&amp;CHAR(34)&amp;IF(ISBLANK($A87),"",","))</f>
        <v>"download":"Descargar"</v>
      </c>
      <c r="G86" t="str">
        <f t="shared" ref="G86:G94" si="18">IF(ISBLANK($A86),"",CHAR(34)&amp;$A86&amp;CHAR(34)&amp;":"&amp;CHAR(34)&amp;D86&amp;CHAR(34)&amp;IF(ISBLANK($A87),"",","))</f>
        <v>"download":""</v>
      </c>
    </row>
    <row r="87" spans="1:7" x14ac:dyDescent="0.3">
      <c r="E87" t="str">
        <f t="shared" si="16"/>
        <v/>
      </c>
      <c r="F87" t="str">
        <f t="shared" si="17"/>
        <v/>
      </c>
      <c r="G87" t="str">
        <f t="shared" si="18"/>
        <v/>
      </c>
    </row>
    <row r="88" spans="1:7" x14ac:dyDescent="0.3">
      <c r="E88" t="str">
        <f t="shared" si="16"/>
        <v/>
      </c>
      <c r="F88" t="str">
        <f t="shared" si="17"/>
        <v/>
      </c>
      <c r="G88" t="str">
        <f t="shared" si="18"/>
        <v/>
      </c>
    </row>
    <row r="89" spans="1:7" x14ac:dyDescent="0.3">
      <c r="E89" t="str">
        <f t="shared" si="16"/>
        <v/>
      </c>
      <c r="F89" t="str">
        <f t="shared" si="17"/>
        <v/>
      </c>
      <c r="G89" t="str">
        <f t="shared" si="18"/>
        <v/>
      </c>
    </row>
    <row r="90" spans="1:7" x14ac:dyDescent="0.3">
      <c r="E90" t="str">
        <f t="shared" si="16"/>
        <v/>
      </c>
      <c r="F90" t="str">
        <f t="shared" si="17"/>
        <v/>
      </c>
      <c r="G90" t="str">
        <f t="shared" si="18"/>
        <v/>
      </c>
    </row>
    <row r="91" spans="1:7" x14ac:dyDescent="0.3">
      <c r="E91" t="str">
        <f t="shared" si="16"/>
        <v/>
      </c>
      <c r="F91" t="str">
        <f t="shared" si="17"/>
        <v/>
      </c>
      <c r="G91" t="str">
        <f t="shared" si="18"/>
        <v/>
      </c>
    </row>
    <row r="92" spans="1:7" x14ac:dyDescent="0.3">
      <c r="E92" t="str">
        <f t="shared" si="16"/>
        <v/>
      </c>
      <c r="F92" t="str">
        <f t="shared" si="17"/>
        <v/>
      </c>
      <c r="G92" t="str">
        <f t="shared" si="18"/>
        <v/>
      </c>
    </row>
    <row r="93" spans="1:7" x14ac:dyDescent="0.3">
      <c r="E93" t="str">
        <f t="shared" si="16"/>
        <v/>
      </c>
      <c r="F93" t="str">
        <f t="shared" si="17"/>
        <v/>
      </c>
      <c r="G93" t="str">
        <f t="shared" si="18"/>
        <v/>
      </c>
    </row>
    <row r="94" spans="1:7" x14ac:dyDescent="0.3">
      <c r="E94" t="str">
        <f t="shared" si="16"/>
        <v/>
      </c>
      <c r="F94" t="str">
        <f t="shared" si="17"/>
        <v/>
      </c>
      <c r="G94" t="str">
        <f t="shared" si="18"/>
        <v/>
      </c>
    </row>
  </sheetData>
  <phoneticPr fontId="2" type="noConversion"/>
  <hyperlinks>
    <hyperlink ref="B10" r:id="rId1" xr:uid="{4264658A-DFD7-47E2-B6FE-1A5A342BE0A2}"/>
    <hyperlink ref="B11" r:id="rId2" xr:uid="{96700C52-2051-4ED1-A2E2-22799A98DBFD}"/>
  </hyperlinks>
  <pageMargins left="0.7" right="0.7" top="0.75" bottom="0.75" header="0.3" footer="0.3"/>
  <pageSetup orientation="portrait"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49B86-6246-49A3-B3E1-F570436DC392}">
  <sheetPr codeName="Sheet8"/>
  <dimension ref="A1:G51"/>
  <sheetViews>
    <sheetView workbookViewId="0">
      <selection activeCell="A15" sqref="A15"/>
    </sheetView>
  </sheetViews>
  <sheetFormatPr defaultRowHeight="14.4" x14ac:dyDescent="0.3"/>
  <cols>
    <col min="1" max="1" width="25.109375" customWidth="1"/>
  </cols>
  <sheetData>
    <row r="1" spans="1:7" x14ac:dyDescent="0.3">
      <c r="A1" t="s">
        <v>3</v>
      </c>
      <c r="B1" t="s">
        <v>0</v>
      </c>
      <c r="C1" t="s">
        <v>1</v>
      </c>
      <c r="D1" t="s">
        <v>2</v>
      </c>
      <c r="E1" t="str">
        <f ca="1">"{"&amp;WhyUs!M2&amp;MembersList!M2&amp;_xlfn.CONCAT(E2:E500)&amp;"}"</f>
        <v>{"WhyUs":[{"index":"000","image":"flaticon-first-aid-kit","url":"/medical-procedures/","title":"Medical procedures","text":"Know all the procedures that Laguna Medical Center has to offer.","button":"More information"},{"index":"001","image":"flaticon-hospital","url":"/members/","title":"Members","text":"Meet all the companies that are part of this project.","button":"More information"},{"index":"002","image":"flaticon-hospital-bed","url":"/packages/","title":"packages","text":"Check our costs or quote the surgery you need.","button":"More information"},{"index":"003","image":"flaticon-heart-rate","url":"/platform/profile/","title":"Platform","text":"Enter our personalized platform to quote your treatment or get in touch with someone from our team for more information.","button":"Take me to the platform"}],"MembersList":[{"index":"000","image":"/images/members/example.png","url":"https://hospitalesangeles.com/torreon/","title":"Hospital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9","text":"","button":""}],"title":"About us","description":"Laguna Medical Center is a medical cluster located in the Lagunera region of Mexico that seeks to boost the economic development of the region by providing an excellent quality service to patients who require it.","keywords":["Medical tourism","laguna","torreon","mexico","about"],"author":"Suresh Kumar Gadi","publisher":"https://plus.google.com/+SureshKumarGadi/posts","image":"https://lagunamedicalcenter.com/images/logo.jpg","twitter_creator":"@SureshKumarGadi","layout":"about","type":"static","head_000":"History of the Cluster","text_000":"A Cluster is a geographic concentration of organizations, specialized suppliers and related industries and supporting entities that compete, but also collaborate for regional economic development. &lt;br/&gt; We are an Association called Laguna Medical Center A.C. which is formed by public and private hospitals in the Lagunera region, as well as tourism companies. &lt;br/&gt; Within the Cluster we have different areas to ensure the best service to our clients, you are: Coordinator of strategic planning and medical projects, Coordinator of Internationalization, Promotion, Relations and service to partners, Sales and Marketing Manager, Manager of Financial Services, we also have medical, legal, accounting and administrative advisors.","image_000":"/images/logo.jpg","head_001":"Our members","text_001":"Laguna Medical Center has only the best and most qualified members to provide you with the highest quality service."}</v>
      </c>
      <c r="F1" t="str">
        <f ca="1">"{"&amp;WhyUs!N2&amp;MembersList!N2&amp;_xlfn.CONCAT(F2:F500)&amp;"}"</f>
        <v>{"WhyUs":[{"index":"000","image":"flaticon-first-aid-kit","url":"/medical-procedures/","title":"Procedimientos médicos","text":"Conoce todos los procedimientos que Laguna Medical Center tiene para ofrecer.","button":"Más información"},{"index":"001","image":"flaticon-hospital","url":"/members/","title":"Miembros","text":"Conoce todos los procedimientos que Laguna Medical Center tiene para ofrecer.","button":"Llévame a la plataforma"},{"index":"002","image":"flaticon-hospital-bed","url":"/packages/","title":"Paquetes","text":"Conoce todos los procedimientos que Laguna Medical Center tiene para ofrecer.","button":"Más información"},{"index":"003","image":"flaticon-heart-rate","url":"/platform/profile/","title":"Plataforma","text":"Entra a nuestra plataforma personalizada para cotizar tu tratamiento o ponerte en contacto con alguien de nuestro equipo para más información.","button":"Llévame a la plataforma"}],"MembersList":[{"index":"000","image":"/images/members/example.png","url":"https://hospitalesangeles.com/torreon/","title":"Hospital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9","text":"","button":""}],"title":"Sobre nosotros","description":"Laguna Medical Center es un clúster médico ubicado en la región Lagunera de México que busca impulsar el desarrollo económico de la región brindando un servicio de excelente calidad a los pacientes que lo requieren.","keywords":["Turismo médico","laguna","torreon","mexico","acerca"],"author":"Suresh Kumar Gadi","publisher":"https://plus.google.com/+SureshKumarGadi/posts","image":"https://lagunamedicalcenter.com/images/logo.jpg","twitter_creator":"@SureshKumarGadi","layout":"about","type":"static","head_000":"Historia del Clúster","text_000":"Un Clúster es una concentración geográfica de organizaciones, proveedores especializados e industrias relacionadas y entidades de apoyo que compiten, pero también colaboran para el desarrollo económico regional.&lt;br/&gt;Somos un Asociación denominada Laguna Medical Center A.C. que está formado por hospitales públicos y privados de la región Lagunera, así como empresas turísticas.&lt;br/&gt;Dentro del Clúster contamos con diferentes áreas para asegurar dar el mejor servicio a nuestros clientes, estás son: Coordinador de Planeación estratégica y proyectos médicos, Coordinador de Internacionalización, Promoción, Relaciones y servicio a socios, Gerente de Ventas y Marketing, Gerente de Servicios Financieros además contamos asesores médicos, jurídicos, contables y administrativos.","image_000":"/images/logo.jpg","head_001":"Nuestros miembros","text_001":"Laguna Medical Center cuenta solamente con los mejores y más capacitados miembros para brindarte un servicio de la más alta calidad."}</v>
      </c>
      <c r="G1" t="str">
        <f ca="1">"{"&amp;WhyUs!O2&amp;MembersList!O2&amp;_xlfn.CONCAT(G2:G500)&amp;"}"</f>
        <v>{"WhyUs":[{"index":"000","image":"flaticon-first-aid-kit","url":"/medical-procedures/","title":"Procédures médicales","text":"Connaître toutes les procédures que le centre médical Laguna a à offrir.","button":"Plus d'informations"},{"index":"001","image":"flaticon-hospital","url":"/members/","title":"Les membres","text":"Rencontrez toutes les entreprises qui font partie de ce projet.","button":"Plus d'informations"},{"index":"002","image":"flaticon-hospital-bed","url":"/packages/","title":"Forfaits","text":"Consultez nos coûts ou indiquez l'opération dont vous avez besoin.","button":"Plus d'informations"},{"index":"003","image":"flaticon-heart-rate","url":"/platform/profile/","title":"Plate-forme","text":"Entrez sur notre plateforme personnalisée pour citer votre traitement ou contactez un membre de notre équipe pour plus d'informations.","button":"Emmenez-moi à la plate-forme"}],"MembersList":[{"index":"000","image":"/images/members/example.png","url":"https://hospitalesangeles.com/torreon/","title":"Hôpital 1","text":"","button":""},{"index":"001","image":"/images/members/example.png","url":"https://www.sanatorio.com.mx/","title":"Hôpital 2","text":"","button":""},{"index":"002","image":"/images/members/example.png","url":"http://www.uadec.mx/hgut/","title":"Hôpital 3","text":"","button":""},{"index":"003","image":"/images/members/example.png","url":"http://clinicaandalucia.com.mx/index.php","title":"Hôpital 4","text":"","button":""},{"index":"004","image":"/images/members/example.png","url":"http://www.smsecc38.gob.mx/index.php/unidadtorreon","title":"Hôpital 5","text":"","button":""},{"index":"005","image":"/images/members/example.png","url":"http://www.hospitalcentromedicodelamujer.com/","title":"Hôpital 6","text":"","button":""},{"index":"006","image":"/images/members/example.png","url":"http://clubdeleones.com.mx/","title":"Hôpital 7","text":"","button":""},{"index":"007","image":"/images/members/example.png","url":"http://www.sanatoriosanjose.com/","title":"Hôpital 8","text":"","button":""},{"index":"008","image":"/images/members/example.png","url":"https://www.condomedics.com.mx/","title":"Hôpital 9","text":"","button":""}],"title":"À propos de nous","description":"Le centre médical Laguna est un pôle médical situé dans la région de Lagunera au Mexique, qui cherche à stimuler le développement économique de la région en fournissant un service d'excellente qualité aux patients qui en ont besoin.","keywords":["Tourisme médical","laguna","torreon","Mexique","à propos"],"author":"Suresh Kumar Gadi","publisher":"https://plus.google.com/+SureshKumarGadi/posts","image":"https://lagunamedicalcenter.com/images/logo.jpg","twitter_creator":"@SureshKumarGadi","layout":"about","type":"static","head_000":"Histoire du cluster","text_000":"Un cluster est une concentration géographique d'organisations, de fournisseurs spécialisés et d'industries connexes et d'entités associées qui se font concurrence, mais qui collaborent également au développement économique régional. &lt;br/&gt; Nous sommes une association appelée Laguna Medical Center A.C. qui regroupe des hôpitaux publics et privés de la région de Lagunera, ainsi que des entreprises de tourisme. &lt;br/&gt; Au sein du cluster, nous avons différents domaines pour assurer le meilleur service possible à nos clients. Coordonnateur de l'internationalisation, de la promotion, des relations et des services aux partenaires, directeur des ventes et du marketing, directeur des services financiers, nous avons également des conseillers médicaux, juridiques, comptables et administratifs.","image_000":"/images/logo.jpg","head_001":"Nos membres","text_001":"Le centre médical Laguna ne compte que les membres les meilleurs et les plus qualifiés pour vous fournir un service de la plus haute qualité."}</v>
      </c>
    </row>
    <row r="2" spans="1:7" x14ac:dyDescent="0.3">
      <c r="A2" t="s">
        <v>7</v>
      </c>
      <c r="B2" t="s">
        <v>266</v>
      </c>
      <c r="C2" t="s">
        <v>265</v>
      </c>
      <c r="D2" t="s">
        <v>264</v>
      </c>
      <c r="E2" t="str">
        <f t="shared" ref="E2:G3" si="0">CHAR(34)&amp;$A2&amp;CHAR(34)&amp;":"&amp;CHAR(34)&amp;B2&amp;CHAR(34)&amp;","</f>
        <v>"title":"About us",</v>
      </c>
      <c r="F2" t="str">
        <f t="shared" si="0"/>
        <v>"title":"Sobre nosotros",</v>
      </c>
      <c r="G2" t="str">
        <f t="shared" si="0"/>
        <v>"title":"À propos de nous",</v>
      </c>
    </row>
    <row r="3" spans="1:7" x14ac:dyDescent="0.3">
      <c r="A3" t="s">
        <v>9</v>
      </c>
      <c r="B3" t="s">
        <v>267</v>
      </c>
      <c r="C3" t="s">
        <v>263</v>
      </c>
      <c r="D3" t="s">
        <v>268</v>
      </c>
      <c r="E3" t="str">
        <f t="shared" si="0"/>
        <v>"description":"Laguna Medical Center is a medical cluster located in the Lagunera region of Mexico that seeks to boost the economic development of the region by providing an excellent quality service to patients who require it.",</v>
      </c>
      <c r="F3" t="str">
        <f t="shared" si="0"/>
        <v>"description":"Laguna Medical Center es un clúster médico ubicado en la región Lagunera de México que busca impulsar el desarrollo económico de la región brindando un servicio de excelente calidad a los pacientes que lo requieren.",</v>
      </c>
      <c r="G3" t="str">
        <f t="shared" si="0"/>
        <v>"description":"Le centre médical Laguna est un pôle médical situé dans la région de Lagunera au Mexique, qui cherche à stimuler le développement économique de la région en fournissant un service d'excellente qualité aux patients qui en ont besoin.",</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
        <v>260</v>
      </c>
      <c r="C8" t="s">
        <v>261</v>
      </c>
      <c r="D8" t="s">
        <v>262</v>
      </c>
      <c r="E8" t="str">
        <f>CHAR(34)&amp;B8&amp;CHAR(34)&amp;"],"</f>
        <v>"about"],</v>
      </c>
      <c r="F8" t="str">
        <f>CHAR(34)&amp;C8&amp;CHAR(34)&amp;"],"</f>
        <v>"acerca"],</v>
      </c>
      <c r="G8" t="str">
        <f>CHAR(34)&amp;D8&amp;CHAR(34)&amp;"],"</f>
        <v>"à propos"],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9"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E51" si="4">IF(ISBLANK($A10),"",CHAR(34)&amp;$A10&amp;CHAR(34)&amp;":"&amp;CHAR(34)&amp;B10&amp;CHAR(34)&amp;IF(ISBLANK($A11),"",","))</f>
        <v>"publisher":"https://plus.google.com/+SureshKumarGadi/posts",</v>
      </c>
      <c r="F10" t="str">
        <f t="shared" ref="F10:F51" si="5">IF(ISBLANK($A10),"",CHAR(34)&amp;$A10&amp;CHAR(34)&amp;":"&amp;CHAR(34)&amp;C10&amp;CHAR(34)&amp;IF(ISBLANK($A11),"",","))</f>
        <v>"publisher":"https://plus.google.com/+SureshKumarGadi/posts",</v>
      </c>
      <c r="G10" t="str">
        <f t="shared" ref="G10:G51" si="6">IF(ISBLANK($A10),"",CHAR(34)&amp;$A10&amp;CHAR(34)&amp;":"&amp;CHAR(34)&amp;D10&amp;CHAR(34)&amp;IF(ISBLANK($A11),"",","))</f>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5"/>
        <v>"image":"https://lagunamedicalcenter.com/images/logo.jpg",</v>
      </c>
      <c r="G11" t="str">
        <f t="shared" si="6"/>
        <v>"image":"https://lagunamedicalcenter.com/images/logo.jpg",</v>
      </c>
    </row>
    <row r="12" spans="1:7" x14ac:dyDescent="0.3">
      <c r="A12" t="s">
        <v>13</v>
      </c>
      <c r="B12" s="4" t="s">
        <v>22</v>
      </c>
      <c r="C12" t="str">
        <f t="shared" ref="C12:D14" si="7">IF(ISBLANK(B12),"",B12)</f>
        <v>@SureshKumarGadi</v>
      </c>
      <c r="D12" t="str">
        <f t="shared" si="7"/>
        <v>@SureshKumarGadi</v>
      </c>
      <c r="E12" t="str">
        <f t="shared" si="4"/>
        <v>"twitter_creator":"@SureshKumarGadi",</v>
      </c>
      <c r="F12" t="str">
        <f t="shared" si="5"/>
        <v>"twitter_creator":"@SureshKumarGadi",</v>
      </c>
      <c r="G12" t="str">
        <f t="shared" si="6"/>
        <v>"twitter_creator":"@SureshKumarGadi",</v>
      </c>
    </row>
    <row r="13" spans="1:7" x14ac:dyDescent="0.3">
      <c r="A13" t="s">
        <v>259</v>
      </c>
      <c r="B13" t="s">
        <v>260</v>
      </c>
      <c r="C13" t="str">
        <f t="shared" si="7"/>
        <v>about</v>
      </c>
      <c r="D13" t="str">
        <f t="shared" si="7"/>
        <v>about</v>
      </c>
      <c r="E13" t="str">
        <f t="shared" si="4"/>
        <v>"layout":"about",</v>
      </c>
      <c r="F13" t="str">
        <f t="shared" si="5"/>
        <v>"layout":"about",</v>
      </c>
      <c r="G13" t="str">
        <f t="shared" si="6"/>
        <v>"layout":"about",</v>
      </c>
    </row>
    <row r="14" spans="1:7" x14ac:dyDescent="0.3">
      <c r="A14" t="s">
        <v>279</v>
      </c>
      <c r="B14" t="s">
        <v>280</v>
      </c>
      <c r="C14" t="str">
        <f t="shared" si="7"/>
        <v>static</v>
      </c>
      <c r="D14" t="str">
        <f t="shared" si="7"/>
        <v>static</v>
      </c>
      <c r="E14" t="str">
        <f t="shared" si="4"/>
        <v>"type":"static",</v>
      </c>
      <c r="F14" t="str">
        <f t="shared" si="5"/>
        <v>"type":"static",</v>
      </c>
      <c r="G14" t="str">
        <f t="shared" si="6"/>
        <v>"type":"static",</v>
      </c>
    </row>
    <row r="15" spans="1:7" x14ac:dyDescent="0.3">
      <c r="A15" t="s">
        <v>269</v>
      </c>
      <c r="B15" t="s">
        <v>277</v>
      </c>
      <c r="C15" t="s">
        <v>270</v>
      </c>
      <c r="D15" t="s">
        <v>275</v>
      </c>
      <c r="E15" t="str">
        <f t="shared" si="4"/>
        <v>"head_000":"History of the Cluster",</v>
      </c>
      <c r="F15" t="str">
        <f t="shared" si="5"/>
        <v>"head_000":"Historia del Clúster",</v>
      </c>
      <c r="G15" t="str">
        <f t="shared" si="6"/>
        <v>"head_000":"Histoire du cluster",</v>
      </c>
    </row>
    <row r="16" spans="1:7" x14ac:dyDescent="0.3">
      <c r="A16" t="s">
        <v>271</v>
      </c>
      <c r="B16" t="s">
        <v>278</v>
      </c>
      <c r="C16" t="s">
        <v>272</v>
      </c>
      <c r="D16" t="s">
        <v>276</v>
      </c>
      <c r="E16" t="str">
        <f t="shared" si="4"/>
        <v>"text_000":"A Cluster is a geographic concentration of organizations, specialized suppliers and related industries and supporting entities that compete, but also collaborate for regional economic development. &lt;br/&gt; We are an Association called Laguna Medical Center A.C. which is formed by public and private hospitals in the Lagunera region, as well as tourism companies. &lt;br/&gt; Within the Cluster we have different areas to ensure the best service to our clients, you are: Coordinator of strategic planning and medical projects, Coordinator of Internationalization, Promotion, Relations and service to partners, Sales and Marketing Manager, Manager of Financial Services, we also have medical, legal, accounting and administrative advisors.",</v>
      </c>
      <c r="F16" t="str">
        <f t="shared" si="5"/>
        <v>"text_000":"Un Clúster es una concentración geográfica de organizaciones, proveedores especializados e industrias relacionadas y entidades de apoyo que compiten, pero también colaboran para el desarrollo económico regional.&lt;br/&gt;Somos un Asociación denominada Laguna Medical Center A.C. que está formado por hospitales públicos y privados de la región Lagunera, así como empresas turísticas.&lt;br/&gt;Dentro del Clúster contamos con diferentes áreas para asegurar dar el mejor servicio a nuestros clientes, estás son: Coordinador de Planeación estratégica y proyectos médicos, Coordinador de Internacionalización, Promoción, Relaciones y servicio a socios, Gerente de Ventas y Marketing, Gerente de Servicios Financieros además contamos asesores médicos, jurídicos, contables y administrativos.",</v>
      </c>
      <c r="G16" t="str">
        <f t="shared" si="6"/>
        <v>"text_000":"Un cluster est une concentration géographique d'organisations, de fournisseurs spécialisés et d'industries connexes et d'entités associées qui se font concurrence, mais qui collaborent également au développement économique régional. &lt;br/&gt; Nous sommes une association appelée Laguna Medical Center A.C. qui regroupe des hôpitaux publics et privés de la région de Lagunera, ainsi que des entreprises de tourisme. &lt;br/&gt; Au sein du cluster, nous avons différents domaines pour assurer le meilleur service possible à nos clients. Coordonnateur de l'internationalisation, de la promotion, des relations et des services aux partenaires, directeur des ventes et du marketing, directeur des services financiers, nous avons également des conseillers médicaux, juridiques, comptables et administratifs.",</v>
      </c>
    </row>
    <row r="17" spans="1:7" x14ac:dyDescent="0.3">
      <c r="A17" t="s">
        <v>273</v>
      </c>
      <c r="B17" t="s">
        <v>274</v>
      </c>
      <c r="C17" t="str">
        <f>IF(ISBLANK(B17),"",B17)</f>
        <v>/images/logo.jpg</v>
      </c>
      <c r="D17" t="str">
        <f>IF(ISBLANK(C17),"",C17)</f>
        <v>/images/logo.jpg</v>
      </c>
      <c r="E17" t="str">
        <f t="shared" si="4"/>
        <v>"image_000":"/images/logo.jpg",</v>
      </c>
      <c r="F17" t="str">
        <f t="shared" si="5"/>
        <v>"image_000":"/images/logo.jpg",</v>
      </c>
      <c r="G17" t="str">
        <f t="shared" si="6"/>
        <v>"image_000":"/images/logo.jpg",</v>
      </c>
    </row>
    <row r="18" spans="1:7" x14ac:dyDescent="0.3">
      <c r="A18" t="s">
        <v>281</v>
      </c>
      <c r="B18" t="s">
        <v>73</v>
      </c>
      <c r="C18" t="s">
        <v>69</v>
      </c>
      <c r="D18" t="s">
        <v>71</v>
      </c>
      <c r="E18" t="str">
        <f t="shared" si="4"/>
        <v>"head_001":"Our members",</v>
      </c>
      <c r="F18" t="str">
        <f t="shared" si="5"/>
        <v>"head_001":"Nuestros miembros",</v>
      </c>
      <c r="G18" t="str">
        <f t="shared" si="6"/>
        <v>"head_001":"Nos membres",</v>
      </c>
    </row>
    <row r="19" spans="1:7" x14ac:dyDescent="0.3">
      <c r="A19" t="s">
        <v>282</v>
      </c>
      <c r="B19" t="s">
        <v>74</v>
      </c>
      <c r="C19" t="s">
        <v>70</v>
      </c>
      <c r="D19" t="s">
        <v>72</v>
      </c>
      <c r="E19" t="str">
        <f t="shared" si="4"/>
        <v>"text_001":"Laguna Medical Center has only the best and most qualified members to provide you with the highest quality service."</v>
      </c>
      <c r="F19" t="str">
        <f t="shared" si="5"/>
        <v>"text_001":"Laguna Medical Center cuenta solamente con los mejores y más capacitados miembros para brindarte un servicio de la más alta calidad."</v>
      </c>
      <c r="G19" t="str">
        <f t="shared" si="6"/>
        <v>"text_001":"Le centre médical Laguna ne compte que les membres les meilleurs et les plus qualifiés pour vous fournir un service de la plus haute qualité."</v>
      </c>
    </row>
    <row r="20" spans="1:7" x14ac:dyDescent="0.3">
      <c r="E20" t="str">
        <f t="shared" si="4"/>
        <v/>
      </c>
      <c r="F20" t="str">
        <f t="shared" si="5"/>
        <v/>
      </c>
      <c r="G20" t="str">
        <f t="shared" si="6"/>
        <v/>
      </c>
    </row>
    <row r="21" spans="1:7" x14ac:dyDescent="0.3">
      <c r="E21" t="str">
        <f t="shared" si="4"/>
        <v/>
      </c>
      <c r="F21" t="str">
        <f t="shared" si="5"/>
        <v/>
      </c>
      <c r="G21" t="str">
        <f t="shared" si="6"/>
        <v/>
      </c>
    </row>
    <row r="22" spans="1:7" x14ac:dyDescent="0.3">
      <c r="E22" t="str">
        <f t="shared" si="4"/>
        <v/>
      </c>
      <c r="F22" t="str">
        <f t="shared" si="5"/>
        <v/>
      </c>
      <c r="G22" t="str">
        <f t="shared" si="6"/>
        <v/>
      </c>
    </row>
    <row r="23" spans="1:7" x14ac:dyDescent="0.3">
      <c r="E23" t="str">
        <f t="shared" si="4"/>
        <v/>
      </c>
      <c r="F23" t="str">
        <f t="shared" si="5"/>
        <v/>
      </c>
      <c r="G23" t="str">
        <f t="shared" si="6"/>
        <v/>
      </c>
    </row>
    <row r="24" spans="1:7" x14ac:dyDescent="0.3">
      <c r="E24" t="str">
        <f t="shared" si="4"/>
        <v/>
      </c>
      <c r="F24" t="str">
        <f t="shared" si="5"/>
        <v/>
      </c>
      <c r="G24" t="str">
        <f t="shared" si="6"/>
        <v/>
      </c>
    </row>
    <row r="25" spans="1:7" x14ac:dyDescent="0.3">
      <c r="E25" t="str">
        <f t="shared" si="4"/>
        <v/>
      </c>
      <c r="F25" t="str">
        <f t="shared" si="5"/>
        <v/>
      </c>
      <c r="G25" t="str">
        <f t="shared" si="6"/>
        <v/>
      </c>
    </row>
    <row r="26" spans="1:7" x14ac:dyDescent="0.3">
      <c r="E26" t="str">
        <f t="shared" si="4"/>
        <v/>
      </c>
      <c r="F26" t="str">
        <f t="shared" si="5"/>
        <v/>
      </c>
      <c r="G26" t="str">
        <f t="shared" si="6"/>
        <v/>
      </c>
    </row>
    <row r="27" spans="1:7" x14ac:dyDescent="0.3">
      <c r="E27" t="str">
        <f t="shared" si="4"/>
        <v/>
      </c>
      <c r="F27" t="str">
        <f t="shared" si="5"/>
        <v/>
      </c>
      <c r="G27" t="str">
        <f t="shared" si="6"/>
        <v/>
      </c>
    </row>
    <row r="28" spans="1:7" x14ac:dyDescent="0.3">
      <c r="E28" t="str">
        <f t="shared" si="4"/>
        <v/>
      </c>
      <c r="F28" t="str">
        <f t="shared" si="5"/>
        <v/>
      </c>
      <c r="G28" t="str">
        <f t="shared" si="6"/>
        <v/>
      </c>
    </row>
    <row r="29" spans="1:7" x14ac:dyDescent="0.3">
      <c r="E29" t="str">
        <f t="shared" si="4"/>
        <v/>
      </c>
      <c r="F29" t="str">
        <f t="shared" si="5"/>
        <v/>
      </c>
      <c r="G29" t="str">
        <f t="shared" si="6"/>
        <v/>
      </c>
    </row>
    <row r="30" spans="1:7" x14ac:dyDescent="0.3">
      <c r="E30" t="str">
        <f t="shared" si="4"/>
        <v/>
      </c>
      <c r="F30" t="str">
        <f t="shared" si="5"/>
        <v/>
      </c>
      <c r="G30" t="str">
        <f t="shared" si="6"/>
        <v/>
      </c>
    </row>
    <row r="31" spans="1:7" x14ac:dyDescent="0.3">
      <c r="E31" t="str">
        <f t="shared" si="4"/>
        <v/>
      </c>
      <c r="F31" t="str">
        <f t="shared" si="5"/>
        <v/>
      </c>
      <c r="G31" t="str">
        <f t="shared" si="6"/>
        <v/>
      </c>
    </row>
    <row r="32" spans="1:7" x14ac:dyDescent="0.3">
      <c r="E32" t="str">
        <f t="shared" si="4"/>
        <v/>
      </c>
      <c r="F32" t="str">
        <f t="shared" si="5"/>
        <v/>
      </c>
      <c r="G32" t="str">
        <f t="shared" si="6"/>
        <v/>
      </c>
    </row>
    <row r="33" spans="5:7" x14ac:dyDescent="0.3">
      <c r="E33" t="str">
        <f t="shared" si="4"/>
        <v/>
      </c>
      <c r="F33" t="str">
        <f t="shared" si="5"/>
        <v/>
      </c>
      <c r="G33" t="str">
        <f t="shared" si="6"/>
        <v/>
      </c>
    </row>
    <row r="34" spans="5:7" x14ac:dyDescent="0.3">
      <c r="E34" t="str">
        <f t="shared" si="4"/>
        <v/>
      </c>
      <c r="F34" t="str">
        <f t="shared" si="5"/>
        <v/>
      </c>
      <c r="G34" t="str">
        <f t="shared" si="6"/>
        <v/>
      </c>
    </row>
    <row r="35" spans="5:7" x14ac:dyDescent="0.3">
      <c r="E35" t="str">
        <f t="shared" si="4"/>
        <v/>
      </c>
      <c r="F35" t="str">
        <f t="shared" si="5"/>
        <v/>
      </c>
      <c r="G35" t="str">
        <f t="shared" si="6"/>
        <v/>
      </c>
    </row>
    <row r="36" spans="5:7" x14ac:dyDescent="0.3">
      <c r="E36" t="str">
        <f t="shared" si="4"/>
        <v/>
      </c>
      <c r="F36" t="str">
        <f t="shared" si="5"/>
        <v/>
      </c>
      <c r="G36" t="str">
        <f t="shared" si="6"/>
        <v/>
      </c>
    </row>
    <row r="37" spans="5:7" x14ac:dyDescent="0.3">
      <c r="E37" t="str">
        <f t="shared" si="4"/>
        <v/>
      </c>
      <c r="F37" t="str">
        <f t="shared" si="5"/>
        <v/>
      </c>
      <c r="G37" t="str">
        <f t="shared" si="6"/>
        <v/>
      </c>
    </row>
    <row r="38" spans="5:7" x14ac:dyDescent="0.3">
      <c r="E38" t="str">
        <f t="shared" si="4"/>
        <v/>
      </c>
      <c r="F38" t="str">
        <f t="shared" si="5"/>
        <v/>
      </c>
      <c r="G38" t="str">
        <f t="shared" si="6"/>
        <v/>
      </c>
    </row>
    <row r="39" spans="5:7" x14ac:dyDescent="0.3">
      <c r="E39" t="str">
        <f t="shared" si="4"/>
        <v/>
      </c>
      <c r="F39" t="str">
        <f t="shared" si="5"/>
        <v/>
      </c>
      <c r="G39" t="str">
        <f t="shared" si="6"/>
        <v/>
      </c>
    </row>
    <row r="40" spans="5:7" x14ac:dyDescent="0.3">
      <c r="E40" t="str">
        <f t="shared" si="4"/>
        <v/>
      </c>
      <c r="F40" t="str">
        <f t="shared" si="5"/>
        <v/>
      </c>
      <c r="G40" t="str">
        <f t="shared" si="6"/>
        <v/>
      </c>
    </row>
    <row r="41" spans="5:7" x14ac:dyDescent="0.3">
      <c r="E41" t="str">
        <f t="shared" si="4"/>
        <v/>
      </c>
      <c r="F41" t="str">
        <f t="shared" si="5"/>
        <v/>
      </c>
      <c r="G41" t="str">
        <f t="shared" si="6"/>
        <v/>
      </c>
    </row>
    <row r="42" spans="5:7" x14ac:dyDescent="0.3">
      <c r="E42" t="str">
        <f t="shared" si="4"/>
        <v/>
      </c>
      <c r="F42" t="str">
        <f t="shared" si="5"/>
        <v/>
      </c>
      <c r="G42" t="str">
        <f t="shared" si="6"/>
        <v/>
      </c>
    </row>
    <row r="43" spans="5:7" x14ac:dyDescent="0.3">
      <c r="E43" t="str">
        <f t="shared" si="4"/>
        <v/>
      </c>
      <c r="F43" t="str">
        <f t="shared" si="5"/>
        <v/>
      </c>
      <c r="G43" t="str">
        <f t="shared" si="6"/>
        <v/>
      </c>
    </row>
    <row r="44" spans="5:7" x14ac:dyDescent="0.3">
      <c r="E44" t="str">
        <f t="shared" si="4"/>
        <v/>
      </c>
      <c r="F44" t="str">
        <f t="shared" si="5"/>
        <v/>
      </c>
      <c r="G44" t="str">
        <f t="shared" si="6"/>
        <v/>
      </c>
    </row>
    <row r="45" spans="5:7" x14ac:dyDescent="0.3">
      <c r="E45" t="str">
        <f t="shared" si="4"/>
        <v/>
      </c>
      <c r="F45" t="str">
        <f t="shared" si="5"/>
        <v/>
      </c>
      <c r="G45" t="str">
        <f t="shared" si="6"/>
        <v/>
      </c>
    </row>
    <row r="46" spans="5:7" x14ac:dyDescent="0.3">
      <c r="E46" t="str">
        <f t="shared" si="4"/>
        <v/>
      </c>
      <c r="F46" t="str">
        <f t="shared" si="5"/>
        <v/>
      </c>
      <c r="G46" t="str">
        <f t="shared" si="6"/>
        <v/>
      </c>
    </row>
    <row r="47" spans="5:7" x14ac:dyDescent="0.3">
      <c r="E47" t="str">
        <f t="shared" si="4"/>
        <v/>
      </c>
      <c r="F47" t="str">
        <f t="shared" si="5"/>
        <v/>
      </c>
      <c r="G47" t="str">
        <f t="shared" si="6"/>
        <v/>
      </c>
    </row>
    <row r="48" spans="5:7" x14ac:dyDescent="0.3">
      <c r="E48" t="str">
        <f t="shared" si="4"/>
        <v/>
      </c>
      <c r="F48" t="str">
        <f t="shared" si="5"/>
        <v/>
      </c>
      <c r="G48" t="str">
        <f t="shared" si="6"/>
        <v/>
      </c>
    </row>
    <row r="49" spans="5:7" x14ac:dyDescent="0.3">
      <c r="E49" t="str">
        <f t="shared" si="4"/>
        <v/>
      </c>
      <c r="F49" t="str">
        <f t="shared" si="5"/>
        <v/>
      </c>
      <c r="G49" t="str">
        <f t="shared" si="6"/>
        <v/>
      </c>
    </row>
    <row r="50" spans="5:7" x14ac:dyDescent="0.3">
      <c r="E50" t="str">
        <f t="shared" si="4"/>
        <v/>
      </c>
      <c r="F50" t="str">
        <f t="shared" si="5"/>
        <v/>
      </c>
      <c r="G50" t="str">
        <f t="shared" si="6"/>
        <v/>
      </c>
    </row>
    <row r="51" spans="5:7" x14ac:dyDescent="0.3">
      <c r="E51" t="str">
        <f t="shared" si="4"/>
        <v/>
      </c>
      <c r="F51" t="str">
        <f t="shared" si="5"/>
        <v/>
      </c>
      <c r="G51" t="str">
        <f t="shared" si="6"/>
        <v/>
      </c>
    </row>
  </sheetData>
  <hyperlinks>
    <hyperlink ref="B10" r:id="rId1" xr:uid="{3EF18C30-66DB-461B-90EE-08F6FFD4123D}"/>
    <hyperlink ref="B11" r:id="rId2" xr:uid="{ED071893-EB2A-4C71-9E8C-DE7941305FC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8AE43-B967-4E17-A2D6-58C3C0329854}">
  <sheetPr codeName="Sheet9"/>
  <dimension ref="A1:G51"/>
  <sheetViews>
    <sheetView zoomScaleNormal="100" workbookViewId="0">
      <selection activeCell="E1" sqref="E1"/>
    </sheetView>
  </sheetViews>
  <sheetFormatPr defaultRowHeight="14.4" x14ac:dyDescent="0.3"/>
  <cols>
    <col min="1" max="1" width="25.109375" customWidth="1"/>
  </cols>
  <sheetData>
    <row r="1" spans="1:7" x14ac:dyDescent="0.3">
      <c r="A1" t="s">
        <v>3</v>
      </c>
      <c r="B1" t="s">
        <v>0</v>
      </c>
      <c r="C1" t="s">
        <v>1</v>
      </c>
      <c r="D1" t="s">
        <v>2</v>
      </c>
      <c r="E1" t="str">
        <f ca="1">"{"&amp;Procedures!M2&amp;_xlfn.CONCAT(E2:E500)&amp;"}"</f>
        <v>{"Procedures":[{"index":"000","image":"/images/medical-procedures/trasplante-renal.jpg","url":"","title":"Kidney transplant","text":"Kidney transplantation is the therapy of choice for most causes of terminal chronic renal failure because it improves quality of life and survival versus dialysis.","button":"Get quote"},{"index":"001","image":"/images/medical-procedures/nefrectomia.jpg","url":"","title":"Nephrectomy","text":"Nephrectomy is a surgical procedure that is done to remove all or part of the kidney.","button":"Get quote"},{"index":"002","image":"/images/medical-procedures/hemicolectomia.jpg","url":"","title":"Hemicolectomy","text":"Removal of half of the colon. It can be right or left hemicolectomy.","button":"Get quote"},{"index":"003","image":"/images/medical-procedures/funduplicatura.jpg","url":"","title":"Funduplication","text":"Fundoplication is the surgical procedure used to treat gastroesophageal reflux disease.","button":"Get quote"},{"index":"004","image":"/images/medical-procedures/discoidectomia.jpg","url":"","title":"Discoidectomy","text":"Discectomy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quote"},{"index":"006","image":"/images/medical-procedures/laminectomia-de-columna.jpg","url":"","title":"Laminectomy of column","text":"It is a surgery to remove the lamina. This is a part of the bone that constitutes a vertebra in the spine.","button":"Get quote"},{"index":"007","image":"/images/medical-procedures/protesis-de-rodilla.jpg","url":"","title":"Knee prosthesis","text":"The prostheses are reproductions of the bones of the knee area, metal, resins or ceramic materials, which are placed in the place of the joint.","button":"Get quote"},{"index":"008","image":"/images/medical-procedures/by-pass.jpg","url":"","title":"By pass","text":"Gastric bypass, also called, is a type of weight loss surgery that involves creating a small sac from the stomach and connecting the newly created sac directly with the small intestine.","button":"Get quote"},{"index":"009","image":"/images/medical-procedures/craneotomia.jpg","url":"","title":"Craniotomy","text":"Craniotomy is a surgical operation in which part of the skull, called a bone flap, is removed in order to access the brain.","button":"Get quote"},{"index":"010","image":"/images/medical-procedures/manga-gastrica.jpg","url":"","title":"Gastric sleeve","text":"In gastric sleeve surgery, a surgeon removes part of the stomach and builds a narrow tube or 'sleeve' with the rest.","button":"Get quote"},{"index":"011","image":"/images/medical-procedures/protesis-de-cadera.jpg","url":"","title":"Hip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quote"},{"index":"012","image":"/images/medical-procedures/artrodesis-de-rodilla.jpg","url":"","title":"Knee arthrodesis","text":"Knee arthrodesis is a procedure that fuses the thigh bone with the leg bone in the knee.","button":"Get quote"},{"index":"013","image":"/images/medical-procedures/mastectomia.jpg","url":"","title":"Mastectomy","text":"Mastectomy is a way to treat breast cancer by surgically removing the entire breast.","button":"Get quote"},{"index":"014","image":"/images/medical-procedures/prostatectomia.jpg","url":"","title":"Prostatectomy","text":"Prostatectomy (removal of the prostate) is surgery to remove the entire prostate gland and some tissues around it.","button":"Get quote"},{"index":"015","image":"/images/medical-procedures/ritidoplastia.jpg","url":"","title":"Rhytidoplasty","text":"Rhytidectomy is an aesthetic plastic surgery procedure that involves the surgical removal of skin wrinkles or rhytidosis.","button":"Get quote"},{"index":"016","image":"/images/medical-procedures/rtu-de-prostata.jpg","url":"","title":"Prostate Rtu","text":"Transurethral resection is a urological surgical procedure that consists in the removal of diseased tissues of the urethra, prostate and bladder by accessing them through the urethral lumen.","button":"Get quote"},{"index":"017","image":"/images/medical-procedures/plastia-de-pared.jpg","url":"","title":"Wall plasty","text":"Abdominal wall surgery is a procedure that improves the appearance of flaccid and stretched abdominal muscles and skin.","button":"Get quote"},{"index":"018","image":"/images/medical-procedures/histerectomia-radical.jpg","url":"","title":"Radical hysterectomy","text":"Surgery to remove the uterus, cervix and part of the vagina. The ovaries, fallopian tubes and nearby lymph nodes can also be removed.","button":"Get quote"},{"index":"019","image":"/images/medical-procedures/tiroidectomia.jpg","url":"","title":"Thyroidectomy","text":"Thyroidectomy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quote"},{"index":"021","image":"/images/medical-procedures/artroscopia-de-hombro.jpg","url":"","title":"Shoulder arthroscopy","text":"It is a surgery in which a small camera called an arthroscope is used to examine or repair the tissues in or around the shoulder joint.","button":"Get quote"},{"index":"022","image":"/images/medical-procedures/artroscopia-de-rodilla.jpg","url":"","title":"Knee arthroscopy","text":"It is surgery in which a tiny camera is used to observe inside the knee.","button":"Get quote"},{"index":"023","image":"/images/medical-procedures/histerectomia-abdominal.jpg","url":"","title":"Abdominal hysterectomy","text":"An abdominal hysterectomy is a surgical procedure where the uterus is removed through an incision in the lower abdomen.","button":"Get quote"},{"index":"024","image":"/images/medical-procedures/histerectomia-vaginal.jpg","url":"","title":"Vaginal hysterectomy","text":"Vaginal hysterectomy is a surgical procedure to remove the uterus through the vagina.","button":"Get quote"},{"index":"025","image":"/images/medical-procedures/laparotomia.jpg","url":"","title":"Laparotomy","text":"It is surgery to examine the organs and structures of the belly area. These include your appendix, bladder, gallbladder, intestines, kidney, liver, pancreas, among others.","button":"Get quote"},{"index":"026","image":"/images/medical-procedures/mastopexia.jpg","url":"","title":"Mastopexy","text":"Mastopexy is a surgical intervention that consists in the elevation and remodeling of the breasts.","button":"Get quote"},{"index":"027","image":"/images/medical-procedures/pexia-mamaria.jpg","url":"","title":"Breast pexy","text":"The mammary pexia is a surgical procedure designed to correct the position and improve the general appearance of the breasts.","button":"Get quote"},{"index":"028","image":"/images/medical-procedures/reseccion-de-quiste-de-ovario.jpg","url":"","title":"Resection of ovarian cyst","text":"The surgery is used to confirm the diagnosis of ovarian cyst, remove a cyst that is causing symptoms and rule out ovarian cancer.","button":"Get quote"},{"index":"029","image":"/images/medical-procedures/cuadrantectomia-de-mama.jpg","url":"","title":"Breast quadrantectomy","text":"Surgical operation to remove the cancer and some of the tissue that surrounds it, but not the breast. Some lymph nodes under the arm may be removed to make a biopsy.","button":"Get quote"},{"index":"030","image":"/images/medical-procedures/ooforectomia.jpg","url":"","title":"Oophorectomy","text":"An oophorectomy is a surgical procedure to remove an ovary or both.","button":"Get quote"},{"index":"031","image":"/images/medical-procedures/plastia-de-ligamento-cruzado.jpg","url":"","title":"Cross ligament plasty","text":"It is a surgery to reconstruct the ligament that is in the center of the knee.","button":"Get quote"},{"index":"032","image":"/images/medical-procedures/liposuccion.jpg","url":"","title":"Liposuction","text":"Liposuction is a surgical technique that is used in cosmetic surgery and that allows a remodeling of the silhouette through the extraction of fat or adipose tissue.","button":"Get quote"},{"index":"033","image":"/images/medical-procedures/meniscectomia.jpg","url":"","title":"Meniscectomy","text":"Minimally invasive surgery allows the meniscus lesion to be removed and stabilized","button":"Get quote"},{"index":"034","image":"/images/medical-procedures/mentoplastia.jpg","url":"","title":"Mentoplasty","text":"Mentoplasty is a surgical procedure that seeks through various means to achieve an increase in chin projection.","button":"Get quote"},{"index":"035","image":"/images/medical-procedures/miomectomia.jpg","url":"","title":"Myomectomy","text":"Myomectomy, sometimes also fibroectomy, refers to the surgical removal of uterine leiomyomas, also known as fibroids.","button":"Get quote"},{"index":"036","image":"/images/medical-procedures/mastoidectomia.jpg","url":"","title":"Mastoidectomy","text":"A mastoidectomy is a procedure performed to remove the mastoid air cells.","button":"Get quote"},{"index":"037","image":"/images/medical-procedures/microlaringoscopia.jpg","url":"","title":"Microlaryngoscopy","text":"It consists of the introduction of a metallic tube in the larynx under microscopic control.","button":"Get quote"},{"index":"038","image":"/images/medical-procedures/safenectomia-bilateral.jpg","url":"","title":"Bilateral saphenectomy","text":"Bilateral saphenectomy involves removing the saphenous vein from both legs.","button":"Get quote"},{"index":"039","image":"/images/medical-procedures/osteotomia.jpg","url":"","title":"Osteotomy of the femur and tibia","text":"The osteotomy consists of making a partial cut in the bone, either in the femur or in the tibia.","button":"Get quote"},{"index":"040","image":"/images/medical-procedures/plastia-vaginales.jpg","url":"","title":"Vaginal plasty","text":"It is a surgical procedure. This surgery tightens the front wall of the vagina.","button":"Get quote"},{"index":"041","image":"/images/medical-procedures/rinoseptumplastia.jpg","url":"","title":"Rhinoplasty","text":"Surgery to improve the shape of the nose.","button":"Get quote"},{"index":"042","image":"/images/medical-procedures/hernioplastia.jpg","url":"","title":"Hernioplasty","text":"Umbilical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quote"},{"index":"043","image":"/images/medical-procedures/ureterolitotripsia.jpg","url":"","title":"Ureterolitotripsia","text":"Ureteroscopy is an intervention to examine the inside of the kidney and the ureter by means of a uteroscope.","button":"Get quote"},{"index":"044","image":"/images/medical-procedures/hemorroidectomia.jpg","url":"","title":"Hemorrhoidectomy","text":"It is known as hemorrhoidectomy to the surgical procedure of hemorrhoid removal.","button":"Get quote"},{"index":"045","image":"/images/medical-procedures/histerolaparoscopia.jpg","url":"","title":"Hysteroscopy","text":"Hysteroscopy is a clinical procedure that allows a gynecologist to see the inside of the uterus through an endoscopy.","button":"Get quote"},{"index":"046","image":"/images/medical-procedures/septumplastia.jpg","url":"","title":"Septuplasty","text":"Septuplasty is surgery that is performed to correct deformities or deviations of the nasal septum, also called nasal septum.","button":"Get quote"},{"index":"047","image":"/images/medical-procedures/orquiectomia.jpg","url":"","title":"Orchiectomy","text":"Orchiectomy is the term that is used in medicine to designate the surgical extirpation, total or partial, of one or both testicles.","button":"Get quote"},{"index":"048","image":"/images/medical-procedures/osteotomia-de-tibia.jpg","url":"","title":"Tibial osteotomy","text":"It is an operation designed to change the position and alignment of the leg bone.","button":"Get quote"},{"index":"049","image":"/images/medical-procedures/otoplastia.jpg","url":"","title":"Otoplasty","text":"Otoplasty is a surgery in which the deformities of the ear are resolved.","button":"Get quote"},{"index":"050","image":"/images/medical-procedures/palatoplastia.jpg","url":"","title":"Palatoplasty","text":"Palatoplasty is a surgical procedure used to correct or reconstruct the palate in a person with cleft palate.","button":"Get quote"},{"index":"051","image":"/images/medical-procedures/rinoplastia.jpg","url":"","title":"Rhinoplasty","text":"Rhinoplasty is a surgical procedure in which the aesthetic problems of the nose, such as the osseous hump, the bone protruding from the back of the nose, are mainly solved.","button":"Get quote"},{"index":"052","image":"/images/medical-procedures/adenoamigdalectomia.jpg","url":"","title":"Adenoamigdalectomy","text":"The adenoamigdalectomía is the intervention that is made to extirpate the tonsils and the adenoideas vegetations.","button":"Get quote"},{"index":"053","image":"/images/medical-procedures/safenectomia.jpg","url":"","title":"Safenectomy","text":"Surgical removal of the saphenous vein. It is usually used as a surgical treatment for varicose veins and for obtaining venous grafts in coronary artery interventions.","button":"Get quote"},{"index":"054","image":"/images/medical-procedures/amigdalectomia.jpg","url":"","title":"Tonsillectomy","text":"Tonsillectomy involves the surgical removal of the tonsils. This surgical intervention is carried out by the otolaryngologist.","button":"Get quote"},{"index":"055","image":"/images/medical-procedures/varicocelectomia.jpg","url":"","title":"Varicocelectomy","text":"The varicocelectomy is the surgical intervention that allows to alleviate the problems caused by the varicocele.","button":"Get quote"},{"index":"056","image":"/images/medical-procedures/hidrocelectomia.jpg","url":"","title":"Hydrocelectomy","text":"A hydrocele is a type of swelling of the scrotum that occurs when fluid accumulates in the thin lining around the testicle.","button":"Get quote"},{"index":"057","image":"/images/medical-procedures/reseccion-de-fibroadenoma-mamario.jpg","url":"","title":"Resection of fibroadenoma mammary","text":"The removal of a breast tumor is surgery to remove a tumor that may be breast cancer.","button":"Get quote"}],"title":"Medical procedures","description":"These are some of our most requested medical procedures; If the procedure you need does not appear, send us a message to quote yours.","keywords":["Medical tourism","laguna","torreon","mexico","Medical procedures"],"author":"Suresh Kumar Gadi","publisher":"https://plus.google.com/+SureshKumarGadi/posts","image":"https://lagunamedicalcenter.com/images/logo.jpg","twitter_creator":"@SureshKumarGadi","layout":"medical-procedures","type":"static"}</v>
      </c>
      <c r="F1" t="str">
        <f ca="1">"{"&amp;Procedures!N2&amp;_xlfn.CONCAT(F2:F500)&amp;"}"</f>
        <v>{"Procedures":[{"index":"000","image":"/images/medical-procedures/trasplante-renal.jpg","url":"","title":"Trasplante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cotización"},{"index":"001","image":"/images/medical-procedures/nefrectomia.jpg","url":"","title":"Nefrectomía","text":"La nefrectomía es un procedimiento quirúrgico que se realiza para extirpar todo el riñón o parte de este.","button":"Consigue una cotización"},{"index":"002","image":"/images/medical-procedures/hemicolectomia.jpg","url":"","title":"Hemicolectomía","text":"Extirpación de la mitad del colon. Puede ser hemicolectomía derecha o izquierda.","button":"Consigue una cotización"},{"index":"003","image":"/images/medical-procedures/funduplicatura.jpg","url":"","title":"Funduplicatura","text":"La funduplicatura es el procedimiento quirúrgico usado para tratar la enfermedad por reflujo gastroesofágico. ","button":"Consigue una cotización"},{"index":"004","image":"/images/medical-procedures/discoidectomia.jpg","url":"","title":"Discectomía","text":"La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cotización"},{"index":"006","image":"/images/medical-procedures/laminectomia-de-columna.jpg","url":"","title":"Laminectomía de columna","text":"Es una cirugía para extirpar la lámina. Esta es una parte del hueso que constituye una vértebra en la columna. ","button":"Consigue una cotización"},{"index":"007","image":"/images/medical-procedures/protesis-de-rodilla.jpg","url":"","title":"Prótesis de rodilla","text":"Las prótesis son reproducciones de los huesos de la zona de la rodilla, de metal, resinas o materiales cerámicos, que se colocan en el lugar de la articulación.","button":"Consigue una cotización"},{"index":"008","image":"/images/medical-procedures/by-pass.jpg","url":"","title":"By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cotización"},{"index":"009","image":"/images/medical-procedures/craneotomia.jpg","url":"","title":"Craneotomía","text":"Craneotomía es una operación quirúrgica en que parte del cráneo, llamado colgajo óseo, se extrae con el fin de acceder al cerebro.","button":"Consigue una cotización"},{"index":"010","image":"/images/medical-procedures/manga-gastrica.jpg","url":"","title":"Manga gástrica","text":"En la cirugía de manga gástrica, un cirujano extrae parte del estómago y construye un tubo estrecho o 'manga' con el resto. ","button":"Consigue una cotización"},{"index":"011","image":"/images/medical-procedures/protesis-de-cadera.jpg","url":"","title":"Prótesis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cotización"},{"index":"012","image":"/images/medical-procedures/artrodesis-de-rodilla.jpg","url":"","title":"Artrodesis de rodilla","text":"La artrodesis de rodilla es un procedimiento que fusiona el hueso del muslo con el hueso de la pierna en la rodilla. ","button":"Consigue una cotización"},{"index":"013","image":"/images/medical-procedures/mastectomia.jpg","url":"","title":"Mastectomía","text":"La mastectomía es una manera de tratar el cáncer de seno mediante la extirpación quirúrgica de todo el seno. ","button":"Consigue una cotización"},{"index":"014","image":"/images/medical-procedures/prostatectomia.jpg","url":"","title":"Prostatectomía","text":"La prostatectomía (extracción de la próstata) es la cirugía para extirpar toda la glándula prostática y algunos tejidos alrededor de esta. ","button":"Consigue una cotización"},{"index":"015","image":"/images/medical-procedures/ritidoplastia.jpg","url":"","title":"Ritidoplastia","text":"La ritidoplastia es un procedimiento de cirugía plástica estética que consiste en la eliminación quirúrgica de arrugas de la piel o ritidosis.","button":"Consigue una cotización"},{"index":"016","image":"/images/medical-procedures/rtu-de-prostata.jpg","url":"","title":"Rtu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cotización"},{"index":"017","image":"/images/medical-procedures/plastia-de-pared.jpg","url":"","title":"Plastia de pared","text":"La cirugía de la pared abdominal es un procedimiento que mejora la apariencia de los músculos y piel abdominales flácidos y estirados.","button":"Consigue una cotización"},{"index":"018","image":"/images/medical-procedures/histerectomia-radical.jpg","url":"","title":"Histerectomía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cotización"},{"index":"022","image":"/images/medical-procedures/artroscopia-de-rodilla.jpg","url":"","title":"Artroscopia de rodilla","text":"Es la cirugía en la cual se utiliza una cámara diminuta para observar dentro de la rodilla.","button":"Consigue una cotización"},{"index":"023","image":"/images/medical-procedures/histerectomia-abdominal.jpg","url":"","title":"Histerectomía abdominal","text":"Una histerectomía abdominal es un procedimiento quirúrgico donde se extirpa el útero a través de una incisión en la parte inferior del abdomen. ","button":"Consigue una cotización"},{"index":"024","image":"/images/medical-procedures/histerectomia-vaginal.jpg","url":"","title":"Histerectomía vaginal","text":"La histerectomía vaginal es un procedimiento quirúrgico para extirpar el útero a través de la vagina. ","button":"Consigue una cotización"},{"index":"025","image":"/images/medical-procedures/laparotomia.jpg","url":"","title":"Laparotomía","text":"Es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cotización"},{"index":"026","image":"/images/medical-procedures/mastopexia.jpg","url":"","title":"Mastopexia","text":"La mastopexia es una intervención quirúrgica que consiste en la elevación y remodelación de las mamas. ","button":"Consigue una cotización"},{"index":"027","image":"/images/medical-procedures/pexia-mamaria.jpg","url":"","title":"Pexia mamaria","text":"La pexia mamaria es un procedimiento quirúrgico destinado a corregir la posición y mejorar el aspecto general de las mamas.","button":"Consigue una cotización"},{"index":"028","image":"/images/medical-procedures/reseccion-de-quiste-de-ovario.jpg","url":"","title":"Resección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cotización"},{"index":"030","image":"/images/medical-procedures/ooforectomia.jpg","url":"","title":"Ooforectomía","text":"Una ooforectomía es un procedimiento quirúrgico para extirpar un ovario o ambos.","button":"Consigue una cotización"},{"index":"031","image":"/images/medical-procedures/plastia-de-ligamento-cruzado.jpg","url":"","title":"Plastia de ligamento cruzado","text":"Es una cirugía para reconstruir el ligamento que se encuentra en el centro de la rodilla.","button":"Consigue una cotización"},{"index":"032","image":"/images/medical-procedures/liposuccion.jpg","url":"","title":"Liposucción","text":"La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cotización"},{"index":"033","image":"/images/medical-procedures/meniscectomia.jpg","url":"","title":"Meniscectomia","text":"Cirugía mínimamente invasiva permite remover y estabilizar la lesión del menisco","button":"Consigue una cotización"},{"index":"034","image":"/images/medical-procedures/mentoplastia.jpg","url":"","title":"Mentoplastía","text":"La mentoplastia es un procedimiento quirúrgico que busca mediante diversos medios lograr un aumento en la proyección del mentón.","button":"Consigue una cotización"},{"index":"035","image":"/images/medical-procedures/miomectomia.jpg","url":"","title":"Miomectomía","text":"La miomectomía, a veces también la fibroectomía, se refiere a la extirpación quirúrgica de los leiomiomas uterinos, también conocidos como fibromas.","button":"Consigue una cotización"},{"index":"036","image":"/images/medical-procedures/mastoidectomia.jpg","url":"","title":"Mastoidectomía","text":"Una mastoidectomía es un procedimiento que se realiza para extraer las células aéreas mastoideas.","button":"Consigue una cotización"},{"index":"037","image":"/images/medical-procedures/microlaringoscopia.jpg","url":"","title":"Microlaringoscopía","text":"Consiste en la introducción de un tubo metálico en la laringe bajo control microscópico .","button":"Consigue una cotización"},{"index":"038","image":"/images/medical-procedures/safenectomia-bilateral.jpg","url":"","title":"Safenectomía bilateral","text":"La safenectomía bilateral consiste en quitar la vena safena de las dos piernas.","button":"Consigue una cotización"},{"index":"039","image":"/images/medical-procedures/osteotomia.jpg","url":"","title":"Osteotomía de fémur y tibia","text":"La osteotomía consiste en realizar un corte parcial en el hueso, ya sea en el fémur o en la tibia.","button":"Consigue una cotización"},{"index":"040","image":"/images/medical-procedures/plastia-vaginales.jpg","url":"","title":"Plastia vaginales","text":"Es un procedimiento quirúrgico. Esta cirugía tensa la pared frontal de la vagina.","button":"Consigue una cotización"},{"index":"041","image":"/images/medical-procedures/rinoseptumplastia.jpg","url":"","title":"Rinoseptumplastía","text":"Cirugía para mejorar la forma de la nariz.","button":"Consigue una cotización"},{"index":"042","image":"/images/medical-procedures/hernioplastia.jpg","url":"","title":"Hernioplastía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cotización"},{"index":"043","image":"/images/medical-procedures/ureterolitotripsia.jpg","url":"","title":"Ureterolitotripsia ","text":"La ureteroscopia es una intervención para examinar el interior del riñon y el uréter por medio de un uteroscopio.","button":"Consigue una cotización"},{"index":"044","image":"/images/medical-procedures/hemorroidectomia.jpg","url":"","title":"Hemorroidectomía","text":"Se conoce como hemorroidectomia al procedimiento quirúrgico de extirpación de las hemorroides.","button":"Consigue una cotización"},{"index":"045","image":"/images/medical-procedures/histerolaparoscopia.jpg","url":"","title":"Histerolaparoscopia","text":"La histeroscopia es un procedimiento clínico que le permite a un ginecólogo ver el interior del útero por medio de una endoscopia.","button":"Consigue una cotización"},{"index":"046","image":"/images/medical-procedures/septumplastia.jpg","url":"","title":"Septumplastía","text":"La septumplastia es la cirugía que se realiza para corregir las deformidades o desviaciones del tabique nasal, también llamado septum nasal.","button":"Consigue una cotización"},{"index":"047","image":"/images/medical-procedures/orquiectomia.jpg","url":"","title":"Orquiectomía","text":"Orquiectomía es el término que se usa en medicina para designar la extirpación quirúrgica, total o parcial, de uno o de los dos testículos.","button":"Consigue una cotización"},{"index":"048","image":"/images/medical-procedures/osteotomia-de-tibia.jpg","url":"","title":"Osteotomía de tibia","text":"Es una operación diseñada para cambiar la posición y alineación del hueso de la pierna.","button":"Consigue una cotización"},{"index":"049","image":"/images/medical-procedures/otoplastia.jpg","url":"","title":"Otoplastía","text":"La otoplastia es una cirugía en la cual se resuelven las deformidades de la oreja.","button":"Consigue una cotización"},{"index":"050","image":"/images/medical-procedures/palatoplastia.jpg","url":"","title":"Palatoplastía","text":"La palatoplastia es un procedimiento quirúrgico que se usa para corregir o reconstruir el paladar en una persona con paladar hendido.","button":"Consigue una cotización"},{"index":"051","image":"/images/medical-procedures/rinoplastia.jpg","url":"","title":"Rinoplastía","text":"La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cotización"},{"index":"052","image":"/images/medical-procedures/adenoamigdalectomia.jpg","url":"","title":"Adenoamigdalectomía","text":"La adenoamigdalectomía es la intervención que se realiza para extirpar las amígdalas y las vegetaciones adenoideas.","button":"Consigue una cotización"},{"index":"053","image":"/images/medical-procedures/safenectomia.jpg","url":"","title":"Safenectomía","text":"Extracción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cotización"},{"index":"054","image":"/images/medical-procedures/amigdalectomia.jpg","url":"","title":"Amigdalectomía","text":"La amigdalectomía consiste en la extirpación quirúrgica de las amígdalas. Esta intervención quirúrgica la lleva a cabo el otorrinolaringólogo.","button":"Consigue una cotización"},{"index":"055","image":"/images/medical-procedures/varicocelectomia.jpg","url":"","title":"Varicocelectomía","text":"La varicocelectomía es la intervención quirúrgica que permite aliviar los problemas causados por el varicocele.","button":"Consigue una cotización"},{"index":"056","image":"/images/medical-procedures/hidrocelectomia.jpg","url":"","title":"Hidrocelectomía","text":"Un hidrocele es un tipo de inflamación del escroto que ocurre cuando se acumula líquido en el recubrimiento delgado que rodea el testículo.","button":"Consigue una cotización"},{"index":"057","image":"/images/medical-procedures/reseccion-de-fibroadenoma-mamario.jpg","url":"","title":"Resección de fibroadenoma mamario","text":"La extirpación de un tumor mamario es la cirugía para extirpar un tumor que puede ser cáncer de mama.","button":"Consigue una cotización"}],"title":"Procedimientos médicos","description":"Estos son algunos de nuestros procedimientos médicos más solicitados; si el procedimiento que necesitas no aparece, envíanos un mensaje para cotizar el tuyo.","keywords":["Turismo médico","laguna","torreon","mexico","Procedimientos médicos"],"author":"Suresh Kumar Gadi","publisher":"https://plus.google.com/+SureshKumarGadi/posts","image":"https://lagunamedicalcenter.com/images/logo.jpg","twitter_creator":"@SureshKumarGadi","layout":"medical-procedures","type":"static"}</v>
      </c>
      <c r="G1" t="str">
        <f ca="1">"{"&amp;Procedures!O2&amp;_xlfn.CONCAT(G2:G500)&amp;"}"</f>
        <v>{"Procedures":[{"index":"000","image":"/images/medical-procedures/trasplante-renal.jpg","url":"","title":"Greffe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devis"},{"index":"001","image":"/images/medical-procedures/nefrectomia.jpg","url":"","title":"Néphrectomie","text":"La néphrectomie est une intervention chirurgicale qui consiste à enlever tout ou partie du rein.","button":"Obtenir un devis"},{"index":"002","image":"/images/medical-procedures/hemicolectomia.jpg","url":"","title":"Hémicolectomie","text":"Enlèvement de la moitié du côlon. Il peut s'agir d'une hémicolectomie droite ou gauche.","button":"Obtenir un devis"},{"index":"003","image":"/images/medical-procedures/funduplicatura.jpg","url":"","title":"Fonduplication","text":"La Fundoplication est la procédure chirurgicale utilisée pour traiter le reflux gastro-oesophagien.","button":"Obtenir un devis"},{"index":"004","image":"/images/medical-procedures/discoidectomia.jpg","url":"","title":"Discectomie","text":"La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devis"},{"index":"006","image":"/images/medical-procedures/laminectomia-de-columna.jpg","url":"","title":"Laminectomie de colonne","text":"C'est une opération pour enlever le lamina. C'est une partie de l'os qui constitue une vertèbre dans la colonne vertébrale.","button":"Obtenir un devis"},{"index":"007","image":"/images/medical-procedures/protesis-de-rodilla.jpg","url":"","title":"Prothèse de genou","text":"Les prothèses sont des reproductions des os de la région du genou, du métal, des résines ou des matériaux céramiques, qui sont placées à la place de l'articulation.","button":"Obtenir un devis"},{"index":"008","image":"/images/medical-procedures/by-pass.jpg","url":"","title":"Par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devis"},{"index":"009","image":"/images/medical-procedures/craneotomia.jpg","url":"","title":"Craniotomie","text":"La craniotomie est une opération chirurgicale au cours de laquelle une partie du crâne, appelée lambeau osseux, est retirée afin d'accéder au cerveau.","button":"Obtenir un devis"},{"index":"010","image":"/images/medical-procedures/manga-gastrica.jpg","url":"","title":"Manche gastrique","text":"En chirurgie gastrique, un chirurgien enlève une partie de l'estomac et construit un tube étroit ou 'manche' avec le reste.","button":"Obtenir un devis"},{"index":"011","image":"/images/medical-procedures/protesis-de-cadera.jpg","url":"","title":"Prothèse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devis"},{"index":"012","image":"/images/medical-procedures/artrodesis-de-rodilla.jpg","url":"","title":"Arthrodèse du genou","text":"L'arthrodèse du genou est une procédure qui fusionne l'os de la cuisse avec l'os de la jambe dans le genou.","button":"Obtenir un devis"},{"index":"013","image":"/images/medical-procedures/mastectomia.jpg","url":"","title":"Mastectomie","text":"La mastectomie est un moyen de traiter le cancer du sein en retirant chirurgicalement tout le sein.","button":"Obtenir un devis"},{"index":"014","image":"/images/medical-procedures/prostatectomia.jpg","url":"","title":"Prostatectomie","text":"La prostatectomie (ablation de la prostate) est une intervention chirurgicale qui consiste à enlever toute la prostate et certains tissus qui l'entourent.","button":"Obtenir un devis"},{"index":"015","image":"/images/medical-procedures/ritidoplastia.jpg","url":"","title":"Rhytidoplastie","text":"La rhytidectomie est une procédure de chirurgie plastique esthétique qui consiste à enlever chirurgicalement les rides de la peau ou la rhytidose.","button":"Obtenir un devis"},{"index":"016","image":"/images/medical-procedures/rtu-de-prostata.jpg","url":"","title":"Prostate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devis"},{"index":"017","image":"/images/medical-procedures/plastia-de-pared.jpg","url":"","title":"Plastie murale","text":"La chirurgie de la paroi abdominale est une procédure qui améliore l'apparence des muscles et de la peau abdominaux flasques et étirés.","button":"Obtenir un devis"},{"index":"018","image":"/images/medical-procedures/histerectomia-radical.jpg","url":"","title":"Hystérectomie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devis"},{"index":"022","image":"/images/medical-procedures/artroscopia-de-rodilla.jpg","url":"","title":"Arthroscopie du genou","text":"C'est une intervention chirurgicale dans laquelle une minuscule caméra est utilisée pour observer l'intérieur du genou.","button":"Obtenir un devis"},{"index":"023","image":"/images/medical-procedures/histerectomia-abdominal.jpg","url":"","title":"Hystérectomie abdominale","text":"Une hystérectomie abdominale est une intervention chirurgicale au cours de laquelle l'utérus est prélevé par une incision dans le bas de l'abdomen.","button":"Obtenir un devis"},{"index":"024","image":"/images/medical-procedures/histerectomia-vaginal.jpg","url":"","title":"Hystérectomie vaginale","text":"L'hystérectomie vaginale est une intervention chirurgicale visant à enlever l'utérus par le vagin.","button":"Obtenir un devis"},{"index":"025","image":"/images/medical-procedures/laparotomia.jpg","url":"","title":"La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devis"},{"index":"026","image":"/images/medical-procedures/mastopexia.jpg","url":"","title":"Mastopexie","text":"La mastopexie est une intervention chirurgicale qui consiste en une élévation et un remodelage des seins.","button":"Obtenir un devis"},{"index":"027","image":"/images/medical-procedures/pexia-mamaria.jpg","url":"","title":"Pexy poitrine","text":"Le pexia mammaire est une intervention chirurgicale conçue pour corriger la position et améliorer l’aspect général des seins.","button":"Obtenir un devis"},{"index":"028","image":"/images/medical-procedures/reseccion-de-quiste-de-ovario.jpg","url":"","title":"Résection du kyste ovarien","text":"La chirurgie sert à confirmer le diagnostic de kyste ovarien, à éliminer un kyste à l'origine des symptômes et à exclure le cancer de l'ovaire.","button":"Obtenir un devis"},{"index":"029","image":"/images/medical-procedures/cuadrantectomia-de-mama.jpg","url":"","title":"Quadrantectomie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devis"},{"index":"030","image":"/images/medical-procedures/ooforectomia.jpg","url":"","title":"Ovariectomie","text":"Une ovariectomie est une intervention chirurgicale visant à enlever un ovaire ou les deux.","button":"Obtenir un devis"},{"index":"031","image":"/images/medical-procedures/plastia-de-ligamento-cruzado.jpg","url":"","title":"Plastie ligament croisé","text":"C'est une chirurgie pour reconstruire le ligament qui se trouve au centre du genou.","button":"Obtenir un devis"},{"index":"032","image":"/images/medical-procedures/liposuccion.jpg","url":"","title":"Liposuccion","text":"La liposuccion est une technique chirurgicale utilisée en chirurgie esthétique et qui permet de remodeler la silhouette par extraction de tissu adipeux ou adipeux.","button":"Obtenir un devis"},{"index":"033","image":"/images/medical-procedures/meniscectomia.jpg","url":"","title":"Méniscectomie","text":"La chirurgie mini-invasive permet d'éliminer et de stabiliser la lésion méniscale","button":"Obtenir un devis"},{"index":"034","image":"/images/medical-procedures/mentoplastia.jpg","url":"","title":"Mentoplastie","text":"La mentoplastie est une intervention chirurgicale qui vise, par différents moyens, à augmenter la projection du menton.","button":"Obtenir un devis"},{"index":"035","image":"/images/medical-procedures/miomectomia.jpg","url":"","title":"Myomectomie","text":"La myomectomie, parfois aussi la fibroectomie, fait référence à l'ablation chirurgicale des léiomyomes utérins, également appelés fibromes.","button":"Obtenir un devis"},{"index":"036","image":"/images/medical-procedures/mastoidectomia.jpg","url":"","title":"Mastoïdectomie","text":"Une mastoïdectomie est une procédure réalisée pour retirer les cellules mastoïdiennes.","button":"Obtenir un devis"},{"index":"037","image":"/images/medical-procedures/microlaringoscopia.jpg","url":"","title":"Microlaryngoscopie","text":"Il consiste en l'introduction d'un tube métallique dans le larynx sous contrôle microscopique.","button":"Obtenir un devis"},{"index":"038","image":"/images/medical-procedures/safenectomia-bilateral.jpg","url":"","title":"Saphénectomie bilatérale","text":"La saphénectomie bilatérale consiste à retirer la veine saphène des deux jambes.","button":"Obtenir un devis"},{"index":"039","image":"/images/medical-procedures/osteotomia.jpg","url":"","title":"Ostéotomie du fémur et du tibia","text":"L'ostéotomie consiste à pratiquer une incision partielle dans l'os, soit dans le fémur, soit dans le tibia.","button":"Obtenir un devis"},{"index":"040","image":"/images/medical-procedures/plastia-vaginales.jpg","url":"","title":"Plastie vaginale","text":"C'est une intervention chirurgicale. Cette opération resserre la paroi avant du vagin.","button":"Obtenir un devis"},{"index":"041","image":"/images/medical-procedures/rinoseptumplastia.jpg","url":"","title":"Rhinoplastie","text":"Chirurgie pour améliorer la forme du nez.","button":"Obtenir un devis"},{"index":"042","image":"/images/medical-procedures/hernioplastia.jpg","url":"","title":"Hernioplastie","text":"Hernioplastie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devis"},{"index":"043","image":"/images/medical-procedures/ureterolitotripsia.jpg","url":"","title":"Ureterolitotripsia","text":"L'urétéroscopie est une intervention consistant à examiner l'intérieur du rein et de l'uretère à l'aide d'un utéroscope.","button":"Obtenir un devis"},{"index":"044","image":"/images/medical-procedures/hemorroidectomia.jpg","url":"","title":"Hémorroïdectomie","text":"Il est connu sous le nom d’hémorroïdectomie lors d’une intervention chirurgicale consistant à enlever les hémorroïdes.","button":"Obtenir un devis"},{"index":"045","image":"/images/medical-procedures/histerolaparoscopia.jpg","url":"","title":"Hystéroscopie","text":"L'hystéroscopie est une procédure clinique qui permet à un gynécologue de voir l'intérieur de l'utérus par endoscopie.","button":"Obtenir un devis"},{"index":"046","image":"/images/medical-procedures/septumplastia.jpg","url":"","title":"Septuplastie","text":"La septuplastie est une intervention chirurgicale visant à corriger les déformations ou déviations de la cloison nasale, également appelée septum nasal.","button":"Obtenir un devis"},{"index":"047","image":"/images/medical-procedures/orquiectomia.jpg","url":"","title":"Orchidectomie","text":"Orchiectomie est le terme utilisé en médecine pour désigner l'extirpation chirurgicale totale ou partielle d'un ou des deux testicules.","button":"Obtenir un devis"},{"index":"048","image":"/images/medical-procedures/osteotomia-de-tibia.jpg","url":"","title":"Ostéotomie tibiale","text":"C'est une opération conçue pour changer la position et l'alignement de l'os de la jambe.","button":"Obtenir un devis"},{"index":"049","image":"/images/medical-procedures/otoplastia.jpg","url":"","title":"Otoplastie","text":"L'otoplastie est une intervention chirurgicale dans laquelle les déformations de l'oreille sont résolues.","button":"Obtenir un devis"},{"index":"050","image":"/images/medical-procedures/palatoplastia.jpg","url":"","title":"Palatoplastie","text":"La palatoplastie est une intervention chirurgicale utilisée pour corriger ou reconstruire le palais chez une personne souffrant de fente palatine.","button":"Obtenir un devis"},{"index":"051","image":"/images/medical-procedures/rinoplastia.jpg","url":"","title":"Rhinoplastie","text":"La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devis"},{"index":"052","image":"/images/medical-procedures/adenoamigdalectomia.jpg","url":"","title":"Adénoamigdalectomie","text":"L'adenoamigdalectomía est l'intervention qui consiste à extirper les amygdales et les végétations adénoïdiennes.","button":"Obtenir un devis"},{"index":"053","image":"/images/medical-procedures/safenectomia.jpg","url":"","title":"Safénectomie","text":"Ablation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devis"},{"index":"054","image":"/images/medical-procedures/amigdalectomia.jpg","url":"","title":"Amygdalectomie","text":"L'amygdalectomie implique l'ablation chirurgicale des amygdales. Cette intervention chirurgicale est réalisée par l'oto-rhino-laryngologiste.","button":"Obtenir un devis"},{"index":"055","image":"/images/medical-procedures/varicocelectomia.jpg","url":"","title":"Varicocélectomie","text":"La varicocélectomie est l'intervention chirurgicale qui permet d'atténuer les problèmes causés par la varicocèle.","button":"Obtenir un devis"},{"index":"056","image":"/images/medical-procedures/hidrocelectomia.jpg","url":"","title":"Hydrocélectomie","text":"Une hydrocèle est un type de gonflement du scrotum qui se produit lorsque le liquide s’accumule dans la fine membrane entourant le testicule.","button":"Obtenir un devis"},{"index":"057","image":"/images/medical-procedures/reseccion-de-fibroadenoma-mamario.jpg","url":"","title":"Résection de fibroadénome mammaire","text":"Le retrait d'une tumeur du sein est une intervention chirurgicale visant à retirer une tumeur pouvant être un cancer du sein.","button":"Obtenir un devis"}],"title":"Procédures médicales","description":"Ce sont certaines de nos procédures médicales les plus demandées; Si la procédure dont vous avez besoin n'apparaît pas, envoyez-nous un message pour citer le vôtre.","keywords":["Tourisme médical","laguna","torreon","Mexique","Procedimientos médicos"],"author":"Suresh Kumar Gadi","publisher":"https://plus.google.com/+SureshKumarGadi/posts","image":"https://lagunamedicalcenter.com/images/logo.jpg","twitter_creator":"@SureshKumarGadi","layout":"medical-procedures","type":"static"}</v>
      </c>
    </row>
    <row r="2" spans="1:7" x14ac:dyDescent="0.3">
      <c r="A2" t="s">
        <v>7</v>
      </c>
      <c r="B2" t="s">
        <v>83</v>
      </c>
      <c r="C2" t="s">
        <v>76</v>
      </c>
      <c r="D2" t="s">
        <v>85</v>
      </c>
      <c r="E2" t="str">
        <f t="shared" ref="E2:G3" si="0">CHAR(34)&amp;$A2&amp;CHAR(34)&amp;":"&amp;CHAR(34)&amp;B2&amp;CHAR(34)&amp;","</f>
        <v>"title":"Medical procedures",</v>
      </c>
      <c r="F2" t="str">
        <f t="shared" si="0"/>
        <v>"title":"Procedimientos médicos",</v>
      </c>
      <c r="G2" t="str">
        <f t="shared" si="0"/>
        <v>"title":"Procédures médicales",</v>
      </c>
    </row>
    <row r="3" spans="1:7" x14ac:dyDescent="0.3">
      <c r="A3" t="s">
        <v>9</v>
      </c>
      <c r="B3" t="s">
        <v>676</v>
      </c>
      <c r="C3" t="s">
        <v>283</v>
      </c>
      <c r="D3" t="s">
        <v>675</v>
      </c>
      <c r="E3" t="str">
        <f t="shared" si="0"/>
        <v>"description":"These are some of our most requested medical procedures; If the procedure you need does not appear, send us a message to quote yours.",</v>
      </c>
      <c r="F3" t="str">
        <f t="shared" si="0"/>
        <v>"description":"Estos son algunos de nuestros procedimientos médicos más solicitados; si el procedimiento que necesitas no aparece, envíanos un mensaje para cotizar el tuyo.",</v>
      </c>
      <c r="G3" t="str">
        <f t="shared" si="0"/>
        <v>"description":"Ce sont certaines de nos procédures médicales les plus demandées; Si la procédure dont vous avez besoin n'apparaît pas, envoyez-nous un message pour citer le vôtre.",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
        <v>83</v>
      </c>
      <c r="C8" t="s">
        <v>76</v>
      </c>
      <c r="D8" t="s">
        <v>76</v>
      </c>
      <c r="E8" t="str">
        <f>CHAR(34)&amp;B8&amp;CHAR(34)&amp;"],"</f>
        <v>"Medical procedures"],</v>
      </c>
      <c r="F8" t="str">
        <f>CHAR(34)&amp;C8&amp;CHAR(34)&amp;"],"</f>
        <v>"Procedimientos médicos"],</v>
      </c>
      <c r="G8" t="str">
        <f>CHAR(34)&amp;D8&amp;CHAR(34)&amp;"],"</f>
        <v>"Procedimientos médicos"],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ref="C12:D14" si="5">IF(ISBLANK(B12),"",B12)</f>
        <v>@SureshKumarGadi</v>
      </c>
      <c r="D12" t="str">
        <f t="shared" si="5"/>
        <v>@SureshKumarGadi</v>
      </c>
      <c r="E12" t="str">
        <f t="shared" si="4"/>
        <v>"twitter_creator":"@SureshKumarGadi",</v>
      </c>
      <c r="F12" t="str">
        <f t="shared" si="2"/>
        <v>"twitter_creator":"@SureshKumarGadi",</v>
      </c>
      <c r="G12" t="str">
        <f t="shared" si="2"/>
        <v>"twitter_creator":"@SureshKumarGadi",</v>
      </c>
    </row>
    <row r="13" spans="1:7" x14ac:dyDescent="0.3">
      <c r="A13" t="s">
        <v>259</v>
      </c>
      <c r="B13" t="s">
        <v>677</v>
      </c>
      <c r="C13" t="str">
        <f t="shared" si="5"/>
        <v>medical-procedures</v>
      </c>
      <c r="D13" t="str">
        <f t="shared" si="5"/>
        <v>medical-procedures</v>
      </c>
      <c r="E13" t="str">
        <f t="shared" si="4"/>
        <v>"layout":"medical-procedures",</v>
      </c>
      <c r="F13" t="str">
        <f t="shared" si="2"/>
        <v>"layout":"medical-procedures",</v>
      </c>
      <c r="G13" t="str">
        <f t="shared" si="2"/>
        <v>"layout":"medical-procedures",</v>
      </c>
    </row>
    <row r="14" spans="1:7" x14ac:dyDescent="0.3">
      <c r="A14" t="s">
        <v>279</v>
      </c>
      <c r="B14" t="s">
        <v>280</v>
      </c>
      <c r="C14" t="str">
        <f t="shared" si="5"/>
        <v>static</v>
      </c>
      <c r="D14" t="str">
        <f t="shared" si="5"/>
        <v>static</v>
      </c>
      <c r="E14" t="str">
        <f t="shared" si="4"/>
        <v>"type":"static"</v>
      </c>
      <c r="F14" t="str">
        <f t="shared" si="2"/>
        <v>"type":"static"</v>
      </c>
      <c r="G14" t="str">
        <f t="shared" si="2"/>
        <v>"type":"static"</v>
      </c>
    </row>
    <row r="15" spans="1:7" x14ac:dyDescent="0.3">
      <c r="E15" t="str">
        <f t="shared" si="4"/>
        <v/>
      </c>
      <c r="F15" t="str">
        <f t="shared" si="2"/>
        <v/>
      </c>
      <c r="G15" t="str">
        <f t="shared" si="2"/>
        <v/>
      </c>
    </row>
    <row r="16" spans="1:7" x14ac:dyDescent="0.3">
      <c r="E16" t="str">
        <f t="shared" si="4"/>
        <v/>
      </c>
      <c r="F16" t="str">
        <f t="shared" si="2"/>
        <v/>
      </c>
      <c r="G16" t="str">
        <f t="shared" si="2"/>
        <v/>
      </c>
    </row>
    <row r="17" spans="5:7" x14ac:dyDescent="0.3">
      <c r="E17" t="str">
        <f t="shared" si="4"/>
        <v/>
      </c>
      <c r="F17" t="str">
        <f t="shared" si="2"/>
        <v/>
      </c>
      <c r="G17" t="str">
        <f t="shared" si="2"/>
        <v/>
      </c>
    </row>
    <row r="18" spans="5:7" x14ac:dyDescent="0.3">
      <c r="E18" t="str">
        <f t="shared" si="4"/>
        <v/>
      </c>
      <c r="F18" t="str">
        <f t="shared" si="2"/>
        <v/>
      </c>
      <c r="G18" t="str">
        <f t="shared" si="2"/>
        <v/>
      </c>
    </row>
    <row r="19" spans="5:7" x14ac:dyDescent="0.3">
      <c r="E19" t="str">
        <f t="shared" si="4"/>
        <v/>
      </c>
      <c r="F19" t="str">
        <f t="shared" si="2"/>
        <v/>
      </c>
      <c r="G19" t="str">
        <f t="shared" si="2"/>
        <v/>
      </c>
    </row>
    <row r="20" spans="5:7" x14ac:dyDescent="0.3">
      <c r="E20" t="str">
        <f t="shared" si="4"/>
        <v/>
      </c>
      <c r="F20" t="str">
        <f t="shared" si="2"/>
        <v/>
      </c>
      <c r="G20" t="str">
        <f t="shared" si="2"/>
        <v/>
      </c>
    </row>
    <row r="21" spans="5:7" x14ac:dyDescent="0.3">
      <c r="E21" t="str">
        <f t="shared" si="4"/>
        <v/>
      </c>
      <c r="F21" t="str">
        <f t="shared" si="2"/>
        <v/>
      </c>
      <c r="G21" t="str">
        <f t="shared" si="2"/>
        <v/>
      </c>
    </row>
    <row r="22" spans="5:7" x14ac:dyDescent="0.3">
      <c r="E22" t="str">
        <f t="shared" si="4"/>
        <v/>
      </c>
      <c r="F22" t="str">
        <f t="shared" si="2"/>
        <v/>
      </c>
      <c r="G22" t="str">
        <f t="shared" si="2"/>
        <v/>
      </c>
    </row>
    <row r="23" spans="5:7" x14ac:dyDescent="0.3">
      <c r="E23" t="str">
        <f t="shared" si="4"/>
        <v/>
      </c>
      <c r="F23" t="str">
        <f t="shared" si="2"/>
        <v/>
      </c>
      <c r="G23" t="str">
        <f t="shared" si="2"/>
        <v/>
      </c>
    </row>
    <row r="24" spans="5:7" x14ac:dyDescent="0.3">
      <c r="E24" t="str">
        <f t="shared" si="4"/>
        <v/>
      </c>
      <c r="F24" t="str">
        <f t="shared" si="2"/>
        <v/>
      </c>
      <c r="G24" t="str">
        <f t="shared" si="2"/>
        <v/>
      </c>
    </row>
    <row r="25" spans="5:7" x14ac:dyDescent="0.3">
      <c r="E25" t="str">
        <f t="shared" si="4"/>
        <v/>
      </c>
      <c r="F25" t="str">
        <f t="shared" si="4"/>
        <v/>
      </c>
      <c r="G25" t="str">
        <f t="shared" si="4"/>
        <v/>
      </c>
    </row>
    <row r="26" spans="5:7" x14ac:dyDescent="0.3">
      <c r="E26" t="str">
        <f t="shared" si="4"/>
        <v/>
      </c>
      <c r="F26" t="str">
        <f t="shared" si="4"/>
        <v/>
      </c>
      <c r="G26" t="str">
        <f t="shared" si="4"/>
        <v/>
      </c>
    </row>
    <row r="27" spans="5:7" x14ac:dyDescent="0.3">
      <c r="E27" t="str">
        <f t="shared" si="4"/>
        <v/>
      </c>
      <c r="F27" t="str">
        <f t="shared" si="4"/>
        <v/>
      </c>
      <c r="G27" t="str">
        <f t="shared" si="4"/>
        <v/>
      </c>
    </row>
    <row r="28" spans="5:7" x14ac:dyDescent="0.3">
      <c r="E28" t="str">
        <f t="shared" si="4"/>
        <v/>
      </c>
      <c r="F28" t="str">
        <f t="shared" si="4"/>
        <v/>
      </c>
      <c r="G28" t="str">
        <f t="shared" si="4"/>
        <v/>
      </c>
    </row>
    <row r="29" spans="5:7" x14ac:dyDescent="0.3">
      <c r="E29" t="str">
        <f t="shared" si="4"/>
        <v/>
      </c>
      <c r="F29" t="str">
        <f t="shared" si="4"/>
        <v/>
      </c>
      <c r="G29" t="str">
        <f t="shared" si="4"/>
        <v/>
      </c>
    </row>
    <row r="30" spans="5:7" x14ac:dyDescent="0.3">
      <c r="E30" t="str">
        <f t="shared" si="4"/>
        <v/>
      </c>
      <c r="F30" t="str">
        <f t="shared" si="4"/>
        <v/>
      </c>
      <c r="G30" t="str">
        <f t="shared" si="4"/>
        <v/>
      </c>
    </row>
    <row r="31" spans="5:7" x14ac:dyDescent="0.3">
      <c r="E31" t="str">
        <f t="shared" si="4"/>
        <v/>
      </c>
      <c r="F31" t="str">
        <f t="shared" si="4"/>
        <v/>
      </c>
      <c r="G31" t="str">
        <f t="shared" si="4"/>
        <v/>
      </c>
    </row>
    <row r="32" spans="5: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F9DF8EA6-1852-4358-8884-C48A0F2566DD}"/>
    <hyperlink ref="B11" r:id="rId2" xr:uid="{AA5013FD-C4DA-42A5-8955-79FF6318A1F5}"/>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90789-2B14-464F-AB84-D3F337E5D03D}">
  <sheetPr codeName="Sheet11"/>
  <dimension ref="A1:G51"/>
  <sheetViews>
    <sheetView zoomScaleNormal="100" workbookViewId="0">
      <selection activeCell="B3" sqref="B3"/>
    </sheetView>
  </sheetViews>
  <sheetFormatPr defaultRowHeight="14.4" x14ac:dyDescent="0.3"/>
  <cols>
    <col min="1" max="1" width="25.109375" customWidth="1"/>
  </cols>
  <sheetData>
    <row r="1" spans="1:7" x14ac:dyDescent="0.3">
      <c r="A1" t="s">
        <v>3</v>
      </c>
      <c r="B1" t="s">
        <v>0</v>
      </c>
      <c r="C1" t="s">
        <v>1</v>
      </c>
      <c r="D1" t="s">
        <v>2</v>
      </c>
      <c r="E1" t="str">
        <f ca="1">"{"&amp;MembersList!M2&amp;_xlfn.CONCAT(E2:E500)&amp;"}"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9","text":"","button":""}],"title":"Members","description":"In Laguna Medical Center we have only the most prestigious certified institutions with the best and most qualified doctors to give you the best service you need.","keywords":["Medical tourism","laguna","torreon","mexico","Members"],"author":"Suresh Kumar Gadi","publisher":"https://plus.google.com/+SureshKumarGadi/posts","image":"https://lagunamedicalcenter.com/images/logo.jpg","twitter_creator":"@SureshKumarGadi","layout":"members","type":"static"}</v>
      </c>
      <c r="F1" t="str">
        <f ca="1">"{"&amp;MembersList!N2&amp;_xlfn.CONCAT(F2:F500)&amp;"}"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9","text":"","button":""}],"title":"Miembros","description":"En Laguna Medical Center contamos solo con las Instituciones certificadas de mayor prestigio y con los mejores y mas calificados médicos para darte el mejor servicio que necesitas.","keywords":["Turismo médico","laguna","torreon","mexico","Miembros"],"author":"Suresh Kumar Gadi","publisher":"https://plus.google.com/+SureshKumarGadi/posts","image":"https://lagunamedicalcenter.com/images/logo.jpg","twitter_creator":"@SureshKumarGadi","layout":"members","type":"static"}</v>
      </c>
      <c r="G1" t="str">
        <f ca="1">"{"&amp;MembersList!O2&amp;_xlfn.CONCAT(G2:G500)&amp;"}"</f>
        <v>{"MembersList":[{"index":"000","image":"/images/members/example.png","url":"https://hospitalesangeles.com/torreon/","title":"Hôpital 1","text":"","button":""},{"index":"001","image":"/images/members/example.png","url":"https://www.sanatorio.com.mx/","title":"Hôpital 2","text":"","button":""},{"index":"002","image":"/images/members/example.png","url":"http://www.uadec.mx/hgut/","title":"Hôpital 3","text":"","button":""},{"index":"003","image":"/images/members/example.png","url":"http://clinicaandalucia.com.mx/index.php","title":"Hôpital 4","text":"","button":""},{"index":"004","image":"/images/members/example.png","url":"http://www.smsecc38.gob.mx/index.php/unidadtorreon","title":"Hôpital 5","text":"","button":""},{"index":"005","image":"/images/members/example.png","url":"http://www.hospitalcentromedicodelamujer.com/","title":"Hôpital 6","text":"","button":""},{"index":"006","image":"/images/members/example.png","url":"http://clubdeleones.com.mx/","title":"Hôpital 7","text":"","button":""},{"index":"007","image":"/images/members/example.png","url":"http://www.sanatoriosanjose.com/","title":"Hôpital 8","text":"","button":""},{"index":"008","image":"/images/members/example.png","url":"https://www.condomedics.com.mx/","title":"Hôpital 9","text":"","button":""}],"title":"Les membres","description":"À Laguna Medical Center, nous ne disposons que des institutions certifiées les plus prestigieuses, avec les meilleurs médecins et les plus qualifiés, pour vous fournir le meilleur service dont vous avez besoin.","keywords":["Tourisme médical","laguna","torreon","Mexique","Les membres"],"author":"Suresh Kumar Gadi","publisher":"https://plus.google.com/+SureshKumarGadi/posts","image":"https://lagunamedicalcenter.com/images/logo.jpg","twitter_creator":"@SureshKumarGadi","layout":"members","type":"static"}</v>
      </c>
    </row>
    <row r="2" spans="1:7" x14ac:dyDescent="0.3">
      <c r="A2" t="s">
        <v>7</v>
      </c>
      <c r="B2" t="s">
        <v>84</v>
      </c>
      <c r="C2" t="s">
        <v>78</v>
      </c>
      <c r="D2" t="s">
        <v>86</v>
      </c>
      <c r="E2" t="str">
        <f t="shared" ref="E2:G3" si="0">CHAR(34)&amp;$A2&amp;CHAR(34)&amp;":"&amp;CHAR(34)&amp;B2&amp;CHAR(34)&amp;","</f>
        <v>"title":"Members",</v>
      </c>
      <c r="F2" t="str">
        <f t="shared" si="0"/>
        <v>"title":"Miembros",</v>
      </c>
      <c r="G2" t="str">
        <f t="shared" si="0"/>
        <v>"title":"Les membres",</v>
      </c>
    </row>
    <row r="3" spans="1:7" x14ac:dyDescent="0.3">
      <c r="A3" t="s">
        <v>9</v>
      </c>
      <c r="B3" t="s">
        <v>753</v>
      </c>
      <c r="C3" t="s">
        <v>751</v>
      </c>
      <c r="D3" t="s">
        <v>752</v>
      </c>
      <c r="E3" t="str">
        <f t="shared" si="0"/>
        <v>"description":"In Laguna Medical Center we have only the most prestigious certified institutions with the best and most qualified doctors to give you the best service you need.",</v>
      </c>
      <c r="F3" t="str">
        <f t="shared" si="0"/>
        <v>"description":"En Laguna Medical Center contamos solo con las Instituciones certificadas de mayor prestigio y con los mejores y mas calificados médicos para darte el mejor servicio que necesitas.",</v>
      </c>
      <c r="G3" t="str">
        <f t="shared" si="0"/>
        <v>"description":"À Laguna Medical Center, nous ne disposons que des institutions certifiées les plus prestigieuses, avec les meilleurs médecins et les plus qualifiés, pour vous fournir le meilleur service dont vous avez besoin.",</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Members</v>
      </c>
      <c r="C8" t="str">
        <f>C2</f>
        <v>Miembros</v>
      </c>
      <c r="D8" t="str">
        <f>D2</f>
        <v>Les membres</v>
      </c>
      <c r="E8" t="str">
        <f>CHAR(34)&amp;B8&amp;CHAR(34)&amp;"],"</f>
        <v>"Members"],</v>
      </c>
      <c r="F8" t="str">
        <f>CHAR(34)&amp;C8&amp;CHAR(34)&amp;"],"</f>
        <v>"Miembros"],</v>
      </c>
      <c r="G8" t="str">
        <f>CHAR(34)&amp;D8&amp;CHAR(34)&amp;"],"</f>
        <v>"Les membres"],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ref="C12:D14" si="5">IF(ISBLANK(B12),"",B12)</f>
        <v>@SureshKumarGadi</v>
      </c>
      <c r="D12" t="str">
        <f t="shared" si="5"/>
        <v>@SureshKumarGadi</v>
      </c>
      <c r="E12" t="str">
        <f t="shared" si="4"/>
        <v>"twitter_creator":"@SureshKumarGadi",</v>
      </c>
      <c r="F12" t="str">
        <f t="shared" si="2"/>
        <v>"twitter_creator":"@SureshKumarGadi",</v>
      </c>
      <c r="G12" t="str">
        <f t="shared" si="2"/>
        <v>"twitter_creator":"@SureshKumarGadi",</v>
      </c>
    </row>
    <row r="13" spans="1:7" x14ac:dyDescent="0.3">
      <c r="A13" t="s">
        <v>259</v>
      </c>
      <c r="B13" t="s">
        <v>684</v>
      </c>
      <c r="C13" t="str">
        <f t="shared" si="5"/>
        <v>members</v>
      </c>
      <c r="D13" t="str">
        <f t="shared" si="5"/>
        <v>members</v>
      </c>
      <c r="E13" t="str">
        <f t="shared" si="4"/>
        <v>"layout":"members",</v>
      </c>
      <c r="F13" t="str">
        <f t="shared" si="2"/>
        <v>"layout":"members",</v>
      </c>
      <c r="G13" t="str">
        <f t="shared" si="2"/>
        <v>"layout":"members",</v>
      </c>
    </row>
    <row r="14" spans="1:7" x14ac:dyDescent="0.3">
      <c r="A14" t="s">
        <v>279</v>
      </c>
      <c r="B14" t="s">
        <v>280</v>
      </c>
      <c r="C14" t="str">
        <f t="shared" si="5"/>
        <v>static</v>
      </c>
      <c r="D14" t="str">
        <f t="shared" si="5"/>
        <v>static</v>
      </c>
      <c r="E14" t="str">
        <f t="shared" si="4"/>
        <v>"type":"static"</v>
      </c>
      <c r="F14" t="str">
        <f t="shared" si="2"/>
        <v>"type":"static"</v>
      </c>
      <c r="G14" t="str">
        <f t="shared" si="2"/>
        <v>"type":"static"</v>
      </c>
    </row>
    <row r="15" spans="1:7" x14ac:dyDescent="0.3">
      <c r="E15" t="str">
        <f t="shared" si="4"/>
        <v/>
      </c>
      <c r="F15" t="str">
        <f t="shared" si="2"/>
        <v/>
      </c>
      <c r="G15" t="str">
        <f t="shared" si="2"/>
        <v/>
      </c>
    </row>
    <row r="16" spans="1:7" x14ac:dyDescent="0.3">
      <c r="E16" t="str">
        <f t="shared" si="4"/>
        <v/>
      </c>
      <c r="F16" t="str">
        <f t="shared" si="2"/>
        <v/>
      </c>
      <c r="G16" t="str">
        <f t="shared" si="2"/>
        <v/>
      </c>
    </row>
    <row r="17" spans="5:7" x14ac:dyDescent="0.3">
      <c r="E17" t="str">
        <f t="shared" si="4"/>
        <v/>
      </c>
      <c r="F17" t="str">
        <f t="shared" si="2"/>
        <v/>
      </c>
      <c r="G17" t="str">
        <f t="shared" si="2"/>
        <v/>
      </c>
    </row>
    <row r="18" spans="5:7" x14ac:dyDescent="0.3">
      <c r="E18" t="str">
        <f t="shared" si="4"/>
        <v/>
      </c>
      <c r="F18" t="str">
        <f t="shared" si="2"/>
        <v/>
      </c>
      <c r="G18" t="str">
        <f t="shared" si="2"/>
        <v/>
      </c>
    </row>
    <row r="19" spans="5:7" x14ac:dyDescent="0.3">
      <c r="E19" t="str">
        <f t="shared" si="4"/>
        <v/>
      </c>
      <c r="F19" t="str">
        <f t="shared" si="2"/>
        <v/>
      </c>
      <c r="G19" t="str">
        <f t="shared" si="2"/>
        <v/>
      </c>
    </row>
    <row r="20" spans="5:7" x14ac:dyDescent="0.3">
      <c r="E20" t="str">
        <f t="shared" si="4"/>
        <v/>
      </c>
      <c r="F20" t="str">
        <f t="shared" si="2"/>
        <v/>
      </c>
      <c r="G20" t="str">
        <f t="shared" si="2"/>
        <v/>
      </c>
    </row>
    <row r="21" spans="5:7" x14ac:dyDescent="0.3">
      <c r="E21" t="str">
        <f t="shared" si="4"/>
        <v/>
      </c>
      <c r="F21" t="str">
        <f t="shared" si="2"/>
        <v/>
      </c>
      <c r="G21" t="str">
        <f t="shared" si="2"/>
        <v/>
      </c>
    </row>
    <row r="22" spans="5:7" x14ac:dyDescent="0.3">
      <c r="E22" t="str">
        <f t="shared" si="4"/>
        <v/>
      </c>
      <c r="F22" t="str">
        <f t="shared" si="2"/>
        <v/>
      </c>
      <c r="G22" t="str">
        <f t="shared" si="2"/>
        <v/>
      </c>
    </row>
    <row r="23" spans="5:7" x14ac:dyDescent="0.3">
      <c r="E23" t="str">
        <f t="shared" si="4"/>
        <v/>
      </c>
      <c r="F23" t="str">
        <f t="shared" si="2"/>
        <v/>
      </c>
      <c r="G23" t="str">
        <f t="shared" si="2"/>
        <v/>
      </c>
    </row>
    <row r="24" spans="5:7" x14ac:dyDescent="0.3">
      <c r="E24" t="str">
        <f t="shared" si="4"/>
        <v/>
      </c>
      <c r="F24" t="str">
        <f t="shared" si="2"/>
        <v/>
      </c>
      <c r="G24" t="str">
        <f t="shared" si="2"/>
        <v/>
      </c>
    </row>
    <row r="25" spans="5:7" x14ac:dyDescent="0.3">
      <c r="E25" t="str">
        <f t="shared" si="4"/>
        <v/>
      </c>
      <c r="F25" t="str">
        <f t="shared" si="4"/>
        <v/>
      </c>
      <c r="G25" t="str">
        <f t="shared" si="4"/>
        <v/>
      </c>
    </row>
    <row r="26" spans="5:7" x14ac:dyDescent="0.3">
      <c r="E26" t="str">
        <f t="shared" si="4"/>
        <v/>
      </c>
      <c r="F26" t="str">
        <f t="shared" si="4"/>
        <v/>
      </c>
      <c r="G26" t="str">
        <f t="shared" si="4"/>
        <v/>
      </c>
    </row>
    <row r="27" spans="5:7" x14ac:dyDescent="0.3">
      <c r="E27" t="str">
        <f t="shared" si="4"/>
        <v/>
      </c>
      <c r="F27" t="str">
        <f t="shared" si="4"/>
        <v/>
      </c>
      <c r="G27" t="str">
        <f t="shared" si="4"/>
        <v/>
      </c>
    </row>
    <row r="28" spans="5:7" x14ac:dyDescent="0.3">
      <c r="E28" t="str">
        <f t="shared" si="4"/>
        <v/>
      </c>
      <c r="F28" t="str">
        <f t="shared" si="4"/>
        <v/>
      </c>
      <c r="G28" t="str">
        <f t="shared" si="4"/>
        <v/>
      </c>
    </row>
    <row r="29" spans="5:7" x14ac:dyDescent="0.3">
      <c r="E29" t="str">
        <f t="shared" si="4"/>
        <v/>
      </c>
      <c r="F29" t="str">
        <f t="shared" si="4"/>
        <v/>
      </c>
      <c r="G29" t="str">
        <f t="shared" si="4"/>
        <v/>
      </c>
    </row>
    <row r="30" spans="5:7" x14ac:dyDescent="0.3">
      <c r="E30" t="str">
        <f t="shared" si="4"/>
        <v/>
      </c>
      <c r="F30" t="str">
        <f t="shared" si="4"/>
        <v/>
      </c>
      <c r="G30" t="str">
        <f t="shared" si="4"/>
        <v/>
      </c>
    </row>
    <row r="31" spans="5:7" x14ac:dyDescent="0.3">
      <c r="E31" t="str">
        <f t="shared" si="4"/>
        <v/>
      </c>
      <c r="F31" t="str">
        <f t="shared" si="4"/>
        <v/>
      </c>
      <c r="G31" t="str">
        <f t="shared" si="4"/>
        <v/>
      </c>
    </row>
    <row r="32" spans="5: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2C25417A-830D-4E58-9279-B81F4ADEBA22}"/>
    <hyperlink ref="B11" r:id="rId2" xr:uid="{C325996B-0194-4398-B0CC-F1BBDAD657C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24FF9-5112-4B94-9A9E-CCA92505E8B7}">
  <sheetPr codeName="Sheet12"/>
  <dimension ref="A1:G51"/>
  <sheetViews>
    <sheetView zoomScaleNormal="100" workbookViewId="0">
      <selection activeCell="D3" sqref="D3"/>
    </sheetView>
  </sheetViews>
  <sheetFormatPr defaultRowHeight="14.4" x14ac:dyDescent="0.3"/>
  <cols>
    <col min="1" max="1" width="25.109375" customWidth="1"/>
  </cols>
  <sheetData>
    <row r="1" spans="1:7" x14ac:dyDescent="0.3">
      <c r="A1" t="s">
        <v>3</v>
      </c>
      <c r="B1" t="s">
        <v>0</v>
      </c>
      <c r="C1" t="s">
        <v>1</v>
      </c>
      <c r="D1" t="s">
        <v>2</v>
      </c>
      <c r="E1" t="str">
        <f ca="1">"{"&amp;Procedures!M2&amp;_xlfn.CONCAT(E2:E500)&amp;"}"</f>
        <v>{"Procedures":[{"index":"000","image":"/images/medical-procedures/trasplante-renal.jpg","url":"","title":"Kidney transplant","text":"Kidney transplantation is the therapy of choice for most causes of terminal chronic renal failure because it improves quality of life and survival versus dialysis.","button":"Get quote"},{"index":"001","image":"/images/medical-procedures/nefrectomia.jpg","url":"","title":"Nephrectomy","text":"Nephrectomy is a surgical procedure that is done to remove all or part of the kidney.","button":"Get quote"},{"index":"002","image":"/images/medical-procedures/hemicolectomia.jpg","url":"","title":"Hemicolectomy","text":"Removal of half of the colon. It can be right or left hemicolectomy.","button":"Get quote"},{"index":"003","image":"/images/medical-procedures/funduplicatura.jpg","url":"","title":"Funduplication","text":"Fundoplication is the surgical procedure used to treat gastroesophageal reflux disease.","button":"Get quote"},{"index":"004","image":"/images/medical-procedures/discoidectomia.jpg","url":"","title":"Discoidectomy","text":"Discectomy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quote"},{"index":"006","image":"/images/medical-procedures/laminectomia-de-columna.jpg","url":"","title":"Laminectomy of column","text":"It is a surgery to remove the lamina. This is a part of the bone that constitutes a vertebra in the spine.","button":"Get quote"},{"index":"007","image":"/images/medical-procedures/protesis-de-rodilla.jpg","url":"","title":"Knee prosthesis","text":"The prostheses are reproductions of the bones of the knee area, metal, resins or ceramic materials, which are placed in the place of the joint.","button":"Get quote"},{"index":"008","image":"/images/medical-procedures/by-pass.jpg","url":"","title":"By pass","text":"Gastric bypass, also called, is a type of weight loss surgery that involves creating a small sac from the stomach and connecting the newly created sac directly with the small intestine.","button":"Get quote"},{"index":"009","image":"/images/medical-procedures/craneotomia.jpg","url":"","title":"Craniotomy","text":"Craniotomy is a surgical operation in which part of the skull, called a bone flap, is removed in order to access the brain.","button":"Get quote"},{"index":"010","image":"/images/medical-procedures/manga-gastrica.jpg","url":"","title":"Gastric sleeve","text":"In gastric sleeve surgery, a surgeon removes part of the stomach and builds a narrow tube or 'sleeve' with the rest.","button":"Get quote"},{"index":"011","image":"/images/medical-procedures/protesis-de-cadera.jpg","url":"","title":"Hip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quote"},{"index":"012","image":"/images/medical-procedures/artrodesis-de-rodilla.jpg","url":"","title":"Knee arthrodesis","text":"Knee arthrodesis is a procedure that fuses the thigh bone with the leg bone in the knee.","button":"Get quote"},{"index":"013","image":"/images/medical-procedures/mastectomia.jpg","url":"","title":"Mastectomy","text":"Mastectomy is a way to treat breast cancer by surgically removing the entire breast.","button":"Get quote"},{"index":"014","image":"/images/medical-procedures/prostatectomia.jpg","url":"","title":"Prostatectomy","text":"Prostatectomy (removal of the prostate) is surgery to remove the entire prostate gland and some tissues around it.","button":"Get quote"},{"index":"015","image":"/images/medical-procedures/ritidoplastia.jpg","url":"","title":"Rhytidoplasty","text":"Rhytidectomy is an aesthetic plastic surgery procedure that involves the surgical removal of skin wrinkles or rhytidosis.","button":"Get quote"},{"index":"016","image":"/images/medical-procedures/rtu-de-prostata.jpg","url":"","title":"Prostate Rtu","text":"Transurethral resection is a urological surgical procedure that consists in the removal of diseased tissues of the urethra, prostate and bladder by accessing them through the urethral lumen.","button":"Get quote"},{"index":"017","image":"/images/medical-procedures/plastia-de-pared.jpg","url":"","title":"Wall plasty","text":"Abdominal wall surgery is a procedure that improves the appearance of flaccid and stretched abdominal muscles and skin.","button":"Get quote"},{"index":"018","image":"/images/medical-procedures/histerectomia-radical.jpg","url":"","title":"Radical hysterectomy","text":"Surgery to remove the uterus, cervix and part of the vagina. The ovaries, fallopian tubes and nearby lymph nodes can also be removed.","button":"Get quote"},{"index":"019","image":"/images/medical-procedures/tiroidectomia.jpg","url":"","title":"Thyroidectomy","text":"Thyroidectomy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quote"},{"index":"021","image":"/images/medical-procedures/artroscopia-de-hombro.jpg","url":"","title":"Shoulder arthroscopy","text":"It is a surgery in which a small camera called an arthroscope is used to examine or repair the tissues in or around the shoulder joint.","button":"Get quote"},{"index":"022","image":"/images/medical-procedures/artroscopia-de-rodilla.jpg","url":"","title":"Knee arthroscopy","text":"It is surgery in which a tiny camera is used to observe inside the knee.","button":"Get quote"},{"index":"023","image":"/images/medical-procedures/histerectomia-abdominal.jpg","url":"","title":"Abdominal hysterectomy","text":"An abdominal hysterectomy is a surgical procedure where the uterus is removed through an incision in the lower abdomen.","button":"Get quote"},{"index":"024","image":"/images/medical-procedures/histerectomia-vaginal.jpg","url":"","title":"Vaginal hysterectomy","text":"Vaginal hysterectomy is a surgical procedure to remove the uterus through the vagina.","button":"Get quote"},{"index":"025","image":"/images/medical-procedures/laparotomia.jpg","url":"","title":"Laparotomy","text":"It is surgery to examine the organs and structures of the belly area. These include your appendix, bladder, gallbladder, intestines, kidney, liver, pancreas, among others.","button":"Get quote"},{"index":"026","image":"/images/medical-procedures/mastopexia.jpg","url":"","title":"Mastopexy","text":"Mastopexy is a surgical intervention that consists in the elevation and remodeling of the breasts.","button":"Get quote"},{"index":"027","image":"/images/medical-procedures/pexia-mamaria.jpg","url":"","title":"Breast pexy","text":"The mammary pexia is a surgical procedure designed to correct the position and improve the general appearance of the breasts.","button":"Get quote"},{"index":"028","image":"/images/medical-procedures/reseccion-de-quiste-de-ovario.jpg","url":"","title":"Resection of ovarian cyst","text":"The surgery is used to confirm the diagnosis of ovarian cyst, remove a cyst that is causing symptoms and rule out ovarian cancer.","button":"Get quote"},{"index":"029","image":"/images/medical-procedures/cuadrantectomia-de-mama.jpg","url":"","title":"Breast quadrantectomy","text":"Surgical operation to remove the cancer and some of the tissue that surrounds it, but not the breast. Some lymph nodes under the arm may be removed to make a biopsy.","button":"Get quote"},{"index":"030","image":"/images/medical-procedures/ooforectomia.jpg","url":"","title":"Oophorectomy","text":"An oophorectomy is a surgical procedure to remove an ovary or both.","button":"Get quote"},{"index":"031","image":"/images/medical-procedures/plastia-de-ligamento-cruzado.jpg","url":"","title":"Cross ligament plasty","text":"It is a surgery to reconstruct the ligament that is in the center of the knee.","button":"Get quote"},{"index":"032","image":"/images/medical-procedures/liposuccion.jpg","url":"","title":"Liposuction","text":"Liposuction is a surgical technique that is used in cosmetic surgery and that allows a remodeling of the silhouette through the extraction of fat or adipose tissue.","button":"Get quote"},{"index":"033","image":"/images/medical-procedures/meniscectomia.jpg","url":"","title":"Meniscectomy","text":"Minimally invasive surgery allows the meniscus lesion to be removed and stabilized","button":"Get quote"},{"index":"034","image":"/images/medical-procedures/mentoplastia.jpg","url":"","title":"Mentoplasty","text":"Mentoplasty is a surgical procedure that seeks through various means to achieve an increase in chin projection.","button":"Get quote"},{"index":"035","image":"/images/medical-procedures/miomectomia.jpg","url":"","title":"Myomectomy","text":"Myomectomy, sometimes also fibroectomy, refers to the surgical removal of uterine leiomyomas, also known as fibroids.","button":"Get quote"},{"index":"036","image":"/images/medical-procedures/mastoidectomia.jpg","url":"","title":"Mastoidectomy","text":"A mastoidectomy is a procedure performed to remove the mastoid air cells.","button":"Get quote"},{"index":"037","image":"/images/medical-procedures/microlaringoscopia.jpg","url":"","title":"Microlaryngoscopy","text":"It consists of the introduction of a metallic tube in the larynx under microscopic control.","button":"Get quote"},{"index":"038","image":"/images/medical-procedures/safenectomia-bilateral.jpg","url":"","title":"Bilateral saphenectomy","text":"Bilateral saphenectomy involves removing the saphenous vein from both legs.","button":"Get quote"},{"index":"039","image":"/images/medical-procedures/osteotomia.jpg","url":"","title":"Osteotomy of the femur and tibia","text":"The osteotomy consists of making a partial cut in the bone, either in the femur or in the tibia.","button":"Get quote"},{"index":"040","image":"/images/medical-procedures/plastia-vaginales.jpg","url":"","title":"Vaginal plasty","text":"It is a surgical procedure. This surgery tightens the front wall of the vagina.","button":"Get quote"},{"index":"041","image":"/images/medical-procedures/rinoseptumplastia.jpg","url":"","title":"Rhinoplasty","text":"Surgery to improve the shape of the nose.","button":"Get quote"},{"index":"042","image":"/images/medical-procedures/hernioplastia.jpg","url":"","title":"Hernioplasty","text":"Umbilical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quote"},{"index":"043","image":"/images/medical-procedures/ureterolitotripsia.jpg","url":"","title":"Ureterolitotripsia","text":"Ureteroscopy is an intervention to examine the inside of the kidney and the ureter by means of a uteroscope.","button":"Get quote"},{"index":"044","image":"/images/medical-procedures/hemorroidectomia.jpg","url":"","title":"Hemorrhoidectomy","text":"It is known as hemorrhoidectomy to the surgical procedure of hemorrhoid removal.","button":"Get quote"},{"index":"045","image":"/images/medical-procedures/histerolaparoscopia.jpg","url":"","title":"Hysteroscopy","text":"Hysteroscopy is a clinical procedure that allows a gynecologist to see the inside of the uterus through an endoscopy.","button":"Get quote"},{"index":"046","image":"/images/medical-procedures/septumplastia.jpg","url":"","title":"Septuplasty","text":"Septuplasty is surgery that is performed to correct deformities or deviations of the nasal septum, also called nasal septum.","button":"Get quote"},{"index":"047","image":"/images/medical-procedures/orquiectomia.jpg","url":"","title":"Orchiectomy","text":"Orchiectomy is the term that is used in medicine to designate the surgical extirpation, total or partial, of one or both testicles.","button":"Get quote"},{"index":"048","image":"/images/medical-procedures/osteotomia-de-tibia.jpg","url":"","title":"Tibial osteotomy","text":"It is an operation designed to change the position and alignment of the leg bone.","button":"Get quote"},{"index":"049","image":"/images/medical-procedures/otoplastia.jpg","url":"","title":"Otoplasty","text":"Otoplasty is a surgery in which the deformities of the ear are resolved.","button":"Get quote"},{"index":"050","image":"/images/medical-procedures/palatoplastia.jpg","url":"","title":"Palatoplasty","text":"Palatoplasty is a surgical procedure used to correct or reconstruct the palate in a person with cleft palate.","button":"Get quote"},{"index":"051","image":"/images/medical-procedures/rinoplastia.jpg","url":"","title":"Rhinoplasty","text":"Rhinoplasty is a surgical procedure in which the aesthetic problems of the nose, such as the osseous hump, the bone protruding from the back of the nose, are mainly solved.","button":"Get quote"},{"index":"052","image":"/images/medical-procedures/adenoamigdalectomia.jpg","url":"","title":"Adenoamigdalectomy","text":"The adenoamigdalectomía is the intervention that is made to extirpate the tonsils and the adenoideas vegetations.","button":"Get quote"},{"index":"053","image":"/images/medical-procedures/safenectomia.jpg","url":"","title":"Safenectomy","text":"Surgical removal of the saphenous vein. It is usually used as a surgical treatment for varicose veins and for obtaining venous grafts in coronary artery interventions.","button":"Get quote"},{"index":"054","image":"/images/medical-procedures/amigdalectomia.jpg","url":"","title":"Tonsillectomy","text":"Tonsillectomy involves the surgical removal of the tonsils. This surgical intervention is carried out by the otolaryngologist.","button":"Get quote"},{"index":"055","image":"/images/medical-procedures/varicocelectomia.jpg","url":"","title":"Varicocelectomy","text":"The varicocelectomy is the surgical intervention that allows to alleviate the problems caused by the varicocele.","button":"Get quote"},{"index":"056","image":"/images/medical-procedures/hidrocelectomia.jpg","url":"","title":"Hydrocelectomy","text":"A hydrocele is a type of swelling of the scrotum that occurs when fluid accumulates in the thin lining around the testicle.","button":"Get quote"},{"index":"057","image":"/images/medical-procedures/reseccion-de-fibroadenoma-mamario.jpg","url":"","title":"Resection of fibroadenoma mammary","text":"The removal of a breast tumor is surgery to remove a tumor that may be breast cancer.","button":"Get quote"}],"title":"Packages","description":"All prices of our packages are in US dollars (USD) and include: The round trip for the patient and a companion, the cost of surgery, hospital, hotel, meals and insurance.","keywords":["Medical tourism","laguna","torreon","mexico","Packages"],"author":"Suresh Kumar Gadi","publisher":"https://plus.google.com/+SureshKumarGadi/posts","image":"https://lagunamedicalcenter.com/images/logo.jpg","twitter_creator":"@SureshKumarGadi","layout":"packages","type":"static"}</v>
      </c>
      <c r="F1" t="str">
        <f ca="1">"{"&amp;Procedures!N2&amp;_xlfn.CONCAT(F2:F500)&amp;"}"</f>
        <v>{"Procedures":[{"index":"000","image":"/images/medical-procedures/trasplante-renal.jpg","url":"","title":"Trasplante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cotización"},{"index":"001","image":"/images/medical-procedures/nefrectomia.jpg","url":"","title":"Nefrectomía","text":"La nefrectomía es un procedimiento quirúrgico que se realiza para extirpar todo el riñón o parte de este.","button":"Consigue una cotización"},{"index":"002","image":"/images/medical-procedures/hemicolectomia.jpg","url":"","title":"Hemicolectomía","text":"Extirpación de la mitad del colon. Puede ser hemicolectomía derecha o izquierda.","button":"Consigue una cotización"},{"index":"003","image":"/images/medical-procedures/funduplicatura.jpg","url":"","title":"Funduplicatura","text":"La funduplicatura es el procedimiento quirúrgico usado para tratar la enfermedad por reflujo gastroesofágico. ","button":"Consigue una cotización"},{"index":"004","image":"/images/medical-procedures/discoidectomia.jpg","url":"","title":"Discectomía","text":"La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cotización"},{"index":"006","image":"/images/medical-procedures/laminectomia-de-columna.jpg","url":"","title":"Laminectomía de columna","text":"Es una cirugía para extirpar la lámina. Esta es una parte del hueso que constituye una vértebra en la columna. ","button":"Consigue una cotización"},{"index":"007","image":"/images/medical-procedures/protesis-de-rodilla.jpg","url":"","title":"Prótesis de rodilla","text":"Las prótesis son reproducciones de los huesos de la zona de la rodilla, de metal, resinas o materiales cerámicos, que se colocan en el lugar de la articulación.","button":"Consigue una cotización"},{"index":"008","image":"/images/medical-procedures/by-pass.jpg","url":"","title":"By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cotización"},{"index":"009","image":"/images/medical-procedures/craneotomia.jpg","url":"","title":"Craneotomía","text":"Craneotomía es una operación quirúrgica en que parte del cráneo, llamado colgajo óseo, se extrae con el fin de acceder al cerebro.","button":"Consigue una cotización"},{"index":"010","image":"/images/medical-procedures/manga-gastrica.jpg","url":"","title":"Manga gástrica","text":"En la cirugía de manga gástrica, un cirujano extrae parte del estómago y construye un tubo estrecho o 'manga' con el resto. ","button":"Consigue una cotización"},{"index":"011","image":"/images/medical-procedures/protesis-de-cadera.jpg","url":"","title":"Prótesis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cotización"},{"index":"012","image":"/images/medical-procedures/artrodesis-de-rodilla.jpg","url":"","title":"Artrodesis de rodilla","text":"La artrodesis de rodilla es un procedimiento que fusiona el hueso del muslo con el hueso de la pierna en la rodilla. ","button":"Consigue una cotización"},{"index":"013","image":"/images/medical-procedures/mastectomia.jpg","url":"","title":"Mastectomía","text":"La mastectomía es una manera de tratar el cáncer de seno mediante la extirpación quirúrgica de todo el seno. ","button":"Consigue una cotización"},{"index":"014","image":"/images/medical-procedures/prostatectomia.jpg","url":"","title":"Prostatectomía","text":"La prostatectomía (extracción de la próstata) es la cirugía para extirpar toda la glándula prostática y algunos tejidos alrededor de esta. ","button":"Consigue una cotización"},{"index":"015","image":"/images/medical-procedures/ritidoplastia.jpg","url":"","title":"Ritidoplastia","text":"La ritidoplastia es un procedimiento de cirugía plástica estética que consiste en la eliminación quirúrgica de arrugas de la piel o ritidosis.","button":"Consigue una cotización"},{"index":"016","image":"/images/medical-procedures/rtu-de-prostata.jpg","url":"","title":"Rtu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cotización"},{"index":"017","image":"/images/medical-procedures/plastia-de-pared.jpg","url":"","title":"Plastia de pared","text":"La cirugía de la pared abdominal es un procedimiento que mejora la apariencia de los músculos y piel abdominales flácidos y estirados.","button":"Consigue una cotización"},{"index":"018","image":"/images/medical-procedures/histerectomia-radical.jpg","url":"","title":"Histerectomía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cotización"},{"index":"022","image":"/images/medical-procedures/artroscopia-de-rodilla.jpg","url":"","title":"Artroscopia de rodilla","text":"Es la cirugía en la cual se utiliza una cámara diminuta para observar dentro de la rodilla.","button":"Consigue una cotización"},{"index":"023","image":"/images/medical-procedures/histerectomia-abdominal.jpg","url":"","title":"Histerectomía abdominal","text":"Una histerectomía abdominal es un procedimiento quirúrgico donde se extirpa el útero a través de una incisión en la parte inferior del abdomen. ","button":"Consigue una cotización"},{"index":"024","image":"/images/medical-procedures/histerectomia-vaginal.jpg","url":"","title":"Histerectomía vaginal","text":"La histerectomía vaginal es un procedimiento quirúrgico para extirpar el útero a través de la vagina. ","button":"Consigue una cotización"},{"index":"025","image":"/images/medical-procedures/laparotomia.jpg","url":"","title":"Laparotomía","text":"Es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cotización"},{"index":"026","image":"/images/medical-procedures/mastopexia.jpg","url":"","title":"Mastopexia","text":"La mastopexia es una intervención quirúrgica que consiste en la elevación y remodelación de las mamas. ","button":"Consigue una cotización"},{"index":"027","image":"/images/medical-procedures/pexia-mamaria.jpg","url":"","title":"Pexia mamaria","text":"La pexia mamaria es un procedimiento quirúrgico destinado a corregir la posición y mejorar el aspecto general de las mamas.","button":"Consigue una cotización"},{"index":"028","image":"/images/medical-procedures/reseccion-de-quiste-de-ovario.jpg","url":"","title":"Resección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cotización"},{"index":"030","image":"/images/medical-procedures/ooforectomia.jpg","url":"","title":"Ooforectomía","text":"Una ooforectomía es un procedimiento quirúrgico para extirpar un ovario o ambos.","button":"Consigue una cotización"},{"index":"031","image":"/images/medical-procedures/plastia-de-ligamento-cruzado.jpg","url":"","title":"Plastia de ligamento cruzado","text":"Es una cirugía para reconstruir el ligamento que se encuentra en el centro de la rodilla.","button":"Consigue una cotización"},{"index":"032","image":"/images/medical-procedures/liposuccion.jpg","url":"","title":"Liposucción","text":"La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cotización"},{"index":"033","image":"/images/medical-procedures/meniscectomia.jpg","url":"","title":"Meniscectomia","text":"Cirugía mínimamente invasiva permite remover y estabilizar la lesión del menisco","button":"Consigue una cotización"},{"index":"034","image":"/images/medical-procedures/mentoplastia.jpg","url":"","title":"Mentoplastía","text":"La mentoplastia es un procedimiento quirúrgico que busca mediante diversos medios lograr un aumento en la proyección del mentón.","button":"Consigue una cotización"},{"index":"035","image":"/images/medical-procedures/miomectomia.jpg","url":"","title":"Miomectomía","text":"La miomectomía, a veces también la fibroectomía, se refiere a la extirpación quirúrgica de los leiomiomas uterinos, también conocidos como fibromas.","button":"Consigue una cotización"},{"index":"036","image":"/images/medical-procedures/mastoidectomia.jpg","url":"","title":"Mastoidectomía","text":"Una mastoidectomía es un procedimiento que se realiza para extraer las células aéreas mastoideas.","button":"Consigue una cotización"},{"index":"037","image":"/images/medical-procedures/microlaringoscopia.jpg","url":"","title":"Microlaringoscopía","text":"Consiste en la introducción de un tubo metálico en la laringe bajo control microscópico .","button":"Consigue una cotización"},{"index":"038","image":"/images/medical-procedures/safenectomia-bilateral.jpg","url":"","title":"Safenectomía bilateral","text":"La safenectomía bilateral consiste en quitar la vena safena de las dos piernas.","button":"Consigue una cotización"},{"index":"039","image":"/images/medical-procedures/osteotomia.jpg","url":"","title":"Osteotomía de fémur y tibia","text":"La osteotomía consiste en realizar un corte parcial en el hueso, ya sea en el fémur o en la tibia.","button":"Consigue una cotización"},{"index":"040","image":"/images/medical-procedures/plastia-vaginales.jpg","url":"","title":"Plastia vaginales","text":"Es un procedimiento quirúrgico. Esta cirugía tensa la pared frontal de la vagina.","button":"Consigue una cotización"},{"index":"041","image":"/images/medical-procedures/rinoseptumplastia.jpg","url":"","title":"Rinoseptumplastía","text":"Cirugía para mejorar la forma de la nariz.","button":"Consigue una cotización"},{"index":"042","image":"/images/medical-procedures/hernioplastia.jpg","url":"","title":"Hernioplastía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cotización"},{"index":"043","image":"/images/medical-procedures/ureterolitotripsia.jpg","url":"","title":"Ureterolitotripsia ","text":"La ureteroscopia es una intervención para examinar el interior del riñon y el uréter por medio de un uteroscopio.","button":"Consigue una cotización"},{"index":"044","image":"/images/medical-procedures/hemorroidectomia.jpg","url":"","title":"Hemorroidectomía","text":"Se conoce como hemorroidectomia al procedimiento quirúrgico de extirpación de las hemorroides.","button":"Consigue una cotización"},{"index":"045","image":"/images/medical-procedures/histerolaparoscopia.jpg","url":"","title":"Histerolaparoscopia","text":"La histeroscopia es un procedimiento clínico que le permite a un ginecólogo ver el interior del útero por medio de una endoscopia.","button":"Consigue una cotización"},{"index":"046","image":"/images/medical-procedures/septumplastia.jpg","url":"","title":"Septumplastía","text":"La septumplastia es la cirugía que se realiza para corregir las deformidades o desviaciones del tabique nasal, también llamado septum nasal.","button":"Consigue una cotización"},{"index":"047","image":"/images/medical-procedures/orquiectomia.jpg","url":"","title":"Orquiectomía","text":"Orquiectomía es el término que se usa en medicina para designar la extirpación quirúrgica, total o parcial, de uno o de los dos testículos.","button":"Consigue una cotización"},{"index":"048","image":"/images/medical-procedures/osteotomia-de-tibia.jpg","url":"","title":"Osteotomía de tibia","text":"Es una operación diseñada para cambiar la posición y alineación del hueso de la pierna.","button":"Consigue una cotización"},{"index":"049","image":"/images/medical-procedures/otoplastia.jpg","url":"","title":"Otoplastía","text":"La otoplastia es una cirugía en la cual se resuelven las deformidades de la oreja.","button":"Consigue una cotización"},{"index":"050","image":"/images/medical-procedures/palatoplastia.jpg","url":"","title":"Palatoplastía","text":"La palatoplastia es un procedimiento quirúrgico que se usa para corregir o reconstruir el paladar en una persona con paladar hendido.","button":"Consigue una cotización"},{"index":"051","image":"/images/medical-procedures/rinoplastia.jpg","url":"","title":"Rinoplastía","text":"La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cotización"},{"index":"052","image":"/images/medical-procedures/adenoamigdalectomia.jpg","url":"","title":"Adenoamigdalectomía","text":"La adenoamigdalectomía es la intervención que se realiza para extirpar las amígdalas y las vegetaciones adenoideas.","button":"Consigue una cotización"},{"index":"053","image":"/images/medical-procedures/safenectomia.jpg","url":"","title":"Safenectomía","text":"Extracción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cotización"},{"index":"054","image":"/images/medical-procedures/amigdalectomia.jpg","url":"","title":"Amigdalectomía","text":"La amigdalectomía consiste en la extirpación quirúrgica de las amígdalas. Esta intervención quirúrgica la lleva a cabo el otorrinolaringólogo.","button":"Consigue una cotización"},{"index":"055","image":"/images/medical-procedures/varicocelectomia.jpg","url":"","title":"Varicocelectomía","text":"La varicocelectomía es la intervención quirúrgica que permite aliviar los problemas causados por el varicocele.","button":"Consigue una cotización"},{"index":"056","image":"/images/medical-procedures/hidrocelectomia.jpg","url":"","title":"Hidrocelectomía","text":"Un hidrocele es un tipo de inflamación del escroto que ocurre cuando se acumula líquido en el recubrimiento delgado que rodea el testículo.","button":"Consigue una cotización"},{"index":"057","image":"/images/medical-procedures/reseccion-de-fibroadenoma-mamario.jpg","url":"","title":"Resección de fibroadenoma mamario","text":"La extirpación de un tumor mamario es la cirugía para extirpar un tumor que puede ser cáncer de mama.","button":"Consigue una cotización"}],"title":"Paquetes","description":"Todos los precios de nuestros paquetes están en dólares americanos (USD) e incluyen: El viaje redondo para el paciente y un acompañante, el costo de la cirugía, el hospital, el hotel, las comidas y los seguros.","keywords":["Turismo médico","laguna","torreon","mexico","Paquetes"],"author":"Suresh Kumar Gadi","publisher":"https://plus.google.com/+SureshKumarGadi/posts","image":"https://lagunamedicalcenter.com/images/logo.jpg","twitter_creator":"@SureshKumarGadi","layout":"packages","type":"static"}</v>
      </c>
      <c r="G1" t="str">
        <f ca="1">"{"&amp;Procedures!O2&amp;_xlfn.CONCAT(G2:G500)&amp;"}"</f>
        <v>{"Procedures":[{"index":"000","image":"/images/medical-procedures/trasplante-renal.jpg","url":"","title":"Greffe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devis"},{"index":"001","image":"/images/medical-procedures/nefrectomia.jpg","url":"","title":"Néphrectomie","text":"La néphrectomie est une intervention chirurgicale qui consiste à enlever tout ou partie du rein.","button":"Obtenir un devis"},{"index":"002","image":"/images/medical-procedures/hemicolectomia.jpg","url":"","title":"Hémicolectomie","text":"Enlèvement de la moitié du côlon. Il peut s'agir d'une hémicolectomie droite ou gauche.","button":"Obtenir un devis"},{"index":"003","image":"/images/medical-procedures/funduplicatura.jpg","url":"","title":"Fonduplication","text":"La Fundoplication est la procédure chirurgicale utilisée pour traiter le reflux gastro-oesophagien.","button":"Obtenir un devis"},{"index":"004","image":"/images/medical-procedures/discoidectomia.jpg","url":"","title":"Discectomie","text":"La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devis"},{"index":"006","image":"/images/medical-procedures/laminectomia-de-columna.jpg","url":"","title":"Laminectomie de colonne","text":"C'est une opération pour enlever le lamina. C'est une partie de l'os qui constitue une vertèbre dans la colonne vertébrale.","button":"Obtenir un devis"},{"index":"007","image":"/images/medical-procedures/protesis-de-rodilla.jpg","url":"","title":"Prothèse de genou","text":"Les prothèses sont des reproductions des os de la région du genou, du métal, des résines ou des matériaux céramiques, qui sont placées à la place de l'articulation.","button":"Obtenir un devis"},{"index":"008","image":"/images/medical-procedures/by-pass.jpg","url":"","title":"Par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devis"},{"index":"009","image":"/images/medical-procedures/craneotomia.jpg","url":"","title":"Craniotomie","text":"La craniotomie est une opération chirurgicale au cours de laquelle une partie du crâne, appelée lambeau osseux, est retirée afin d'accéder au cerveau.","button":"Obtenir un devis"},{"index":"010","image":"/images/medical-procedures/manga-gastrica.jpg","url":"","title":"Manche gastrique","text":"En chirurgie gastrique, un chirurgien enlève une partie de l'estomac et construit un tube étroit ou 'manche' avec le reste.","button":"Obtenir un devis"},{"index":"011","image":"/images/medical-procedures/protesis-de-cadera.jpg","url":"","title":"Prothèse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devis"},{"index":"012","image":"/images/medical-procedures/artrodesis-de-rodilla.jpg","url":"","title":"Arthrodèse du genou","text":"L'arthrodèse du genou est une procédure qui fusionne l'os de la cuisse avec l'os de la jambe dans le genou.","button":"Obtenir un devis"},{"index":"013","image":"/images/medical-procedures/mastectomia.jpg","url":"","title":"Mastectomie","text":"La mastectomie est un moyen de traiter le cancer du sein en retirant chirurgicalement tout le sein.","button":"Obtenir un devis"},{"index":"014","image":"/images/medical-procedures/prostatectomia.jpg","url":"","title":"Prostatectomie","text":"La prostatectomie (ablation de la prostate) est une intervention chirurgicale qui consiste à enlever toute la prostate et certains tissus qui l'entourent.","button":"Obtenir un devis"},{"index":"015","image":"/images/medical-procedures/ritidoplastia.jpg","url":"","title":"Rhytidoplastie","text":"La rhytidectomie est une procédure de chirurgie plastique esthétique qui consiste à enlever chirurgicalement les rides de la peau ou la rhytidose.","button":"Obtenir un devis"},{"index":"016","image":"/images/medical-procedures/rtu-de-prostata.jpg","url":"","title":"Prostate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devis"},{"index":"017","image":"/images/medical-procedures/plastia-de-pared.jpg","url":"","title":"Plastie murale","text":"La chirurgie de la paroi abdominale est une procédure qui améliore l'apparence des muscles et de la peau abdominaux flasques et étirés.","button":"Obtenir un devis"},{"index":"018","image":"/images/medical-procedures/histerectomia-radical.jpg","url":"","title":"Hystérectomie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devis"},{"index":"022","image":"/images/medical-procedures/artroscopia-de-rodilla.jpg","url":"","title":"Arthroscopie du genou","text":"C'est une intervention chirurgicale dans laquelle une minuscule caméra est utilisée pour observer l'intérieur du genou.","button":"Obtenir un devis"},{"index":"023","image":"/images/medical-procedures/histerectomia-abdominal.jpg","url":"","title":"Hystérectomie abdominale","text":"Une hystérectomie abdominale est une intervention chirurgicale au cours de laquelle l'utérus est prélevé par une incision dans le bas de l'abdomen.","button":"Obtenir un devis"},{"index":"024","image":"/images/medical-procedures/histerectomia-vaginal.jpg","url":"","title":"Hystérectomie vaginale","text":"L'hystérectomie vaginale est une intervention chirurgicale visant à enlever l'utérus par le vagin.","button":"Obtenir un devis"},{"index":"025","image":"/images/medical-procedures/laparotomia.jpg","url":"","title":"La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devis"},{"index":"026","image":"/images/medical-procedures/mastopexia.jpg","url":"","title":"Mastopexie","text":"La mastopexie est une intervention chirurgicale qui consiste en une élévation et un remodelage des seins.","button":"Obtenir un devis"},{"index":"027","image":"/images/medical-procedures/pexia-mamaria.jpg","url":"","title":"Pexy poitrine","text":"Le pexia mammaire est une intervention chirurgicale conçue pour corriger la position et améliorer l’aspect général des seins.","button":"Obtenir un devis"},{"index":"028","image":"/images/medical-procedures/reseccion-de-quiste-de-ovario.jpg","url":"","title":"Résection du kyste ovarien","text":"La chirurgie sert à confirmer le diagnostic de kyste ovarien, à éliminer un kyste à l'origine des symptômes et à exclure le cancer de l'ovaire.","button":"Obtenir un devis"},{"index":"029","image":"/images/medical-procedures/cuadrantectomia-de-mama.jpg","url":"","title":"Quadrantectomie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devis"},{"index":"030","image":"/images/medical-procedures/ooforectomia.jpg","url":"","title":"Ovariectomie","text":"Une ovariectomie est une intervention chirurgicale visant à enlever un ovaire ou les deux.","button":"Obtenir un devis"},{"index":"031","image":"/images/medical-procedures/plastia-de-ligamento-cruzado.jpg","url":"","title":"Plastie ligament croisé","text":"C'est une chirurgie pour reconstruire le ligament qui se trouve au centre du genou.","button":"Obtenir un devis"},{"index":"032","image":"/images/medical-procedures/liposuccion.jpg","url":"","title":"Liposuccion","text":"La liposuccion est une technique chirurgicale utilisée en chirurgie esthétique et qui permet de remodeler la silhouette par extraction de tissu adipeux ou adipeux.","button":"Obtenir un devis"},{"index":"033","image":"/images/medical-procedures/meniscectomia.jpg","url":"","title":"Méniscectomie","text":"La chirurgie mini-invasive permet d'éliminer et de stabiliser la lésion méniscale","button":"Obtenir un devis"},{"index":"034","image":"/images/medical-procedures/mentoplastia.jpg","url":"","title":"Mentoplastie","text":"La mentoplastie est une intervention chirurgicale qui vise, par différents moyens, à augmenter la projection du menton.","button":"Obtenir un devis"},{"index":"035","image":"/images/medical-procedures/miomectomia.jpg","url":"","title":"Myomectomie","text":"La myomectomie, parfois aussi la fibroectomie, fait référence à l'ablation chirurgicale des léiomyomes utérins, également appelés fibromes.","button":"Obtenir un devis"},{"index":"036","image":"/images/medical-procedures/mastoidectomia.jpg","url":"","title":"Mastoïdectomie","text":"Une mastoïdectomie est une procédure réalisée pour retirer les cellules mastoïdiennes.","button":"Obtenir un devis"},{"index":"037","image":"/images/medical-procedures/microlaringoscopia.jpg","url":"","title":"Microlaryngoscopie","text":"Il consiste en l'introduction d'un tube métallique dans le larynx sous contrôle microscopique.","button":"Obtenir un devis"},{"index":"038","image":"/images/medical-procedures/safenectomia-bilateral.jpg","url":"","title":"Saphénectomie bilatérale","text":"La saphénectomie bilatérale consiste à retirer la veine saphène des deux jambes.","button":"Obtenir un devis"},{"index":"039","image":"/images/medical-procedures/osteotomia.jpg","url":"","title":"Ostéotomie du fémur et du tibia","text":"L'ostéotomie consiste à pratiquer une incision partielle dans l'os, soit dans le fémur, soit dans le tibia.","button":"Obtenir un devis"},{"index":"040","image":"/images/medical-procedures/plastia-vaginales.jpg","url":"","title":"Plastie vaginale","text":"C'est une intervention chirurgicale. Cette opération resserre la paroi avant du vagin.","button":"Obtenir un devis"},{"index":"041","image":"/images/medical-procedures/rinoseptumplastia.jpg","url":"","title":"Rhinoplastie","text":"Chirurgie pour améliorer la forme du nez.","button":"Obtenir un devis"},{"index":"042","image":"/images/medical-procedures/hernioplastia.jpg","url":"","title":"Hernioplastie","text":"Hernioplastie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devis"},{"index":"043","image":"/images/medical-procedures/ureterolitotripsia.jpg","url":"","title":"Ureterolitotripsia","text":"L'urétéroscopie est une intervention consistant à examiner l'intérieur du rein et de l'uretère à l'aide d'un utéroscope.","button":"Obtenir un devis"},{"index":"044","image":"/images/medical-procedures/hemorroidectomia.jpg","url":"","title":"Hémorroïdectomie","text":"Il est connu sous le nom d’hémorroïdectomie lors d’une intervention chirurgicale consistant à enlever les hémorroïdes.","button":"Obtenir un devis"},{"index":"045","image":"/images/medical-procedures/histerolaparoscopia.jpg","url":"","title":"Hystéroscopie","text":"L'hystéroscopie est une procédure clinique qui permet à un gynécologue de voir l'intérieur de l'utérus par endoscopie.","button":"Obtenir un devis"},{"index":"046","image":"/images/medical-procedures/septumplastia.jpg","url":"","title":"Septuplastie","text":"La septuplastie est une intervention chirurgicale visant à corriger les déformations ou déviations de la cloison nasale, également appelée septum nasal.","button":"Obtenir un devis"},{"index":"047","image":"/images/medical-procedures/orquiectomia.jpg","url":"","title":"Orchidectomie","text":"Orchiectomie est le terme utilisé en médecine pour désigner l'extirpation chirurgicale totale ou partielle d'un ou des deux testicules.","button":"Obtenir un devis"},{"index":"048","image":"/images/medical-procedures/osteotomia-de-tibia.jpg","url":"","title":"Ostéotomie tibiale","text":"C'est une opération conçue pour changer la position et l'alignement de l'os de la jambe.","button":"Obtenir un devis"},{"index":"049","image":"/images/medical-procedures/otoplastia.jpg","url":"","title":"Otoplastie","text":"L'otoplastie est une intervention chirurgicale dans laquelle les déformations de l'oreille sont résolues.","button":"Obtenir un devis"},{"index":"050","image":"/images/medical-procedures/palatoplastia.jpg","url":"","title":"Palatoplastie","text":"La palatoplastie est une intervention chirurgicale utilisée pour corriger ou reconstruire le palais chez une personne souffrant de fente palatine.","button":"Obtenir un devis"},{"index":"051","image":"/images/medical-procedures/rinoplastia.jpg","url":"","title":"Rhinoplastie","text":"La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devis"},{"index":"052","image":"/images/medical-procedures/adenoamigdalectomia.jpg","url":"","title":"Adénoamigdalectomie","text":"L'adenoamigdalectomía est l'intervention qui consiste à extirper les amygdales et les végétations adénoïdiennes.","button":"Obtenir un devis"},{"index":"053","image":"/images/medical-procedures/safenectomia.jpg","url":"","title":"Safénectomie","text":"Ablation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devis"},{"index":"054","image":"/images/medical-procedures/amigdalectomia.jpg","url":"","title":"Amygdalectomie","text":"L'amygdalectomie implique l'ablation chirurgicale des amygdales. Cette intervention chirurgicale est réalisée par l'oto-rhino-laryngologiste.","button":"Obtenir un devis"},{"index":"055","image":"/images/medical-procedures/varicocelectomia.jpg","url":"","title":"Varicocélectomie","text":"La varicocélectomie est l'intervention chirurgicale qui permet d'atténuer les problèmes causés par la varicocèle.","button":"Obtenir un devis"},{"index":"056","image":"/images/medical-procedures/hidrocelectomia.jpg","url":"","title":"Hydrocélectomie","text":"Une hydrocèle est un type de gonflement du scrotum qui se produit lorsque le liquide s’accumule dans la fine membrane entourant le testicule.","button":"Obtenir un devis"},{"index":"057","image":"/images/medical-procedures/reseccion-de-fibroadenoma-mamario.jpg","url":"","title":"Résection de fibroadénome mammaire","text":"Le retrait d'une tumeur du sein est une intervention chirurgicale visant à retirer une tumeur pouvant être un cancer du sein.","button":"Obtenir un devis"}],"title":"Forfaits","description":"Tous les prix de nos forfaits sont en dollars américains (USD) et comprennent: l'aller-retour pour le patient et son accompagnateur, le coût de la chirurgie, de l'hôpital, de l'hôtel, des repas et de l'assurance.","keywords":["Tourisme médical","laguna","torreon","Mexique","Forfaits"],"author":"Suresh Kumar Gadi","publisher":"https://plus.google.com/+SureshKumarGadi/posts","image":"https://lagunamedicalcenter.com/images/logo.jpg","twitter_creator":"@SureshKumarGadi","layout":"packages","type":"static"}</v>
      </c>
    </row>
    <row r="2" spans="1:7" x14ac:dyDescent="0.3">
      <c r="A2" t="s">
        <v>7</v>
      </c>
      <c r="B2" t="s">
        <v>685</v>
      </c>
      <c r="C2" t="s">
        <v>79</v>
      </c>
      <c r="D2" t="s">
        <v>87</v>
      </c>
      <c r="E2" t="str">
        <f t="shared" ref="E2:G3" si="0">CHAR(34)&amp;$A2&amp;CHAR(34)&amp;":"&amp;CHAR(34)&amp;B2&amp;CHAR(34)&amp;","</f>
        <v>"title":"Packages",</v>
      </c>
      <c r="F2" t="str">
        <f t="shared" si="0"/>
        <v>"title":"Paquetes",</v>
      </c>
      <c r="G2" t="str">
        <f t="shared" si="0"/>
        <v>"title":"Forfaits",</v>
      </c>
    </row>
    <row r="3" spans="1:7" x14ac:dyDescent="0.3">
      <c r="A3" t="s">
        <v>9</v>
      </c>
      <c r="B3" t="s">
        <v>755</v>
      </c>
      <c r="C3" t="s">
        <v>754</v>
      </c>
      <c r="D3" t="s">
        <v>756</v>
      </c>
      <c r="E3" t="str">
        <f t="shared" si="0"/>
        <v>"description":"All prices of our packages are in US dollars (USD) and include: The round trip for the patient and a companion, the cost of surgery, hospital, hotel, meals and insurance.",</v>
      </c>
      <c r="F3" t="str">
        <f t="shared" si="0"/>
        <v>"description":"Todos los precios de nuestros paquetes están en dólares americanos (USD) e incluyen: El viaje redondo para el paciente y un acompañante, el costo de la cirugía, el hospital, el hotel, las comidas y los seguros.",</v>
      </c>
      <c r="G3" t="str">
        <f t="shared" si="0"/>
        <v>"description":"Tous les prix de nos forfaits sont en dollars américains (USD) et comprennent: l'aller-retour pour le patient et son accompagnateur, le coût de la chirurgie, de l'hôpital, de l'hôtel, des repas et de l'assurance.",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Packages</v>
      </c>
      <c r="C8" t="str">
        <f>C2</f>
        <v>Paquetes</v>
      </c>
      <c r="D8" t="str">
        <f>D2</f>
        <v>Forfaits</v>
      </c>
      <c r="E8" t="str">
        <f>CHAR(34)&amp;B8&amp;CHAR(34)&amp;"],"</f>
        <v>"Packages"],</v>
      </c>
      <c r="F8" t="str">
        <f>CHAR(34)&amp;C8&amp;CHAR(34)&amp;"],"</f>
        <v>"Paquetes"],</v>
      </c>
      <c r="G8" t="str">
        <f>CHAR(34)&amp;D8&amp;CHAR(34)&amp;"],"</f>
        <v>"Forfaits"],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ref="C12:D14" si="5">IF(ISBLANK(B12),"",B12)</f>
        <v>@SureshKumarGadi</v>
      </c>
      <c r="D12" t="str">
        <f t="shared" si="5"/>
        <v>@SureshKumarGadi</v>
      </c>
      <c r="E12" t="str">
        <f t="shared" si="4"/>
        <v>"twitter_creator":"@SureshKumarGadi",</v>
      </c>
      <c r="F12" t="str">
        <f t="shared" si="2"/>
        <v>"twitter_creator":"@SureshKumarGadi",</v>
      </c>
      <c r="G12" t="str">
        <f t="shared" si="2"/>
        <v>"twitter_creator":"@SureshKumarGadi",</v>
      </c>
    </row>
    <row r="13" spans="1:7" x14ac:dyDescent="0.3">
      <c r="A13" t="s">
        <v>259</v>
      </c>
      <c r="B13" t="s">
        <v>18</v>
      </c>
      <c r="C13" t="str">
        <f t="shared" si="5"/>
        <v>packages</v>
      </c>
      <c r="D13" t="str">
        <f t="shared" si="5"/>
        <v>packages</v>
      </c>
      <c r="E13" t="str">
        <f t="shared" si="4"/>
        <v>"layout":"packages",</v>
      </c>
      <c r="F13" t="str">
        <f t="shared" si="2"/>
        <v>"layout":"packages",</v>
      </c>
      <c r="G13" t="str">
        <f t="shared" si="2"/>
        <v>"layout":"packages",</v>
      </c>
    </row>
    <row r="14" spans="1:7" x14ac:dyDescent="0.3">
      <c r="A14" t="s">
        <v>279</v>
      </c>
      <c r="B14" t="s">
        <v>280</v>
      </c>
      <c r="C14" t="str">
        <f t="shared" si="5"/>
        <v>static</v>
      </c>
      <c r="D14" t="str">
        <f t="shared" si="5"/>
        <v>static</v>
      </c>
      <c r="E14" t="str">
        <f t="shared" si="4"/>
        <v>"type":"static"</v>
      </c>
      <c r="F14" t="str">
        <f t="shared" si="2"/>
        <v>"type":"static"</v>
      </c>
      <c r="G14" t="str">
        <f t="shared" si="2"/>
        <v>"type":"static"</v>
      </c>
    </row>
    <row r="15" spans="1:7" x14ac:dyDescent="0.3">
      <c r="E15" t="str">
        <f t="shared" si="4"/>
        <v/>
      </c>
      <c r="F15" t="str">
        <f t="shared" si="2"/>
        <v/>
      </c>
      <c r="G15" t="str">
        <f t="shared" si="2"/>
        <v/>
      </c>
    </row>
    <row r="16" spans="1:7" x14ac:dyDescent="0.3">
      <c r="E16" t="str">
        <f t="shared" si="4"/>
        <v/>
      </c>
      <c r="F16" t="str">
        <f t="shared" si="2"/>
        <v/>
      </c>
      <c r="G16" t="str">
        <f t="shared" si="2"/>
        <v/>
      </c>
    </row>
    <row r="17" spans="5:7" x14ac:dyDescent="0.3">
      <c r="E17" t="str">
        <f t="shared" si="4"/>
        <v/>
      </c>
      <c r="F17" t="str">
        <f t="shared" si="2"/>
        <v/>
      </c>
      <c r="G17" t="str">
        <f t="shared" si="2"/>
        <v/>
      </c>
    </row>
    <row r="18" spans="5:7" x14ac:dyDescent="0.3">
      <c r="E18" t="str">
        <f t="shared" si="4"/>
        <v/>
      </c>
      <c r="F18" t="str">
        <f t="shared" si="2"/>
        <v/>
      </c>
      <c r="G18" t="str">
        <f t="shared" si="2"/>
        <v/>
      </c>
    </row>
    <row r="19" spans="5:7" x14ac:dyDescent="0.3">
      <c r="E19" t="str">
        <f t="shared" si="4"/>
        <v/>
      </c>
      <c r="F19" t="str">
        <f t="shared" si="2"/>
        <v/>
      </c>
      <c r="G19" t="str">
        <f t="shared" si="2"/>
        <v/>
      </c>
    </row>
    <row r="20" spans="5:7" x14ac:dyDescent="0.3">
      <c r="E20" t="str">
        <f t="shared" si="4"/>
        <v/>
      </c>
      <c r="F20" t="str">
        <f t="shared" si="2"/>
        <v/>
      </c>
      <c r="G20" t="str">
        <f t="shared" si="2"/>
        <v/>
      </c>
    </row>
    <row r="21" spans="5:7" x14ac:dyDescent="0.3">
      <c r="E21" t="str">
        <f t="shared" si="4"/>
        <v/>
      </c>
      <c r="F21" t="str">
        <f t="shared" si="2"/>
        <v/>
      </c>
      <c r="G21" t="str">
        <f t="shared" si="2"/>
        <v/>
      </c>
    </row>
    <row r="22" spans="5:7" x14ac:dyDescent="0.3">
      <c r="E22" t="str">
        <f t="shared" si="4"/>
        <v/>
      </c>
      <c r="F22" t="str">
        <f t="shared" si="2"/>
        <v/>
      </c>
      <c r="G22" t="str">
        <f t="shared" si="2"/>
        <v/>
      </c>
    </row>
    <row r="23" spans="5:7" x14ac:dyDescent="0.3">
      <c r="E23" t="str">
        <f t="shared" si="4"/>
        <v/>
      </c>
      <c r="F23" t="str">
        <f t="shared" si="2"/>
        <v/>
      </c>
      <c r="G23" t="str">
        <f t="shared" si="2"/>
        <v/>
      </c>
    </row>
    <row r="24" spans="5:7" x14ac:dyDescent="0.3">
      <c r="E24" t="str">
        <f t="shared" si="4"/>
        <v/>
      </c>
      <c r="F24" t="str">
        <f t="shared" si="2"/>
        <v/>
      </c>
      <c r="G24" t="str">
        <f t="shared" si="2"/>
        <v/>
      </c>
    </row>
    <row r="25" spans="5:7" x14ac:dyDescent="0.3">
      <c r="E25" t="str">
        <f t="shared" si="4"/>
        <v/>
      </c>
      <c r="F25" t="str">
        <f t="shared" si="4"/>
        <v/>
      </c>
      <c r="G25" t="str">
        <f t="shared" si="4"/>
        <v/>
      </c>
    </row>
    <row r="26" spans="5:7" x14ac:dyDescent="0.3">
      <c r="E26" t="str">
        <f t="shared" si="4"/>
        <v/>
      </c>
      <c r="F26" t="str">
        <f t="shared" si="4"/>
        <v/>
      </c>
      <c r="G26" t="str">
        <f t="shared" si="4"/>
        <v/>
      </c>
    </row>
    <row r="27" spans="5:7" x14ac:dyDescent="0.3">
      <c r="E27" t="str">
        <f t="shared" si="4"/>
        <v/>
      </c>
      <c r="F27" t="str">
        <f t="shared" si="4"/>
        <v/>
      </c>
      <c r="G27" t="str">
        <f t="shared" si="4"/>
        <v/>
      </c>
    </row>
    <row r="28" spans="5:7" x14ac:dyDescent="0.3">
      <c r="E28" t="str">
        <f t="shared" si="4"/>
        <v/>
      </c>
      <c r="F28" t="str">
        <f t="shared" si="4"/>
        <v/>
      </c>
      <c r="G28" t="str">
        <f t="shared" si="4"/>
        <v/>
      </c>
    </row>
    <row r="29" spans="5:7" x14ac:dyDescent="0.3">
      <c r="E29" t="str">
        <f t="shared" si="4"/>
        <v/>
      </c>
      <c r="F29" t="str">
        <f t="shared" si="4"/>
        <v/>
      </c>
      <c r="G29" t="str">
        <f t="shared" si="4"/>
        <v/>
      </c>
    </row>
    <row r="30" spans="5:7" x14ac:dyDescent="0.3">
      <c r="E30" t="str">
        <f t="shared" si="4"/>
        <v/>
      </c>
      <c r="F30" t="str">
        <f t="shared" si="4"/>
        <v/>
      </c>
      <c r="G30" t="str">
        <f t="shared" si="4"/>
        <v/>
      </c>
    </row>
    <row r="31" spans="5:7" x14ac:dyDescent="0.3">
      <c r="E31" t="str">
        <f t="shared" si="4"/>
        <v/>
      </c>
      <c r="F31" t="str">
        <f t="shared" si="4"/>
        <v/>
      </c>
      <c r="G31" t="str">
        <f t="shared" si="4"/>
        <v/>
      </c>
    </row>
    <row r="32" spans="5: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F46360C6-34E7-4823-8D27-AB816ECD6FF4}"/>
    <hyperlink ref="B11" r:id="rId2" xr:uid="{810B8E52-FFE4-4172-9D4D-30F0A21470A5}"/>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9D64F-A1CC-4965-8973-43F38BD8D53C}">
  <sheetPr codeName="Sheet13"/>
  <dimension ref="A1:G51"/>
  <sheetViews>
    <sheetView zoomScaleNormal="100" workbookViewId="0">
      <selection activeCell="A27" sqref="A27"/>
    </sheetView>
  </sheetViews>
  <sheetFormatPr defaultRowHeight="14.4" x14ac:dyDescent="0.3"/>
  <cols>
    <col min="1" max="1" width="25.109375" customWidth="1"/>
  </cols>
  <sheetData>
    <row r="1" spans="1:7" x14ac:dyDescent="0.3">
      <c r="A1" t="s">
        <v>3</v>
      </c>
      <c r="B1" t="s">
        <v>0</v>
      </c>
      <c r="C1" t="s">
        <v>1</v>
      </c>
      <c r="D1" t="s">
        <v>2</v>
      </c>
      <c r="E1" t="str">
        <f>"{"&amp;_xlfn.CONCAT(E2:E500)&amp;"}"</f>
        <v>{"title":"Contact us","description":"Send us a message or call us to know the costs or follow up on your medical treatment.","keywords":["Medical tourism","laguna","torreon","mexico","Contact us"],"author":"Suresh Kumar Gadi","publisher":"https://plus.google.com/+SureshKumarGadi/posts","image":"https://lagunamedicalcenter.com/images/logo.jpg","twitter_creator":"@SureshKumarGadi","layout":"contact","type":"static","a_head":"Address","address":"Av Morelos 2216,&lt;br/&gt;Cuarto de Cobián Centro,&lt;br/&gt;27000 Torreón,","e_head":"Send us an email","email":"info@lagunamedicalcenter.com","c_head":"Call us","call":"Telephone: +52 (1) 8711039368 &lt;br/&gt; Mobile: +52 (1) 8711039368","f_name":"Full name","s_email":"Email","message":"Write a message","s_message":"Send Message","thankyouForMessage":"Thank you for your message. We will contact you soon.","errorMessage":"is an invalid value.","unknownErrorSending":"Unknown error: Please try after sometime. You can also send us message on facebook/messenger."}</v>
      </c>
      <c r="F1" t="str">
        <f t="shared" ref="F1:G1" si="0">"{"&amp;_xlfn.CONCAT(F2:F500)&amp;"}"</f>
        <v>{"title":"Contáctenos","description":"Envíanos un mensaje o llámanos para conocer los costos o dar seguimiento de tu tratamiento médico.","keywords":["Turismo médico","laguna","torreon","mexico","Contáctenos"],"author":"Suresh Kumar Gadi","publisher":"https://plus.google.com/+SureshKumarGadi/posts","image":"https://lagunamedicalcenter.com/images/logo.jpg","twitter_creator":"@SureshKumarGadi","layout":"contact","type":"static","a_head":"Dirección","address":"Av Morelos 2216,&lt;br/&gt;Cuarto de Cobián Centro,&lt;br/&gt;27000 Torreón,","e_head":"Envíenos un email","email":"info@lagunamedicalcenter.com","c_head":"Llámanos","call":"Teléfono: +52 (1) 8711039368&lt;br/&gt;Móvil: +52 (1) 8711039368","f_name":"Nombre completo","s_email":"Correo electrónico","message":"Escribe un mensaje","s_message":"Enviar mensaje","thankyouForMessage":"Gracias por su mensaje. Nos pondremos en contacto con usted pronto.","errorMessage":"es un valor no válido","unknownErrorSending":"Error desconocido: intente después de algún tiempo. También puede enviarnos un mensaje en facebook / messenger."}</v>
      </c>
      <c r="G1" t="str">
        <f t="shared" si="0"/>
        <v>{"title":"Nous contacter","description":"Envoyez-nous un message ou appelez-nous pour connaître les coûts ou suivre votre traitement médical.","keywords":["Tourisme médical","laguna","torreon","Mexique","Nous contacter"],"author":"Suresh Kumar Gadi","publisher":"https://plus.google.com/+SureshKumarGadi/posts","image":"https://lagunamedicalcenter.com/images/logo.jpg","twitter_creator":"@SureshKumarGadi","layout":"contact","type":"static","a_head":"Adresse","address":"Av Morelos 2216,&lt;br/&gt;Cuarto de Cobián Centro,&lt;br/&gt;27000 Torreón,","e_head":"Envoyez nous un email","email":"info@lagunamedicalcenter.com","c_head":"Appelez nous","call":"Téléphone: +52 (1) 8711039368 &lt;br/&gt; Mobile: +52 (1) 8711039368","f_name":"Nom complet","s_email":"Courrier électronique","message":"Écrire un message","s_message":"Envoyer un message","thankyouForMessage":"Merci pour votre message. Nous vous contacterons bientôt.","errorMessage":"est une valeur invalide","unknownErrorSending":"Erreur inconnue: veuillez essayer après quelque temps. Vous pouvez également nous envoyer un message sur facebook / messenger."}</v>
      </c>
    </row>
    <row r="2" spans="1:7" x14ac:dyDescent="0.3">
      <c r="A2" t="s">
        <v>7</v>
      </c>
      <c r="B2" t="s">
        <v>692</v>
      </c>
      <c r="C2" t="s">
        <v>689</v>
      </c>
      <c r="D2" t="s">
        <v>693</v>
      </c>
      <c r="E2" t="str">
        <f t="shared" ref="E2:G3" si="1">CHAR(34)&amp;$A2&amp;CHAR(34)&amp;":"&amp;CHAR(34)&amp;B2&amp;CHAR(34)&amp;","</f>
        <v>"title":"Contact us",</v>
      </c>
      <c r="F2" t="str">
        <f t="shared" si="1"/>
        <v>"title":"Contáctenos",</v>
      </c>
      <c r="G2" t="str">
        <f t="shared" si="1"/>
        <v>"title":"Nous contacter",</v>
      </c>
    </row>
    <row r="3" spans="1:7" x14ac:dyDescent="0.3">
      <c r="A3" t="s">
        <v>9</v>
      </c>
      <c r="B3" t="s">
        <v>691</v>
      </c>
      <c r="C3" t="s">
        <v>690</v>
      </c>
      <c r="D3" t="s">
        <v>694</v>
      </c>
      <c r="E3" t="str">
        <f t="shared" si="1"/>
        <v>"description":"Send us a message or call us to know the costs or follow up on your medical treatment.",</v>
      </c>
      <c r="F3" t="str">
        <f t="shared" si="1"/>
        <v>"description":"Envíanos un mensaje o llámanos para conocer los costos o dar seguimiento de tu tratamiento médico.",</v>
      </c>
      <c r="G3" t="str">
        <f t="shared" si="1"/>
        <v>"description":"Envoyez-nous un message ou appelez-nous pour connaître les coûts ou suivre votre traitement médical.",</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2">CHAR(34)&amp;B6&amp;CHAR(34)&amp;","</f>
        <v>"torreon",</v>
      </c>
      <c r="F6" t="str">
        <f t="shared" si="2"/>
        <v>"torreon",</v>
      </c>
      <c r="G6" t="str">
        <f t="shared" si="2"/>
        <v>"torreon",</v>
      </c>
    </row>
    <row r="7" spans="1:7" x14ac:dyDescent="0.3">
      <c r="A7" t="s">
        <v>10</v>
      </c>
      <c r="B7" t="s">
        <v>17</v>
      </c>
      <c r="C7" t="s">
        <v>17</v>
      </c>
      <c r="D7" t="s">
        <v>24</v>
      </c>
      <c r="E7" t="str">
        <f t="shared" si="2"/>
        <v>"mexico",</v>
      </c>
      <c r="F7" t="str">
        <f t="shared" si="2"/>
        <v>"mexico",</v>
      </c>
      <c r="G7" t="str">
        <f t="shared" si="2"/>
        <v>"Mexique",</v>
      </c>
    </row>
    <row r="8" spans="1:7" x14ac:dyDescent="0.3">
      <c r="A8" t="s">
        <v>10</v>
      </c>
      <c r="B8" t="str">
        <f>B2</f>
        <v>Contact us</v>
      </c>
      <c r="C8" t="str">
        <f>C2</f>
        <v>Contáctenos</v>
      </c>
      <c r="D8" t="str">
        <f>D2</f>
        <v>Nous contacter</v>
      </c>
      <c r="E8" t="str">
        <f>CHAR(34)&amp;B8&amp;CHAR(34)&amp;"],"</f>
        <v>"Contact us"],</v>
      </c>
      <c r="F8" t="str">
        <f>CHAR(34)&amp;C8&amp;CHAR(34)&amp;"],"</f>
        <v>"Contáctenos"],</v>
      </c>
      <c r="G8" t="str">
        <f>CHAR(34)&amp;D8&amp;CHAR(34)&amp;"],"</f>
        <v>"Nous contacter"],</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3">IF(ISBLANK($A9),"",CHAR(34)&amp;$A9&amp;CHAR(34)&amp;":"&amp;CHAR(34)&amp;C9&amp;CHAR(34)&amp;IF(ISBLANK($A10),"",","))</f>
        <v>"author":"Suresh Kumar Gadi",</v>
      </c>
      <c r="G9" t="str">
        <f t="shared" si="3"/>
        <v>"author":"Suresh Kumar Gadi",</v>
      </c>
    </row>
    <row r="10" spans="1:7" x14ac:dyDescent="0.3">
      <c r="A10" t="s">
        <v>12</v>
      </c>
      <c r="B10" s="3" t="s">
        <v>20</v>
      </c>
      <c r="C10" t="str">
        <f t="shared" ref="C10:D11" si="4">IF(ISBLANK(B10),"",B10)</f>
        <v>https://plus.google.com/+SureshKumarGadi/posts</v>
      </c>
      <c r="D10" t="str">
        <f t="shared" si="4"/>
        <v>https://plus.google.com/+SureshKumarGadi/posts</v>
      </c>
      <c r="E10" t="str">
        <f t="shared" ref="E10:G51" si="5">IF(ISBLANK($A10),"",CHAR(34)&amp;$A10&amp;CHAR(34)&amp;":"&amp;CHAR(34)&amp;B10&amp;CHAR(34)&amp;IF(ISBLANK($A11),"",","))</f>
        <v>"publisher":"https://plus.google.com/+SureshKumarGadi/posts",</v>
      </c>
      <c r="F10" t="str">
        <f t="shared" si="3"/>
        <v>"publisher":"https://plus.google.com/+SureshKumarGadi/posts",</v>
      </c>
      <c r="G10" t="str">
        <f t="shared" si="3"/>
        <v>"publisher":"https://plus.google.com/+SureshKumarGadi/posts",</v>
      </c>
    </row>
    <row r="11" spans="1:7" x14ac:dyDescent="0.3">
      <c r="A11" t="s">
        <v>5</v>
      </c>
      <c r="B11" s="3" t="s">
        <v>21</v>
      </c>
      <c r="C11" t="str">
        <f t="shared" si="4"/>
        <v>https://lagunamedicalcenter.com/images/logo.jpg</v>
      </c>
      <c r="D11" t="str">
        <f t="shared" si="4"/>
        <v>https://lagunamedicalcenter.com/images/logo.jpg</v>
      </c>
      <c r="E11" t="str">
        <f t="shared" si="5"/>
        <v>"image":"https://lagunamedicalcenter.com/images/logo.jpg",</v>
      </c>
      <c r="F11" t="str">
        <f t="shared" si="3"/>
        <v>"image":"https://lagunamedicalcenter.com/images/logo.jpg",</v>
      </c>
      <c r="G11" t="str">
        <f t="shared" si="3"/>
        <v>"image":"https://lagunamedicalcenter.com/images/logo.jpg",</v>
      </c>
    </row>
    <row r="12" spans="1:7" x14ac:dyDescent="0.3">
      <c r="A12" t="s">
        <v>13</v>
      </c>
      <c r="B12" s="4" t="s">
        <v>22</v>
      </c>
      <c r="C12" t="str">
        <f t="shared" ref="C12:D14" si="6">IF(ISBLANK(B12),"",B12)</f>
        <v>@SureshKumarGadi</v>
      </c>
      <c r="D12" t="str">
        <f t="shared" si="6"/>
        <v>@SureshKumarGadi</v>
      </c>
      <c r="E12" t="str">
        <f t="shared" si="5"/>
        <v>"twitter_creator":"@SureshKumarGadi",</v>
      </c>
      <c r="F12" t="str">
        <f t="shared" si="3"/>
        <v>"twitter_creator":"@SureshKumarGadi",</v>
      </c>
      <c r="G12" t="str">
        <f t="shared" si="3"/>
        <v>"twitter_creator":"@SureshKumarGadi",</v>
      </c>
    </row>
    <row r="13" spans="1:7" x14ac:dyDescent="0.3">
      <c r="A13" t="s">
        <v>259</v>
      </c>
      <c r="B13" t="s">
        <v>695</v>
      </c>
      <c r="C13" t="str">
        <f t="shared" si="6"/>
        <v>contact</v>
      </c>
      <c r="D13" t="str">
        <f t="shared" si="6"/>
        <v>contact</v>
      </c>
      <c r="E13" t="str">
        <f t="shared" si="5"/>
        <v>"layout":"contact",</v>
      </c>
      <c r="F13" t="str">
        <f t="shared" si="3"/>
        <v>"layout":"contact",</v>
      </c>
      <c r="G13" t="str">
        <f t="shared" si="3"/>
        <v>"layout":"contact",</v>
      </c>
    </row>
    <row r="14" spans="1:7" x14ac:dyDescent="0.3">
      <c r="A14" t="s">
        <v>279</v>
      </c>
      <c r="B14" t="s">
        <v>280</v>
      </c>
      <c r="C14" t="str">
        <f t="shared" si="6"/>
        <v>static</v>
      </c>
      <c r="D14" t="str">
        <f t="shared" si="6"/>
        <v>static</v>
      </c>
      <c r="E14" t="str">
        <f t="shared" si="5"/>
        <v>"type":"static",</v>
      </c>
      <c r="F14" t="str">
        <f t="shared" si="3"/>
        <v>"type":"static",</v>
      </c>
      <c r="G14" t="str">
        <f t="shared" si="3"/>
        <v>"type":"static",</v>
      </c>
    </row>
    <row r="15" spans="1:7" x14ac:dyDescent="0.3">
      <c r="A15" t="s">
        <v>696</v>
      </c>
      <c r="B15" t="s">
        <v>722</v>
      </c>
      <c r="C15" t="s">
        <v>706</v>
      </c>
      <c r="D15" t="s">
        <v>721</v>
      </c>
      <c r="E15" t="str">
        <f t="shared" si="5"/>
        <v>"a_head":"Address",</v>
      </c>
      <c r="F15" t="str">
        <f t="shared" si="3"/>
        <v>"a_head":"Dirección",</v>
      </c>
      <c r="G15" t="str">
        <f t="shared" si="3"/>
        <v>"a_head":"Adresse",</v>
      </c>
    </row>
    <row r="16" spans="1:7" x14ac:dyDescent="0.3">
      <c r="A16" t="s">
        <v>697</v>
      </c>
      <c r="B16" t="s">
        <v>730</v>
      </c>
      <c r="C16" t="str">
        <f>B16</f>
        <v>Av Morelos 2216,&lt;br/&gt;Cuarto de Cobián Centro,&lt;br/&gt;27000 Torreón,</v>
      </c>
      <c r="D16" t="str">
        <f>C16</f>
        <v>Av Morelos 2216,&lt;br/&gt;Cuarto de Cobián Centro,&lt;br/&gt;27000 Torreón,</v>
      </c>
      <c r="E16" t="str">
        <f t="shared" si="5"/>
        <v>"address":"Av Morelos 2216,&lt;br/&gt;Cuarto de Cobián Centro,&lt;br/&gt;27000 Torreón,",</v>
      </c>
      <c r="F16" t="str">
        <f t="shared" si="3"/>
        <v>"address":"Av Morelos 2216,&lt;br/&gt;Cuarto de Cobián Centro,&lt;br/&gt;27000 Torreón,",</v>
      </c>
      <c r="G16" t="str">
        <f t="shared" si="3"/>
        <v>"address":"Av Morelos 2216,&lt;br/&gt;Cuarto de Cobián Centro,&lt;br/&gt;27000 Torreón,",</v>
      </c>
    </row>
    <row r="17" spans="1:7" x14ac:dyDescent="0.3">
      <c r="A17" t="s">
        <v>698</v>
      </c>
      <c r="B17" t="s">
        <v>723</v>
      </c>
      <c r="C17" t="s">
        <v>707</v>
      </c>
      <c r="D17" t="s">
        <v>714</v>
      </c>
      <c r="E17" t="str">
        <f t="shared" si="5"/>
        <v>"e_head":"Send us an email",</v>
      </c>
      <c r="F17" t="str">
        <f t="shared" si="3"/>
        <v>"e_head":"Envíenos un email",</v>
      </c>
      <c r="G17" t="str">
        <f t="shared" si="3"/>
        <v>"e_head":"Envoyez nous un email",</v>
      </c>
    </row>
    <row r="18" spans="1:7" x14ac:dyDescent="0.3">
      <c r="A18" t="s">
        <v>699</v>
      </c>
      <c r="B18" t="s">
        <v>750</v>
      </c>
      <c r="C18" t="str">
        <f>B18</f>
        <v>info@lagunamedicalcenter.com</v>
      </c>
      <c r="D18" t="str">
        <f>C18</f>
        <v>info@lagunamedicalcenter.com</v>
      </c>
      <c r="E18" t="str">
        <f t="shared" si="5"/>
        <v>"email":"info@lagunamedicalcenter.com",</v>
      </c>
      <c r="F18" t="str">
        <f t="shared" si="3"/>
        <v>"email":"info@lagunamedicalcenter.com",</v>
      </c>
      <c r="G18" t="str">
        <f t="shared" si="3"/>
        <v>"email":"info@lagunamedicalcenter.com",</v>
      </c>
    </row>
    <row r="19" spans="1:7" x14ac:dyDescent="0.3">
      <c r="A19" t="s">
        <v>700</v>
      </c>
      <c r="B19" t="s">
        <v>724</v>
      </c>
      <c r="C19" t="s">
        <v>708</v>
      </c>
      <c r="D19" t="s">
        <v>715</v>
      </c>
      <c r="E19" t="str">
        <f t="shared" si="5"/>
        <v>"c_head":"Call us",</v>
      </c>
      <c r="F19" t="str">
        <f t="shared" si="3"/>
        <v>"c_head":"Llámanos",</v>
      </c>
      <c r="G19" t="str">
        <f t="shared" si="3"/>
        <v>"c_head":"Appelez nous",</v>
      </c>
    </row>
    <row r="20" spans="1:7" x14ac:dyDescent="0.3">
      <c r="A20" t="s">
        <v>701</v>
      </c>
      <c r="B20" t="s">
        <v>725</v>
      </c>
      <c r="C20" t="s">
        <v>709</v>
      </c>
      <c r="D20" t="s">
        <v>716</v>
      </c>
      <c r="E20" t="str">
        <f t="shared" si="5"/>
        <v>"call":"Telephone: +52 (1) 8711039368 &lt;br/&gt; Mobile: +52 (1) 8711039368",</v>
      </c>
      <c r="F20" t="str">
        <f t="shared" si="3"/>
        <v>"call":"Teléfono: +52 (1) 8711039368&lt;br/&gt;Móvil: +52 (1) 8711039368",</v>
      </c>
      <c r="G20" t="str">
        <f t="shared" si="3"/>
        <v>"call":"Téléphone: +52 (1) 8711039368 &lt;br/&gt; Mobile: +52 (1) 8711039368",</v>
      </c>
    </row>
    <row r="21" spans="1:7" x14ac:dyDescent="0.3">
      <c r="A21" t="s">
        <v>702</v>
      </c>
      <c r="B21" t="s">
        <v>726</v>
      </c>
      <c r="C21" t="s">
        <v>710</v>
      </c>
      <c r="D21" t="s">
        <v>717</v>
      </c>
      <c r="E21" t="str">
        <f t="shared" si="5"/>
        <v>"f_name":"Full name",</v>
      </c>
      <c r="F21" t="str">
        <f t="shared" si="3"/>
        <v>"f_name":"Nombre completo",</v>
      </c>
      <c r="G21" t="str">
        <f t="shared" si="3"/>
        <v>"f_name":"Nom complet",</v>
      </c>
    </row>
    <row r="22" spans="1:7" x14ac:dyDescent="0.3">
      <c r="A22" t="s">
        <v>703</v>
      </c>
      <c r="B22" t="s">
        <v>727</v>
      </c>
      <c r="C22" t="s">
        <v>711</v>
      </c>
      <c r="D22" t="s">
        <v>718</v>
      </c>
      <c r="E22" t="str">
        <f t="shared" si="5"/>
        <v>"s_email":"Email",</v>
      </c>
      <c r="F22" t="str">
        <f t="shared" si="3"/>
        <v>"s_email":"Correo electrónico",</v>
      </c>
      <c r="G22" t="str">
        <f t="shared" si="3"/>
        <v>"s_email":"Courrier électronique",</v>
      </c>
    </row>
    <row r="23" spans="1:7" x14ac:dyDescent="0.3">
      <c r="A23" t="s">
        <v>704</v>
      </c>
      <c r="B23" t="s">
        <v>728</v>
      </c>
      <c r="C23" t="s">
        <v>712</v>
      </c>
      <c r="D23" t="s">
        <v>719</v>
      </c>
      <c r="E23" t="str">
        <f t="shared" si="5"/>
        <v>"message":"Write a message",</v>
      </c>
      <c r="F23" t="str">
        <f t="shared" si="3"/>
        <v>"message":"Escribe un mensaje",</v>
      </c>
      <c r="G23" t="str">
        <f t="shared" si="3"/>
        <v>"message":"Écrire un message",</v>
      </c>
    </row>
    <row r="24" spans="1:7" x14ac:dyDescent="0.3">
      <c r="A24" t="s">
        <v>705</v>
      </c>
      <c r="B24" t="s">
        <v>729</v>
      </c>
      <c r="C24" t="s">
        <v>713</v>
      </c>
      <c r="D24" t="s">
        <v>720</v>
      </c>
      <c r="E24" t="str">
        <f t="shared" si="5"/>
        <v>"s_message":"Send Message",</v>
      </c>
      <c r="F24" t="str">
        <f t="shared" si="3"/>
        <v>"s_message":"Enviar mensaje",</v>
      </c>
      <c r="G24" t="str">
        <f t="shared" si="3"/>
        <v>"s_message":"Envoyer un message",</v>
      </c>
    </row>
    <row r="25" spans="1:7" x14ac:dyDescent="0.3">
      <c r="A25" t="s">
        <v>799</v>
      </c>
      <c r="B25" t="s">
        <v>800</v>
      </c>
      <c r="C25" t="s">
        <v>802</v>
      </c>
      <c r="D25" t="s">
        <v>801</v>
      </c>
      <c r="E25" t="str">
        <f t="shared" si="5"/>
        <v>"thankyouForMessage":"Thank you for your message. We will contact you soon.",</v>
      </c>
      <c r="F25" t="str">
        <f t="shared" si="5"/>
        <v>"thankyouForMessage":"Gracias por su mensaje. Nos pondremos en contacto con usted pronto.",</v>
      </c>
      <c r="G25" t="str">
        <f t="shared" si="5"/>
        <v>"thankyouForMessage":"Merci pour votre message. Nous vous contacterons bientôt.",</v>
      </c>
    </row>
    <row r="26" spans="1:7" x14ac:dyDescent="0.3">
      <c r="A26" t="s">
        <v>803</v>
      </c>
      <c r="B26" t="s">
        <v>806</v>
      </c>
      <c r="C26" t="s">
        <v>805</v>
      </c>
      <c r="D26" t="s">
        <v>804</v>
      </c>
      <c r="E26" t="str">
        <f t="shared" si="5"/>
        <v>"errorMessage":"is an invalid value.",</v>
      </c>
      <c r="F26" t="str">
        <f t="shared" si="5"/>
        <v>"errorMessage":"es un valor no válido",</v>
      </c>
      <c r="G26" t="str">
        <f t="shared" si="5"/>
        <v>"errorMessage":"est une valeur invalide",</v>
      </c>
    </row>
    <row r="27" spans="1:7" x14ac:dyDescent="0.3">
      <c r="A27" t="s">
        <v>807</v>
      </c>
      <c r="B27" t="s">
        <v>808</v>
      </c>
      <c r="C27" t="s">
        <v>809</v>
      </c>
      <c r="D27" t="s">
        <v>810</v>
      </c>
      <c r="E27" t="str">
        <f t="shared" si="5"/>
        <v>"unknownErrorSending":"Unknown error: Please try after sometime. You can also send us message on facebook/messenger."</v>
      </c>
      <c r="F27" t="str">
        <f t="shared" si="5"/>
        <v>"unknownErrorSending":"Error desconocido: intente después de algún tiempo. También puede enviarnos un mensaje en facebook / messenger."</v>
      </c>
      <c r="G27" t="str">
        <f t="shared" si="5"/>
        <v>"unknownErrorSending":"Erreur inconnue: veuillez essayer après quelque temps. Vous pouvez également nous envoyer un message sur facebook / messenger."</v>
      </c>
    </row>
    <row r="28" spans="1:7" x14ac:dyDescent="0.3">
      <c r="E28" t="str">
        <f t="shared" si="5"/>
        <v/>
      </c>
      <c r="F28" t="str">
        <f t="shared" si="5"/>
        <v/>
      </c>
      <c r="G28" t="str">
        <f t="shared" si="5"/>
        <v/>
      </c>
    </row>
    <row r="29" spans="1:7" x14ac:dyDescent="0.3">
      <c r="E29" t="str">
        <f t="shared" si="5"/>
        <v/>
      </c>
      <c r="F29" t="str">
        <f t="shared" si="5"/>
        <v/>
      </c>
      <c r="G29" t="str">
        <f t="shared" si="5"/>
        <v/>
      </c>
    </row>
    <row r="30" spans="1:7" x14ac:dyDescent="0.3">
      <c r="E30" t="str">
        <f t="shared" si="5"/>
        <v/>
      </c>
      <c r="F30" t="str">
        <f t="shared" si="5"/>
        <v/>
      </c>
      <c r="G30" t="str">
        <f t="shared" si="5"/>
        <v/>
      </c>
    </row>
    <row r="31" spans="1:7" x14ac:dyDescent="0.3">
      <c r="E31" t="str">
        <f t="shared" si="5"/>
        <v/>
      </c>
      <c r="F31" t="str">
        <f t="shared" si="5"/>
        <v/>
      </c>
      <c r="G31" t="str">
        <f t="shared" si="5"/>
        <v/>
      </c>
    </row>
    <row r="32" spans="1:7" x14ac:dyDescent="0.3">
      <c r="E32" t="str">
        <f t="shared" si="5"/>
        <v/>
      </c>
      <c r="F32" t="str">
        <f t="shared" si="5"/>
        <v/>
      </c>
      <c r="G32" t="str">
        <f t="shared" si="5"/>
        <v/>
      </c>
    </row>
    <row r="33" spans="5:7" x14ac:dyDescent="0.3">
      <c r="E33" t="str">
        <f t="shared" si="5"/>
        <v/>
      </c>
      <c r="F33" t="str">
        <f t="shared" si="5"/>
        <v/>
      </c>
      <c r="G33" t="str">
        <f t="shared" si="5"/>
        <v/>
      </c>
    </row>
    <row r="34" spans="5:7" x14ac:dyDescent="0.3">
      <c r="E34" t="str">
        <f t="shared" si="5"/>
        <v/>
      </c>
      <c r="F34" t="str">
        <f t="shared" si="5"/>
        <v/>
      </c>
      <c r="G34" t="str">
        <f t="shared" si="5"/>
        <v/>
      </c>
    </row>
    <row r="35" spans="5:7" x14ac:dyDescent="0.3">
      <c r="E35" t="str">
        <f t="shared" si="5"/>
        <v/>
      </c>
      <c r="F35" t="str">
        <f t="shared" si="5"/>
        <v/>
      </c>
      <c r="G35" t="str">
        <f t="shared" si="5"/>
        <v/>
      </c>
    </row>
    <row r="36" spans="5:7" x14ac:dyDescent="0.3">
      <c r="E36" t="str">
        <f t="shared" si="5"/>
        <v/>
      </c>
      <c r="F36" t="str">
        <f t="shared" si="5"/>
        <v/>
      </c>
      <c r="G36" t="str">
        <f t="shared" si="5"/>
        <v/>
      </c>
    </row>
    <row r="37" spans="5:7" x14ac:dyDescent="0.3">
      <c r="E37" t="str">
        <f t="shared" si="5"/>
        <v/>
      </c>
      <c r="F37" t="str">
        <f t="shared" si="5"/>
        <v/>
      </c>
      <c r="G37" t="str">
        <f t="shared" si="5"/>
        <v/>
      </c>
    </row>
    <row r="38" spans="5:7" x14ac:dyDescent="0.3">
      <c r="E38" t="str">
        <f t="shared" si="5"/>
        <v/>
      </c>
      <c r="F38" t="str">
        <f t="shared" si="5"/>
        <v/>
      </c>
      <c r="G38" t="str">
        <f t="shared" si="5"/>
        <v/>
      </c>
    </row>
    <row r="39" spans="5:7" x14ac:dyDescent="0.3">
      <c r="E39" t="str">
        <f t="shared" si="5"/>
        <v/>
      </c>
      <c r="F39" t="str">
        <f t="shared" si="5"/>
        <v/>
      </c>
      <c r="G39" t="str">
        <f t="shared" si="5"/>
        <v/>
      </c>
    </row>
    <row r="40" spans="5:7" x14ac:dyDescent="0.3">
      <c r="E40" t="str">
        <f t="shared" si="5"/>
        <v/>
      </c>
      <c r="F40" t="str">
        <f t="shared" si="5"/>
        <v/>
      </c>
      <c r="G40" t="str">
        <f t="shared" si="5"/>
        <v/>
      </c>
    </row>
    <row r="41" spans="5:7" x14ac:dyDescent="0.3">
      <c r="E41" t="str">
        <f t="shared" si="5"/>
        <v/>
      </c>
      <c r="F41" t="str">
        <f t="shared" si="5"/>
        <v/>
      </c>
      <c r="G41" t="str">
        <f t="shared" si="5"/>
        <v/>
      </c>
    </row>
    <row r="42" spans="5:7" x14ac:dyDescent="0.3">
      <c r="E42" t="str">
        <f t="shared" si="5"/>
        <v/>
      </c>
      <c r="F42" t="str">
        <f t="shared" si="5"/>
        <v/>
      </c>
      <c r="G42" t="str">
        <f t="shared" si="5"/>
        <v/>
      </c>
    </row>
    <row r="43" spans="5:7" x14ac:dyDescent="0.3">
      <c r="E43" t="str">
        <f t="shared" si="5"/>
        <v/>
      </c>
      <c r="F43" t="str">
        <f t="shared" si="5"/>
        <v/>
      </c>
      <c r="G43" t="str">
        <f t="shared" si="5"/>
        <v/>
      </c>
    </row>
    <row r="44" spans="5:7" x14ac:dyDescent="0.3">
      <c r="E44" t="str">
        <f t="shared" si="5"/>
        <v/>
      </c>
      <c r="F44" t="str">
        <f t="shared" si="5"/>
        <v/>
      </c>
      <c r="G44" t="str">
        <f t="shared" si="5"/>
        <v/>
      </c>
    </row>
    <row r="45" spans="5:7" x14ac:dyDescent="0.3">
      <c r="E45" t="str">
        <f t="shared" si="5"/>
        <v/>
      </c>
      <c r="F45" t="str">
        <f t="shared" si="5"/>
        <v/>
      </c>
      <c r="G45" t="str">
        <f t="shared" si="5"/>
        <v/>
      </c>
    </row>
    <row r="46" spans="5:7" x14ac:dyDescent="0.3">
      <c r="E46" t="str">
        <f t="shared" si="5"/>
        <v/>
      </c>
      <c r="F46" t="str">
        <f t="shared" si="5"/>
        <v/>
      </c>
      <c r="G46" t="str">
        <f t="shared" si="5"/>
        <v/>
      </c>
    </row>
    <row r="47" spans="5:7" x14ac:dyDescent="0.3">
      <c r="E47" t="str">
        <f t="shared" si="5"/>
        <v/>
      </c>
      <c r="F47" t="str">
        <f t="shared" si="5"/>
        <v/>
      </c>
      <c r="G47" t="str">
        <f t="shared" si="5"/>
        <v/>
      </c>
    </row>
    <row r="48" spans="5:7" x14ac:dyDescent="0.3">
      <c r="E48" t="str">
        <f t="shared" si="5"/>
        <v/>
      </c>
      <c r="F48" t="str">
        <f t="shared" si="5"/>
        <v/>
      </c>
      <c r="G48" t="str">
        <f t="shared" si="5"/>
        <v/>
      </c>
    </row>
    <row r="49" spans="5:7" x14ac:dyDescent="0.3">
      <c r="E49" t="str">
        <f t="shared" si="5"/>
        <v/>
      </c>
      <c r="F49" t="str">
        <f t="shared" si="5"/>
        <v/>
      </c>
      <c r="G49" t="str">
        <f t="shared" si="5"/>
        <v/>
      </c>
    </row>
    <row r="50" spans="5:7" x14ac:dyDescent="0.3">
      <c r="E50" t="str">
        <f t="shared" si="5"/>
        <v/>
      </c>
      <c r="F50" t="str">
        <f t="shared" si="5"/>
        <v/>
      </c>
      <c r="G50" t="str">
        <f t="shared" si="5"/>
        <v/>
      </c>
    </row>
    <row r="51" spans="5:7" x14ac:dyDescent="0.3">
      <c r="E51" t="str">
        <f t="shared" si="5"/>
        <v/>
      </c>
      <c r="F51" t="str">
        <f t="shared" si="5"/>
        <v/>
      </c>
      <c r="G51" t="str">
        <f t="shared" si="5"/>
        <v/>
      </c>
    </row>
  </sheetData>
  <hyperlinks>
    <hyperlink ref="B10" r:id="rId1" xr:uid="{5645BA5F-1424-42B4-A196-7B6809E6FCAE}"/>
    <hyperlink ref="B11" r:id="rId2" xr:uid="{C6AD90AE-F994-48A2-8F2E-4F0D2BE11E8E}"/>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2FDC2-6B21-4F42-A50F-903A968D1E49}">
  <sheetPr codeName="Sheet15"/>
  <dimension ref="A1:G51"/>
  <sheetViews>
    <sheetView zoomScaleNormal="100" workbookViewId="0">
      <selection activeCell="E15" sqref="E15:G17"/>
    </sheetView>
  </sheetViews>
  <sheetFormatPr defaultRowHeight="14.4" x14ac:dyDescent="0.3"/>
  <cols>
    <col min="1" max="1" width="25.109375" customWidth="1"/>
  </cols>
  <sheetData>
    <row r="1" spans="1:7" x14ac:dyDescent="0.3">
      <c r="A1" t="s">
        <v>3</v>
      </c>
      <c r="B1" t="s">
        <v>0</v>
      </c>
      <c r="C1" t="s">
        <v>1</v>
      </c>
      <c r="D1" t="s">
        <v>2</v>
      </c>
      <c r="E1" t="str">
        <f>"{"&amp;_xlfn.CONCAT(E2:E50)&amp;"}"</f>
        <v>{"title":"Sign in","description":"In this page you can sign-in or register your account.","keywords":["Medical tourism","laguna","torreon","mexico","Sign in"],"author":"Suresh Kumar Gadi","publisher":"https://plus.google.com/+SureshKumarGadi/posts","image":"https://lagunamedicalcenter.com/images/logo.jpg","twitter_creator":"@SureshKumarGadi","layout":"sign-in","type":"platform","head_000":"Register or Sign-in","loading":"Loading the platform","loading_desc":"If it takes longer than 1 minute, please check your internet and refresh the page."}</v>
      </c>
      <c r="F1" t="str">
        <f>"{"&amp;_xlfn.CONCAT(F2:F500)&amp;"}"</f>
        <v>{"title":"Inicia sesión","description":"En esta página puede iniciar sesión o registrar su cuenta.","keywords":["Turismo médico","laguna","torreon","mexico","Inicia sesión"],"author":"Suresh Kumar Gadi","publisher":"https://plus.google.com/+SureshKumarGadi/posts","image":"https://lagunamedicalcenter.com/images/logo.jpg","twitter_creator":"@SureshKumarGadi","layout":"sign-in","type":"platform","head_000":"Registrarse o Iniciar sesión","loading":"Cargando la plataforma","loading_desc":"Si tarda más de 1 minuto, compruebe su Internet y actualice la página."}</v>
      </c>
      <c r="G1" t="str">
        <f>"{"&amp;_xlfn.CONCAT(G2:G500)&amp;"}"</f>
        <v>{"title":"Connectez-vous","description":"Sur cette page, vous pouvez vous connecter ou enregistrer votre compte.","keywords":["Tourisme médical","laguna","torreon","Mexique","Connectez-vous"],"author":"Suresh Kumar Gadi","publisher":"https://plus.google.com/+SureshKumarGadi/posts","image":"https://lagunamedicalcenter.com/images/logo.jpg","twitter_creator":"@SureshKumarGadi","layout":"sign-in","type":"platform","head_000":"Inscrivez-vous ou connectez-vous","loading":"Chargement de la plateforme","loading_desc":"Si cela prend plus d'une minute, veuillez vérifier votre connexion Internet et actualiser la page."}</v>
      </c>
    </row>
    <row r="2" spans="1:7" x14ac:dyDescent="0.3">
      <c r="A2" t="s">
        <v>7</v>
      </c>
      <c r="B2" t="s">
        <v>762</v>
      </c>
      <c r="C2" t="s">
        <v>763</v>
      </c>
      <c r="D2" t="s">
        <v>764</v>
      </c>
      <c r="E2" t="str">
        <f t="shared" ref="E2:G3" si="0">CHAR(34)&amp;$A2&amp;CHAR(34)&amp;":"&amp;CHAR(34)&amp;B2&amp;CHAR(34)&amp;","</f>
        <v>"title":"Sign in",</v>
      </c>
      <c r="F2" t="str">
        <f t="shared" si="0"/>
        <v>"title":"Inicia sesión",</v>
      </c>
      <c r="G2" t="str">
        <f t="shared" si="0"/>
        <v>"title":"Connectez-vous",</v>
      </c>
    </row>
    <row r="3" spans="1:7" x14ac:dyDescent="0.3">
      <c r="A3" t="s">
        <v>9</v>
      </c>
      <c r="B3" t="s">
        <v>765</v>
      </c>
      <c r="C3" t="s">
        <v>766</v>
      </c>
      <c r="D3" t="s">
        <v>767</v>
      </c>
      <c r="E3" t="str">
        <f t="shared" si="0"/>
        <v>"description":"In this page you can sign-in or register your account.",</v>
      </c>
      <c r="F3" t="str">
        <f t="shared" si="0"/>
        <v>"description":"En esta página puede iniciar sesión o registrar su cuenta.",</v>
      </c>
      <c r="G3" t="str">
        <f t="shared" si="0"/>
        <v>"description":"Sur cette page, vous pouvez vous connecter ou enregistrer votre compte.",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Sign in</v>
      </c>
      <c r="C8" t="str">
        <f>C2</f>
        <v>Inicia sesión</v>
      </c>
      <c r="D8" t="str">
        <f>D2</f>
        <v>Connectez-vous</v>
      </c>
      <c r="E8" t="str">
        <f>CHAR(34)&amp;B8&amp;CHAR(34)&amp;"],"</f>
        <v>"Sign in"],</v>
      </c>
      <c r="F8" t="str">
        <f>CHAR(34)&amp;C8&amp;CHAR(34)&amp;"],"</f>
        <v>"Inicia sesión"],</v>
      </c>
      <c r="G8" t="str">
        <f>CHAR(34)&amp;D8&amp;CHAR(34)&amp;"],"</f>
        <v>"Connectez-vous"],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14" si="2">IF(ISBLANK($A9),"",CHAR(34)&amp;$A9&amp;CHAR(34)&amp;":"&amp;CHAR(34)&amp;C9&amp;CHAR(34)&amp;IF(ISBLANK($A10),"",","))</f>
        <v>"author":"Suresh Kumar Gadi",</v>
      </c>
      <c r="G9" t="str">
        <f t="shared" si="2"/>
        <v>"author":"Suresh Kumar Gadi",</v>
      </c>
    </row>
    <row r="10" spans="1:7" x14ac:dyDescent="0.3">
      <c r="A10" t="s">
        <v>12</v>
      </c>
      <c r="B10" s="3" t="s">
        <v>20</v>
      </c>
      <c r="C10" t="str">
        <f t="shared" ref="C10:D14"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si="3"/>
        <v>@SureshKumarGadi</v>
      </c>
      <c r="D12" t="str">
        <f t="shared" si="3"/>
        <v>@SureshKumarGadi</v>
      </c>
      <c r="E12" t="str">
        <f t="shared" si="4"/>
        <v>"twitter_creator":"@SureshKumarGadi",</v>
      </c>
      <c r="F12" t="str">
        <f t="shared" si="2"/>
        <v>"twitter_creator":"@SureshKumarGadi",</v>
      </c>
      <c r="G12" t="str">
        <f t="shared" si="2"/>
        <v>"twitter_creator":"@SureshKumarGadi",</v>
      </c>
    </row>
    <row r="13" spans="1:7" x14ac:dyDescent="0.3">
      <c r="A13" t="s">
        <v>259</v>
      </c>
      <c r="B13" t="s">
        <v>768</v>
      </c>
      <c r="C13" t="str">
        <f t="shared" si="3"/>
        <v>sign-in</v>
      </c>
      <c r="D13" t="str">
        <f t="shared" si="3"/>
        <v>sign-in</v>
      </c>
      <c r="E13" t="str">
        <f t="shared" si="4"/>
        <v>"layout":"sign-in",</v>
      </c>
      <c r="F13" t="str">
        <f t="shared" si="2"/>
        <v>"layout":"sign-in",</v>
      </c>
      <c r="G13" t="str">
        <f t="shared" si="2"/>
        <v>"layout":"sign-in",</v>
      </c>
    </row>
    <row r="14" spans="1:7" x14ac:dyDescent="0.3">
      <c r="A14" t="s">
        <v>279</v>
      </c>
      <c r="B14" t="s">
        <v>769</v>
      </c>
      <c r="C14" t="str">
        <f t="shared" si="3"/>
        <v>platform</v>
      </c>
      <c r="D14" t="str">
        <f t="shared" si="3"/>
        <v>platform</v>
      </c>
      <c r="E14" t="str">
        <f t="shared" si="4"/>
        <v>"type":"platform",</v>
      </c>
      <c r="F14" t="str">
        <f t="shared" si="2"/>
        <v>"type":"platform",</v>
      </c>
      <c r="G14" t="str">
        <f t="shared" si="2"/>
        <v>"type":"platform",</v>
      </c>
    </row>
    <row r="15" spans="1:7" x14ac:dyDescent="0.3">
      <c r="A15" t="s">
        <v>269</v>
      </c>
      <c r="B15" t="s">
        <v>770</v>
      </c>
      <c r="C15" t="s">
        <v>771</v>
      </c>
      <c r="D15" t="s">
        <v>772</v>
      </c>
      <c r="E15" t="str">
        <f t="shared" ref="E15" si="5">IF(ISBLANK($A15),"",CHAR(34)&amp;$A15&amp;CHAR(34)&amp;":"&amp;CHAR(34)&amp;B15&amp;CHAR(34)&amp;IF(ISBLANK($A16),"",","))</f>
        <v>"head_000":"Register or Sign-in",</v>
      </c>
      <c r="F15" t="str">
        <f t="shared" ref="F15" si="6">IF(ISBLANK($A15),"",CHAR(34)&amp;$A15&amp;CHAR(34)&amp;":"&amp;CHAR(34)&amp;C15&amp;CHAR(34)&amp;IF(ISBLANK($A16),"",","))</f>
        <v>"head_000":"Registrarse o Iniciar sesión",</v>
      </c>
      <c r="G15" t="str">
        <f t="shared" ref="G15" si="7">IF(ISBLANK($A15),"",CHAR(34)&amp;$A15&amp;CHAR(34)&amp;":"&amp;CHAR(34)&amp;D15&amp;CHAR(34)&amp;IF(ISBLANK($A16),"",","))</f>
        <v>"head_000":"Inscrivez-vous ou connectez-vous",</v>
      </c>
    </row>
    <row r="16" spans="1:7" x14ac:dyDescent="0.3">
      <c r="A16" t="s">
        <v>776</v>
      </c>
      <c r="B16" t="s">
        <v>777</v>
      </c>
      <c r="C16" t="s">
        <v>778</v>
      </c>
      <c r="D16" t="s">
        <v>779</v>
      </c>
      <c r="E16" t="str">
        <f t="shared" ref="E16:E17" si="8">IF(ISBLANK($A16),"",CHAR(34)&amp;$A16&amp;CHAR(34)&amp;":"&amp;CHAR(34)&amp;B16&amp;CHAR(34)&amp;IF(ISBLANK($A17),"",","))</f>
        <v>"loading":"Loading the platform",</v>
      </c>
      <c r="F16" t="str">
        <f t="shared" ref="F16:F17" si="9">IF(ISBLANK($A16),"",CHAR(34)&amp;$A16&amp;CHAR(34)&amp;":"&amp;CHAR(34)&amp;C16&amp;CHAR(34)&amp;IF(ISBLANK($A17),"",","))</f>
        <v>"loading":"Cargando la plataforma",</v>
      </c>
      <c r="G16" t="str">
        <f t="shared" ref="G16:G17" si="10">IF(ISBLANK($A16),"",CHAR(34)&amp;$A16&amp;CHAR(34)&amp;":"&amp;CHAR(34)&amp;D16&amp;CHAR(34)&amp;IF(ISBLANK($A17),"",","))</f>
        <v>"loading":"Chargement de la plateforme",</v>
      </c>
    </row>
    <row r="17" spans="1:7" x14ac:dyDescent="0.3">
      <c r="A17" t="s">
        <v>795</v>
      </c>
      <c r="B17" t="s">
        <v>796</v>
      </c>
      <c r="C17" t="s">
        <v>797</v>
      </c>
      <c r="D17" t="s">
        <v>798</v>
      </c>
      <c r="E17" t="str">
        <f t="shared" si="8"/>
        <v>"loading_desc":"If it takes longer than 1 minute, please check your internet and refresh the page."</v>
      </c>
      <c r="F17" t="str">
        <f t="shared" si="9"/>
        <v>"loading_desc":"Si tarda más de 1 minuto, compruebe su Internet y actualice la página."</v>
      </c>
      <c r="G17" t="str">
        <f t="shared" si="10"/>
        <v>"loading_desc":"Si cela prend plus d'une minute, veuillez vérifier votre connexion Internet et actualiser la page."</v>
      </c>
    </row>
    <row r="25" spans="1:7" x14ac:dyDescent="0.3">
      <c r="E25" t="str">
        <f t="shared" si="4"/>
        <v/>
      </c>
      <c r="F25" t="str">
        <f t="shared" si="4"/>
        <v/>
      </c>
      <c r="G25" t="str">
        <f t="shared" si="4"/>
        <v/>
      </c>
    </row>
    <row r="26" spans="1:7" x14ac:dyDescent="0.3">
      <c r="E26" t="str">
        <f t="shared" si="4"/>
        <v/>
      </c>
      <c r="F26" t="str">
        <f t="shared" si="4"/>
        <v/>
      </c>
      <c r="G26" t="str">
        <f t="shared" si="4"/>
        <v/>
      </c>
    </row>
    <row r="27" spans="1:7" x14ac:dyDescent="0.3">
      <c r="E27" t="str">
        <f t="shared" si="4"/>
        <v/>
      </c>
      <c r="F27" t="str">
        <f t="shared" si="4"/>
        <v/>
      </c>
      <c r="G27" t="str">
        <f t="shared" si="4"/>
        <v/>
      </c>
    </row>
    <row r="28" spans="1:7" x14ac:dyDescent="0.3">
      <c r="E28" t="str">
        <f t="shared" si="4"/>
        <v/>
      </c>
      <c r="F28" t="str">
        <f t="shared" si="4"/>
        <v/>
      </c>
      <c r="G28" t="str">
        <f t="shared" si="4"/>
        <v/>
      </c>
    </row>
    <row r="29" spans="1:7" x14ac:dyDescent="0.3">
      <c r="E29" t="str">
        <f t="shared" si="4"/>
        <v/>
      </c>
      <c r="F29" t="str">
        <f t="shared" si="4"/>
        <v/>
      </c>
      <c r="G29" t="str">
        <f t="shared" si="4"/>
        <v/>
      </c>
    </row>
    <row r="30" spans="1:7" x14ac:dyDescent="0.3">
      <c r="E30" t="str">
        <f t="shared" si="4"/>
        <v/>
      </c>
      <c r="F30" t="str">
        <f t="shared" si="4"/>
        <v/>
      </c>
      <c r="G30" t="str">
        <f t="shared" si="4"/>
        <v/>
      </c>
    </row>
    <row r="31" spans="1:7" x14ac:dyDescent="0.3">
      <c r="E31" t="str">
        <f t="shared" si="4"/>
        <v/>
      </c>
      <c r="F31" t="str">
        <f t="shared" si="4"/>
        <v/>
      </c>
      <c r="G31" t="str">
        <f t="shared" si="4"/>
        <v/>
      </c>
    </row>
    <row r="32" spans="1: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000E71C9-F5D1-4643-B015-EBCA466168FD}"/>
    <hyperlink ref="B11" r:id="rId2" xr:uid="{1B80DE71-6231-4734-A323-EE2406351615}"/>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F13BF-763B-4BEA-8A3D-7950F22EAC6F}">
  <sheetPr codeName="Sheet16"/>
  <dimension ref="A1:G52"/>
  <sheetViews>
    <sheetView zoomScaleNormal="100" workbookViewId="0">
      <selection activeCell="A15" sqref="A15"/>
    </sheetView>
  </sheetViews>
  <sheetFormatPr defaultRowHeight="14.4" x14ac:dyDescent="0.3"/>
  <cols>
    <col min="1" max="1" width="25.109375" customWidth="1"/>
  </cols>
  <sheetData>
    <row r="1" spans="1:7" x14ac:dyDescent="0.3">
      <c r="A1" t="s">
        <v>3</v>
      </c>
      <c r="B1" t="s">
        <v>0</v>
      </c>
      <c r="C1" t="s">
        <v>1</v>
      </c>
      <c r="D1" t="s">
        <v>2</v>
      </c>
      <c r="E1" t="str">
        <f>"{"&amp;_xlfn.CONCAT(E2:E51)&amp;"}"</f>
        <v>{"title":"Verify your email","description":"Your email is not verified. You need a verified email to access the platform.","keywords":["Medical tourism","laguna","torreon","mexico","Verify your email"],"author":"Suresh Kumar Gadi","publisher":"https://plus.google.com/+SureshKumarGadi/posts","image":"https://lagunamedicalcenter.com/images/logo.jpg","twitter_creator":"@SureshKumarGadi","layout":"verify-email","type":"platform","head_000":"Your unverified email is:","loading":"Loading the platform","loading_desc":"If it takes longer than 1 minute, please check your internet and refresh the page.","Button_000":"Send verification email","Button_001":"Sign out"}</v>
      </c>
      <c r="F1" t="str">
        <f>"{"&amp;_xlfn.CONCAT(F2:F501)&amp;"}"</f>
        <v>{"title":"Verifique su correo electrónico","description":"Su correo electrónico no está verificado. Necesita un correo electrónico verificado para acceder a la plataforma.","keywords":["Turismo médico","laguna","torreon","mexico","Verifique su correo electrónico"],"author":"Suresh Kumar Gadi","publisher":"https://plus.google.com/+SureshKumarGadi/posts","image":"https://lagunamedicalcenter.com/images/logo.jpg","twitter_creator":"@SureshKumarGadi","layout":"verify-email","type":"platform","head_000":"Su correo electrónico no verificado es:","loading":"Cargando la plataforma","loading_desc":"Si tarda más de 1 minuto, compruebe su Internet y actualice la página.","Button_000":"Envia un correo electronico de verificación","Button_001":"Desconectar"}</v>
      </c>
      <c r="G1" t="str">
        <f>"{"&amp;_xlfn.CONCAT(G2:G501)&amp;"}"</f>
        <v>{"title":"Vérifiez votre e-mail","description":"Votre email n'est pas vérifié. Vous avez besoin d'un email vérifié pour accéder à la plateforme.","keywords":["Tourisme médical","laguna","torreon","Mexique","Vérifiez votre e-mail"],"author":"Suresh Kumar Gadi","publisher":"https://plus.google.com/+SureshKumarGadi/posts","image":"https://lagunamedicalcenter.com/images/logo.jpg","twitter_creator":"@SureshKumarGadi","layout":"verify-email","type":"platform","head_000":"Votre email non vérifié est:","loading":"Chargement de la plateforme","loading_desc":"Si cela prend plus d'une minute, veuillez vérifier votre connexion Internet et actualiser la page.","Button_000":"Envoyer email de vérification","Button_001":"Déconnexion"}</v>
      </c>
    </row>
    <row r="2" spans="1:7" x14ac:dyDescent="0.3">
      <c r="A2" t="s">
        <v>7</v>
      </c>
      <c r="B2" t="s">
        <v>773</v>
      </c>
      <c r="C2" t="s">
        <v>774</v>
      </c>
      <c r="D2" t="s">
        <v>775</v>
      </c>
      <c r="E2" t="str">
        <f t="shared" ref="E2:G3" si="0">CHAR(34)&amp;$A2&amp;CHAR(34)&amp;":"&amp;CHAR(34)&amp;B2&amp;CHAR(34)&amp;","</f>
        <v>"title":"Verify your email",</v>
      </c>
      <c r="F2" t="str">
        <f t="shared" si="0"/>
        <v>"title":"Verifique su correo electrónico",</v>
      </c>
      <c r="G2" t="str">
        <f t="shared" si="0"/>
        <v>"title":"Vérifiez votre e-mail",</v>
      </c>
    </row>
    <row r="3" spans="1:7" x14ac:dyDescent="0.3">
      <c r="A3" t="s">
        <v>9</v>
      </c>
      <c r="B3" t="s">
        <v>780</v>
      </c>
      <c r="C3" t="s">
        <v>781</v>
      </c>
      <c r="D3" t="s">
        <v>782</v>
      </c>
      <c r="E3" t="str">
        <f t="shared" si="0"/>
        <v>"description":"Your email is not verified. You need a verified email to access the platform.",</v>
      </c>
      <c r="F3" t="str">
        <f t="shared" si="0"/>
        <v>"description":"Su correo electrónico no está verificado. Necesita un correo electrónico verificado para acceder a la plataforma.",</v>
      </c>
      <c r="G3" t="str">
        <f t="shared" si="0"/>
        <v>"description":"Votre email n'est pas vérifié. Vous avez besoin d'un email vérifié pour accéder à la plateforme.",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Verify your email</v>
      </c>
      <c r="C8" t="str">
        <f>C2</f>
        <v>Verifique su correo electrónico</v>
      </c>
      <c r="D8" t="str">
        <f>D2</f>
        <v>Vérifiez votre e-mail</v>
      </c>
      <c r="E8" t="str">
        <f>CHAR(34)&amp;B8&amp;CHAR(34)&amp;"],"</f>
        <v>"Verify your email"],</v>
      </c>
      <c r="F8" t="str">
        <f>CHAR(34)&amp;C8&amp;CHAR(34)&amp;"],"</f>
        <v>"Verifique su correo electrónico"],</v>
      </c>
      <c r="G8" t="str">
        <f>CHAR(34)&amp;D8&amp;CHAR(34)&amp;"],"</f>
        <v>"Vérifiez votre e-mail"],</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15" si="2">IF(ISBLANK($A9),"",CHAR(34)&amp;$A9&amp;CHAR(34)&amp;":"&amp;CHAR(34)&amp;C9&amp;CHAR(34)&amp;IF(ISBLANK($A10),"",","))</f>
        <v>"author":"Suresh Kumar Gadi",</v>
      </c>
      <c r="G9" t="str">
        <f t="shared" si="2"/>
        <v>"author":"Suresh Kumar Gadi",</v>
      </c>
    </row>
    <row r="10" spans="1:7" x14ac:dyDescent="0.3">
      <c r="A10" t="s">
        <v>12</v>
      </c>
      <c r="B10" s="3" t="s">
        <v>20</v>
      </c>
      <c r="C10" t="str">
        <f t="shared" ref="C10:D14" si="3">IF(ISBLANK(B10),"",B10)</f>
        <v>https://plus.google.com/+SureshKumarGadi/posts</v>
      </c>
      <c r="D10" t="str">
        <f t="shared" si="3"/>
        <v>https://plus.google.com/+SureshKumarGadi/posts</v>
      </c>
      <c r="E10" t="str">
        <f t="shared" ref="E10:G52"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si="3"/>
        <v>@SureshKumarGadi</v>
      </c>
      <c r="D12" t="str">
        <f t="shared" si="3"/>
        <v>@SureshKumarGadi</v>
      </c>
      <c r="E12" t="str">
        <f t="shared" si="4"/>
        <v>"twitter_creator":"@SureshKumarGadi",</v>
      </c>
      <c r="F12" t="str">
        <f t="shared" si="2"/>
        <v>"twitter_creator":"@SureshKumarGadi",</v>
      </c>
      <c r="G12" t="str">
        <f t="shared" si="2"/>
        <v>"twitter_creator":"@SureshKumarGadi",</v>
      </c>
    </row>
    <row r="13" spans="1:7" x14ac:dyDescent="0.3">
      <c r="A13" t="s">
        <v>259</v>
      </c>
      <c r="B13" t="s">
        <v>794</v>
      </c>
      <c r="C13" t="str">
        <f t="shared" si="3"/>
        <v>verify-email</v>
      </c>
      <c r="D13" t="str">
        <f t="shared" si="3"/>
        <v>verify-email</v>
      </c>
      <c r="E13" t="str">
        <f t="shared" si="4"/>
        <v>"layout":"verify-email",</v>
      </c>
      <c r="F13" t="str">
        <f t="shared" si="2"/>
        <v>"layout":"verify-email",</v>
      </c>
      <c r="G13" t="str">
        <f t="shared" si="2"/>
        <v>"layout":"verify-email",</v>
      </c>
    </row>
    <row r="14" spans="1:7" x14ac:dyDescent="0.3">
      <c r="A14" t="s">
        <v>279</v>
      </c>
      <c r="B14" t="s">
        <v>769</v>
      </c>
      <c r="C14" t="str">
        <f t="shared" si="3"/>
        <v>platform</v>
      </c>
      <c r="D14" t="str">
        <f t="shared" si="3"/>
        <v>platform</v>
      </c>
      <c r="E14" t="str">
        <f t="shared" si="4"/>
        <v>"type":"platform",</v>
      </c>
      <c r="F14" t="str">
        <f t="shared" si="2"/>
        <v>"type":"platform",</v>
      </c>
      <c r="G14" t="str">
        <f t="shared" si="2"/>
        <v>"type":"platform",</v>
      </c>
    </row>
    <row r="15" spans="1:7" x14ac:dyDescent="0.3">
      <c r="A15" t="s">
        <v>269</v>
      </c>
      <c r="B15" t="s">
        <v>783</v>
      </c>
      <c r="C15" t="s">
        <v>785</v>
      </c>
      <c r="D15" t="s">
        <v>784</v>
      </c>
      <c r="E15" t="str">
        <f t="shared" si="4"/>
        <v>"head_000":"Your unverified email is:",</v>
      </c>
      <c r="F15" t="str">
        <f t="shared" si="2"/>
        <v>"head_000":"Su correo electrónico no verificado es:",</v>
      </c>
      <c r="G15" t="str">
        <f t="shared" si="2"/>
        <v>"head_000":"Votre email non vérifié est:",</v>
      </c>
    </row>
    <row r="16" spans="1:7" x14ac:dyDescent="0.3">
      <c r="A16" t="s">
        <v>776</v>
      </c>
      <c r="B16" t="s">
        <v>777</v>
      </c>
      <c r="C16" t="s">
        <v>778</v>
      </c>
      <c r="D16" t="s">
        <v>779</v>
      </c>
      <c r="E16" t="str">
        <f t="shared" ref="E16:E19" si="5">IF(ISBLANK($A16),"",CHAR(34)&amp;$A16&amp;CHAR(34)&amp;":"&amp;CHAR(34)&amp;B16&amp;CHAR(34)&amp;IF(ISBLANK($A17),"",","))</f>
        <v>"loading":"Loading the platform",</v>
      </c>
      <c r="F16" t="str">
        <f t="shared" ref="F16:F19" si="6">IF(ISBLANK($A16),"",CHAR(34)&amp;$A16&amp;CHAR(34)&amp;":"&amp;CHAR(34)&amp;C16&amp;CHAR(34)&amp;IF(ISBLANK($A17),"",","))</f>
        <v>"loading":"Cargando la plataforma",</v>
      </c>
      <c r="G16" t="str">
        <f t="shared" ref="G16:G19" si="7">IF(ISBLANK($A16),"",CHAR(34)&amp;$A16&amp;CHAR(34)&amp;":"&amp;CHAR(34)&amp;D16&amp;CHAR(34)&amp;IF(ISBLANK($A17),"",","))</f>
        <v>"loading":"Chargement de la plateforme",</v>
      </c>
    </row>
    <row r="17" spans="1:7" x14ac:dyDescent="0.3">
      <c r="A17" t="s">
        <v>795</v>
      </c>
      <c r="B17" t="s">
        <v>796</v>
      </c>
      <c r="C17" t="s">
        <v>797</v>
      </c>
      <c r="D17" t="s">
        <v>798</v>
      </c>
      <c r="E17" t="str">
        <f t="shared" si="5"/>
        <v>"loading_desc":"If it takes longer than 1 minute, please check your internet and refresh the page.",</v>
      </c>
      <c r="F17" t="str">
        <f t="shared" si="6"/>
        <v>"loading_desc":"Si tarda más de 1 minuto, compruebe su Internet y actualice la página.",</v>
      </c>
      <c r="G17" t="str">
        <f t="shared" si="7"/>
        <v>"loading_desc":"Si cela prend plus d'une minute, veuillez vérifier votre connexion Internet et actualiser la page.",</v>
      </c>
    </row>
    <row r="18" spans="1:7" x14ac:dyDescent="0.3">
      <c r="A18" t="s">
        <v>788</v>
      </c>
      <c r="B18" t="s">
        <v>786</v>
      </c>
      <c r="C18" t="s">
        <v>790</v>
      </c>
      <c r="D18" t="s">
        <v>791</v>
      </c>
      <c r="E18" t="str">
        <f t="shared" si="5"/>
        <v>"Button_000":"Send verification email",</v>
      </c>
      <c r="F18" t="str">
        <f t="shared" si="6"/>
        <v>"Button_000":"Envia un correo electronico de verificación",</v>
      </c>
      <c r="G18" t="str">
        <f t="shared" si="7"/>
        <v>"Button_000":"Envoyer email de vérification",</v>
      </c>
    </row>
    <row r="19" spans="1:7" x14ac:dyDescent="0.3">
      <c r="A19" t="s">
        <v>789</v>
      </c>
      <c r="B19" t="s">
        <v>787</v>
      </c>
      <c r="C19" t="s">
        <v>793</v>
      </c>
      <c r="D19" t="s">
        <v>792</v>
      </c>
      <c r="E19" t="str">
        <f t="shared" si="5"/>
        <v>"Button_001":"Sign out"</v>
      </c>
      <c r="F19" t="str">
        <f t="shared" si="6"/>
        <v>"Button_001":"Desconectar"</v>
      </c>
      <c r="G19" t="str">
        <f t="shared" si="7"/>
        <v>"Button_001":"Déconnexion"</v>
      </c>
    </row>
    <row r="26" spans="1:7" x14ac:dyDescent="0.3">
      <c r="E26" t="str">
        <f t="shared" si="4"/>
        <v/>
      </c>
      <c r="F26" t="str">
        <f t="shared" si="4"/>
        <v/>
      </c>
      <c r="G26" t="str">
        <f t="shared" si="4"/>
        <v/>
      </c>
    </row>
    <row r="27" spans="1:7" x14ac:dyDescent="0.3">
      <c r="E27" t="str">
        <f t="shared" si="4"/>
        <v/>
      </c>
      <c r="F27" t="str">
        <f t="shared" si="4"/>
        <v/>
      </c>
      <c r="G27" t="str">
        <f t="shared" si="4"/>
        <v/>
      </c>
    </row>
    <row r="28" spans="1:7" x14ac:dyDescent="0.3">
      <c r="E28" t="str">
        <f t="shared" si="4"/>
        <v/>
      </c>
      <c r="F28" t="str">
        <f t="shared" si="4"/>
        <v/>
      </c>
      <c r="G28" t="str">
        <f t="shared" si="4"/>
        <v/>
      </c>
    </row>
    <row r="29" spans="1:7" x14ac:dyDescent="0.3">
      <c r="E29" t="str">
        <f t="shared" si="4"/>
        <v/>
      </c>
      <c r="F29" t="str">
        <f t="shared" si="4"/>
        <v/>
      </c>
      <c r="G29" t="str">
        <f t="shared" si="4"/>
        <v/>
      </c>
    </row>
    <row r="30" spans="1:7" x14ac:dyDescent="0.3">
      <c r="E30" t="str">
        <f t="shared" si="4"/>
        <v/>
      </c>
      <c r="F30" t="str">
        <f t="shared" si="4"/>
        <v/>
      </c>
      <c r="G30" t="str">
        <f t="shared" si="4"/>
        <v/>
      </c>
    </row>
    <row r="31" spans="1:7" x14ac:dyDescent="0.3">
      <c r="E31" t="str">
        <f t="shared" si="4"/>
        <v/>
      </c>
      <c r="F31" t="str">
        <f t="shared" si="4"/>
        <v/>
      </c>
      <c r="G31" t="str">
        <f t="shared" si="4"/>
        <v/>
      </c>
    </row>
    <row r="32" spans="1: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row r="52" spans="5:7" x14ac:dyDescent="0.3">
      <c r="E52" t="str">
        <f t="shared" si="4"/>
        <v/>
      </c>
      <c r="F52" t="str">
        <f t="shared" si="4"/>
        <v/>
      </c>
      <c r="G52" t="str">
        <f t="shared" si="4"/>
        <v/>
      </c>
    </row>
  </sheetData>
  <hyperlinks>
    <hyperlink ref="B10" r:id="rId1" xr:uid="{84ADB053-73E7-4CAB-BD1C-A09434BC4E6A}"/>
    <hyperlink ref="B11" r:id="rId2" xr:uid="{19B94385-135C-4A15-8E66-C9B41DCCB973}"/>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030B6-7AA6-4328-85F5-8179E3B8445A}">
  <sheetPr codeName="Sheet1"/>
  <dimension ref="A1:O53"/>
  <sheetViews>
    <sheetView zoomScale="130" zoomScaleNormal="130" workbookViewId="0">
      <selection activeCell="O4" sqref="O4"/>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"MainSlider":[{"index":"000","image":"/img/slider-1.jpg","url":"","title":"We Care For You","text":"The Laguna Medical Center we care about you and that is why we have only the best and most qualified members to give you the best service.","button":""},{"index":"001","image":"/img/slider-1.jpg","url":"","title":"We Provide Healthcare Solutions","text":"The Cluster is located in the Lagunera Region of Mexico and is made up of public and private hospitals in the Lagunera region, as well as tourist companies.","button":""}],</v>
      </c>
      <c r="N2" s="1" t="str">
        <f t="shared" ref="N2:O2" ca="1" si="0">CHAR(34)&amp;MID(CELL("filename",B1),FIND("]",CELL("filename",B1))+1,31)&amp;CHAR(34)&amp;":"&amp;"["&amp;_xlfn.CONCAT(N3:N53)&amp;"],"</f>
        <v>"MainSlider":[{"index":"000","image":"/img/slider-1.jpg","url":"","title":"Nos preocupamos por ti","text":"El Laguna Medical Center nos preocupamos por ti y es por eso que contamos solo con los mejores y más calificados miembros para darte el mejor servicio.","button":""},{"index":"001","image":"/img/slider-1.jpg","url":"","title":"Brindamos Soluciones de Salud","text":"El Clúster esta ubicado en la Región Lagunera en México y está conformado por hospitales públicos y privados de la región Lagunera, así como empresas turísticas.","button":""}],</v>
      </c>
      <c r="O2" s="1" t="str">
        <f t="shared" ca="1" si="0"/>
        <v>"MainSlider":[{"index":"000","image":"/img/slider-1.jpg","url":"","title":"Nous prenons soin de vous","text":"Le centre médical Laguna nous nous soucions de vous et c’est pourquoi nous ne disposons que des membres les meilleurs et les plus qualifiés pour vous offrir le meilleur service.","button":""},{"index":"001","image":"/img/slider-1.jpg","url":"","title":"Nous fournissons des solutions de soins de santé","text":"Le cluster est situé dans la région de Lagunera au Mexique et comprend des hôpitaux publics et privés de la région de Lagunera, ainsi que des entreprises de tourisme.","button":""}],</v>
      </c>
    </row>
    <row r="3" spans="1:15" x14ac:dyDescent="0.3">
      <c r="A3" s="1" t="str">
        <f>TEXT(ROW()-3,"000")</f>
        <v>000</v>
      </c>
      <c r="B3" s="1" t="s">
        <v>238</v>
      </c>
      <c r="D3" s="1" t="s">
        <v>27</v>
      </c>
      <c r="E3" s="1" t="s">
        <v>35</v>
      </c>
      <c r="G3" s="1" t="s">
        <v>33</v>
      </c>
      <c r="H3" s="1" t="s">
        <v>28</v>
      </c>
      <c r="J3" s="1" t="s">
        <v>31</v>
      </c>
      <c r="K3" s="1" t="s">
        <v>37</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{"index":"000","image":"/img/slider-1.jpg","url":"","title":"We Care For You","text":"The Laguna Medical Center we care about you and that is why we have only the best and most qualified members to give you the best service.","button":""},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{"index":"000","image":"/img/slider-1.jpg","url":"","title":"Nos preocupamos por ti","text":"El Laguna Medical Center nos preocupamos por ti y es por eso que contamos solo con los mejores y más calificados miembros para darte el mejor servicio.","button":""},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{"index":"000","image":"/img/slider-1.jpg","url":"","title":"Nous prenons soin de vous","text":"Le centre médical Laguna nous nous soucions de vous et c’est pourquoi nous ne disposons que des membres les meilleurs et les plus qualifiés pour vous offrir le meilleur service.","button":""},</v>
      </c>
    </row>
    <row r="4" spans="1:15" x14ac:dyDescent="0.3">
      <c r="A4" s="1" t="str">
        <f t="shared" ref="A4:A53" si="1">TEXT(ROW()-3,"000")</f>
        <v>001</v>
      </c>
      <c r="B4" s="1" t="s">
        <v>238</v>
      </c>
      <c r="D4" s="1" t="s">
        <v>30</v>
      </c>
      <c r="E4" s="1" t="s">
        <v>36</v>
      </c>
      <c r="G4" s="1" t="s">
        <v>34</v>
      </c>
      <c r="H4" s="1" t="s">
        <v>29</v>
      </c>
      <c r="J4" s="1" t="s">
        <v>32</v>
      </c>
      <c r="K4" s="1" t="s">
        <v>38</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{"index":"001","image":"/img/slider-1.jpg","url":"","title":"We Provide Healthcare Solutions","text":"The Cluster is located in the Lagunera Region of Mexico and is made up of public and private hospitals in the Lagunera region, as well as tourist companies.","button":""}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{"index":"001","image":"/img/slider-1.jpg","url":"","title":"Brindamos Soluciones de Salud","text":"El Clúster esta ubicado en la Región Lagunera en México y está conformado por hospitales públicos y privados de la región Lagunera, así como empresas turísticas.","button":""}</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{"index":"001","image":"/img/slider-1.jpg","url":"","title":"Nous fournissons des solutions de soins de santé","text":"Le cluster est situé dans la région de Lagunera au Mexique et comprend des hôpitaux publics et privés de la région de Lagunera, ainsi que des entreprises de tourisme.","button":""}</v>
      </c>
    </row>
    <row r="5" spans="1:15" x14ac:dyDescent="0.3">
      <c r="A5" s="1" t="str">
        <f t="shared" si="1"/>
        <v>002</v>
      </c>
      <c r="M5" s="1" t="str">
        <f t="shared" si="2"/>
        <v/>
      </c>
      <c r="N5" s="1" t="str">
        <f t="shared" si="3"/>
        <v/>
      </c>
      <c r="O5" s="1" t="str">
        <f t="shared" si="4"/>
        <v/>
      </c>
    </row>
    <row r="6" spans="1:15" x14ac:dyDescent="0.3">
      <c r="A6" s="1" t="str">
        <f t="shared" si="1"/>
        <v>003</v>
      </c>
      <c r="M6" s="1" t="str">
        <f t="shared" si="2"/>
        <v/>
      </c>
      <c r="N6" s="1" t="str">
        <f t="shared" si="3"/>
        <v/>
      </c>
      <c r="O6" s="1" t="str">
        <f t="shared" si="4"/>
        <v/>
      </c>
    </row>
    <row r="7" spans="1:15" x14ac:dyDescent="0.3">
      <c r="A7" s="1" t="str">
        <f t="shared" si="1"/>
        <v>004</v>
      </c>
      <c r="M7" s="1" t="str">
        <f t="shared" si="2"/>
        <v/>
      </c>
      <c r="N7" s="1" t="str">
        <f t="shared" si="3"/>
        <v/>
      </c>
      <c r="O7" s="1" t="str">
        <f t="shared" si="4"/>
        <v/>
      </c>
    </row>
    <row r="8" spans="1:15" x14ac:dyDescent="0.3">
      <c r="A8" s="1" t="str">
        <f t="shared" si="1"/>
        <v>005</v>
      </c>
      <c r="M8" s="1" t="str">
        <f t="shared" si="2"/>
        <v/>
      </c>
      <c r="N8" s="1" t="str">
        <f t="shared" si="3"/>
        <v/>
      </c>
      <c r="O8" s="1" t="str">
        <f t="shared" si="4"/>
        <v/>
      </c>
    </row>
    <row r="9" spans="1:15" x14ac:dyDescent="0.3">
      <c r="A9" s="1" t="str">
        <f t="shared" si="1"/>
        <v>006</v>
      </c>
      <c r="M9" s="1" t="str">
        <f t="shared" si="2"/>
        <v/>
      </c>
      <c r="N9" s="1" t="str">
        <f t="shared" si="3"/>
        <v/>
      </c>
      <c r="O9" s="1" t="str">
        <f t="shared" si="4"/>
        <v/>
      </c>
    </row>
    <row r="10" spans="1:15" x14ac:dyDescent="0.3">
      <c r="A10" s="1" t="str">
        <f t="shared" si="1"/>
        <v>007</v>
      </c>
      <c r="M10" s="1" t="str">
        <f t="shared" si="2"/>
        <v/>
      </c>
      <c r="N10" s="1" t="str">
        <f t="shared" si="3"/>
        <v/>
      </c>
      <c r="O10" s="1" t="str">
        <f t="shared" si="4"/>
        <v/>
      </c>
    </row>
    <row r="11" spans="1:15" x14ac:dyDescent="0.3">
      <c r="A11" s="1" t="str">
        <f t="shared" si="1"/>
        <v>008</v>
      </c>
      <c r="M11" s="1" t="str">
        <f t="shared" si="2"/>
        <v/>
      </c>
      <c r="N11" s="1" t="str">
        <f t="shared" si="3"/>
        <v/>
      </c>
      <c r="O11" s="1" t="str">
        <f t="shared" si="4"/>
        <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97080-6B9F-4AB2-9E22-C5184AAA1DE2}">
  <sheetPr codeName="Sheet4"/>
  <dimension ref="A1:O53"/>
  <sheetViews>
    <sheetView zoomScale="130" zoomScaleNormal="130" workbookViewId="0">
      <selection activeCell="M1" sqref="M1:O1048576"/>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"MainHighlights":[{"index":"000","image":"flaticon-hospital-bed","url":"/medical-procedures/","title":"Procedures and Treatments","text":"We have a wide variety of procedures and specialties available to improve your quality of life.","button":"Read more"},{"index":"001","image":"flaticon-first-aid-kit","url":"/platform/profile/","title":"Platform","text":"List of the most requested services by patients.","button":"Take me to the platform"},{"index":"002","image":"flaticon-hospital","url":"/members/","title":"Directory of hospitals and clinics","text":"We have the best qualified hospitals and doctors to give you the best service you need.","button":"Read more"}],</v>
      </c>
      <c r="N2" s="1" t="str">
        <f t="shared" ref="N2:O2" ca="1" si="0">CHAR(34)&amp;MID(CELL("filename",B1),FIND("]",CELL("filename",B1))+1,31)&amp;CHAR(34)&amp;":"&amp;"["&amp;_xlfn.CONCAT(N3:N53)&amp;"],"</f>
        <v>"MainHighlights":[{"index":"000","image":"flaticon-hospital-bed","url":"/medical-procedures/","title":"Procedimientos y Tratamientos","text":"Contamos con una amplia variedad de procedimientos y especialidades disponibles para mejorar tu calidad de vida.","button":"Lee mas"},{"index":"001","image":"flaticon-first-aid-kit","url":"/platform/profile/","title":"Plataforma","text":"Listado de los servicios más requeridos por los pacientes.","button":"Llévame a la plataforma"},{"index":"002","image":"flaticon-hospital","url":"/members/","title":"Directorio de hospitales y clínicas","text":"Contamos con los hospitales y médicos mejor calificados para darte el mejor servicio que necesitas.","button":"Lee mas"}],</v>
      </c>
      <c r="O2" s="1" t="str">
        <f t="shared" ca="1" si="0"/>
        <v>"MainHighlights":[{"index":"000","image":"flaticon-hospital-bed","url":"/medical-procedures/","title":"Procédures et Traitements","text":"Nous disposons d'une grande variété de procédures et de spécialités pour améliorer votre qualité de vie.","button":"Lire plus"},{"index":"001","image":"flaticon-first-aid-kit","url":"/platform/profile/","title":"Plate-forme","text":"Liste des services les plus demandés par les patients.","button":"Emmenez-moi à la plate-forme"},{"index":"002","image":"flaticon-hospital","url":"/members/","title":"Annuaire des hôpitaux et des cliniques","text":"Nous avons les hôpitaux et les médecins les mieux qualifiés pour vous offrir le meilleur service possible.","button":"Lire plus"}],</v>
      </c>
    </row>
    <row r="3" spans="1:15" x14ac:dyDescent="0.3">
      <c r="A3" s="1" t="str">
        <f>TEXT(ROW()-3,"000")</f>
        <v>000</v>
      </c>
      <c r="B3" s="1" t="s">
        <v>39</v>
      </c>
      <c r="C3" s="1" t="s">
        <v>42</v>
      </c>
      <c r="D3" s="1" t="s">
        <v>54</v>
      </c>
      <c r="E3" s="1" t="s">
        <v>57</v>
      </c>
      <c r="F3" s="1" t="s">
        <v>53</v>
      </c>
      <c r="G3" s="1" t="s">
        <v>44</v>
      </c>
      <c r="H3" s="1" t="s">
        <v>47</v>
      </c>
      <c r="I3" s="1" t="s">
        <v>51</v>
      </c>
      <c r="J3" s="1" t="s">
        <v>65</v>
      </c>
      <c r="K3" s="1" t="s">
        <v>60</v>
      </c>
      <c r="L3" s="1" t="s">
        <v>63</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{"index":"000","image":"flaticon-hospital-bed","url":"/medical-procedures/","title":"Procedures and Treatments","text":"We have a wide variety of procedures and specialties available to improve your quality of life.","button":"Read more"},</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{"index":"000","image":"flaticon-hospital-bed","url":"/medical-procedures/","title":"Procedimientos y Tratamientos","text":"Contamos con una amplia variedad de procedimientos y especialidades disponibles para mejorar tu calidad de vida.","button":"Lee mas"},</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{"index":"000","image":"flaticon-hospital-bed","url":"/medical-procedures/","title":"Procédures et Traitements","text":"Nous disposons d'une grande variété de procédures et de spécialités pour améliorer votre qualité de vie.","button":"Lire plus"},</v>
      </c>
    </row>
    <row r="4" spans="1:15" x14ac:dyDescent="0.3">
      <c r="A4" s="1" t="str">
        <f t="shared" ref="A4:A53" si="1">TEXT(ROW()-3,"000")</f>
        <v>001</v>
      </c>
      <c r="B4" s="1" t="s">
        <v>40</v>
      </c>
      <c r="C4" s="1" t="s">
        <v>68</v>
      </c>
      <c r="D4" s="1" t="s">
        <v>55</v>
      </c>
      <c r="E4" s="1" t="s">
        <v>58</v>
      </c>
      <c r="F4" s="1" t="s">
        <v>52</v>
      </c>
      <c r="G4" s="1" t="s">
        <v>45</v>
      </c>
      <c r="H4" s="1" t="s">
        <v>48</v>
      </c>
      <c r="I4" s="1" t="s">
        <v>50</v>
      </c>
      <c r="J4" s="1" t="s">
        <v>66</v>
      </c>
      <c r="K4" s="1" t="s">
        <v>61</v>
      </c>
      <c r="L4" s="1" t="s">
        <v>64</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{"index":"001","image":"flaticon-first-aid-kit","url":"/platform/profile/","title":"Platform","text":"List of the most requested services by patients.","button":"Take me to the platform"},</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{"index":"001","image":"flaticon-first-aid-kit","url":"/platform/profile/","title":"Plataforma","text":"Listado de los servicios más requeridos por los pacientes.","button":"Llévame a la plataforma"},</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{"index":"001","image":"flaticon-first-aid-kit","url":"/platform/profile/","title":"Plate-forme","text":"Liste des services les plus demandés par les patients.","button":"Emmenez-moi à la plate-forme"},</v>
      </c>
    </row>
    <row r="5" spans="1:15" x14ac:dyDescent="0.3">
      <c r="A5" s="1" t="str">
        <f t="shared" si="1"/>
        <v>002</v>
      </c>
      <c r="B5" s="1" t="s">
        <v>41</v>
      </c>
      <c r="C5" s="1" t="s">
        <v>43</v>
      </c>
      <c r="D5" s="1" t="s">
        <v>56</v>
      </c>
      <c r="E5" s="1" t="s">
        <v>59</v>
      </c>
      <c r="F5" s="1" t="s">
        <v>53</v>
      </c>
      <c r="G5" s="1" t="s">
        <v>46</v>
      </c>
      <c r="H5" s="1" t="s">
        <v>49</v>
      </c>
      <c r="I5" s="1" t="s">
        <v>51</v>
      </c>
      <c r="J5" s="1" t="s">
        <v>67</v>
      </c>
      <c r="K5" s="1" t="s">
        <v>62</v>
      </c>
      <c r="L5" s="1" t="s">
        <v>63</v>
      </c>
      <c r="M5" s="1" t="str">
        <f t="shared" si="2"/>
        <v>{"index":"002","image":"flaticon-hospital","url":"/members/","title":"Directory of hospitals and clinics","text":"We have the best qualified hospitals and doctors to give you the best service you need.","button":"Read more"}</v>
      </c>
      <c r="N5" s="1" t="str">
        <f t="shared" si="3"/>
        <v>{"index":"002","image":"flaticon-hospital","url":"/members/","title":"Directorio de hospitales y clínicas","text":"Contamos con los hospitales y médicos mejor calificados para darte el mejor servicio que necesitas.","button":"Lee mas"}</v>
      </c>
      <c r="O5" s="1" t="str">
        <f t="shared" si="4"/>
        <v>{"index":"002","image":"flaticon-hospital","url":"/members/","title":"Annuaire des hôpitaux et des cliniques","text":"Nous avons les hôpitaux et les médecins les mieux qualifiés pour vous offrir le meilleur service possible.","button":"Lire plus"}</v>
      </c>
    </row>
    <row r="6" spans="1:15" x14ac:dyDescent="0.3">
      <c r="A6" s="1" t="str">
        <f t="shared" si="1"/>
        <v>003</v>
      </c>
      <c r="M6" s="1" t="str">
        <f t="shared" si="2"/>
        <v/>
      </c>
      <c r="N6" s="1" t="str">
        <f t="shared" si="3"/>
        <v/>
      </c>
      <c r="O6" s="1" t="str">
        <f t="shared" si="4"/>
        <v/>
      </c>
    </row>
    <row r="7" spans="1:15" x14ac:dyDescent="0.3">
      <c r="A7" s="1" t="str">
        <f t="shared" si="1"/>
        <v>004</v>
      </c>
      <c r="M7" s="1" t="str">
        <f t="shared" si="2"/>
        <v/>
      </c>
      <c r="N7" s="1" t="str">
        <f t="shared" si="3"/>
        <v/>
      </c>
      <c r="O7" s="1" t="str">
        <f t="shared" si="4"/>
        <v/>
      </c>
    </row>
    <row r="8" spans="1:15" x14ac:dyDescent="0.3">
      <c r="A8" s="1" t="str">
        <f t="shared" si="1"/>
        <v>005</v>
      </c>
      <c r="M8" s="1" t="str">
        <f t="shared" si="2"/>
        <v/>
      </c>
      <c r="N8" s="1" t="str">
        <f t="shared" si="3"/>
        <v/>
      </c>
      <c r="O8" s="1" t="str">
        <f t="shared" si="4"/>
        <v/>
      </c>
    </row>
    <row r="9" spans="1:15" x14ac:dyDescent="0.3">
      <c r="A9" s="1" t="str">
        <f t="shared" si="1"/>
        <v>006</v>
      </c>
      <c r="M9" s="1" t="str">
        <f t="shared" si="2"/>
        <v/>
      </c>
      <c r="N9" s="1" t="str">
        <f t="shared" si="3"/>
        <v/>
      </c>
      <c r="O9" s="1" t="str">
        <f t="shared" si="4"/>
        <v/>
      </c>
    </row>
    <row r="10" spans="1:15" x14ac:dyDescent="0.3">
      <c r="A10" s="1" t="str">
        <f t="shared" si="1"/>
        <v>007</v>
      </c>
      <c r="M10" s="1" t="str">
        <f t="shared" si="2"/>
        <v/>
      </c>
      <c r="N10" s="1" t="str">
        <f t="shared" si="3"/>
        <v/>
      </c>
      <c r="O10" s="1" t="str">
        <f t="shared" si="4"/>
        <v/>
      </c>
    </row>
    <row r="11" spans="1:15" x14ac:dyDescent="0.3">
      <c r="A11" s="1" t="str">
        <f t="shared" si="1"/>
        <v>008</v>
      </c>
      <c r="M11" s="1" t="str">
        <f t="shared" si="2"/>
        <v/>
      </c>
      <c r="N11" s="1" t="str">
        <f t="shared" si="3"/>
        <v/>
      </c>
      <c r="O11" s="1" t="str">
        <f t="shared" si="4"/>
        <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6D3DB-879C-412D-93B3-28D879840441}">
  <sheetPr codeName="Sheet5"/>
  <dimension ref="A1:O53"/>
  <sheetViews>
    <sheetView zoomScale="130" zoomScaleNormal="130" workbookViewId="0">
      <selection activeCell="F3" sqref="F3:F5"/>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"WhyUs":[{"index":"000","image":"flaticon-first-aid-kit","url":"/medical-procedures/","title":"Medical procedures","text":"Know all the procedures that Laguna Medical Center has to offer.","button":"More information"},{"index":"001","image":"flaticon-hospital","url":"/members/","title":"Members","text":"Meet all the companies that are part of this project.","button":"More information"},{"index":"002","image":"flaticon-hospital-bed","url":"/packages/","title":"packages","text":"Check our costs or quote the surgery you need.","button":"More information"},{"index":"003","image":"flaticon-heart-rate","url":"/platform/profile/","title":"Platform","text":"Enter our personalized platform to quote your treatment or get in touch with someone from our team for more information.","button":"Take me to the platform"}],</v>
      </c>
      <c r="N2" s="1" t="str">
        <f t="shared" ref="N2:O2" ca="1" si="0">CHAR(34)&amp;MID(CELL("filename",B1),FIND("]",CELL("filename",B1))+1,31)&amp;CHAR(34)&amp;":"&amp;"["&amp;_xlfn.CONCAT(N3:N53)&amp;"],"</f>
        <v>"WhyUs":[{"index":"000","image":"flaticon-first-aid-kit","url":"/medical-procedures/","title":"Procedimientos médicos","text":"Conoce todos los procedimientos que Laguna Medical Center tiene para ofrecer.","button":"Más información"},{"index":"001","image":"flaticon-hospital","url":"/members/","title":"Miembros","text":"Conoce todos los procedimientos que Laguna Medical Center tiene para ofrecer.","button":"Llévame a la plataforma"},{"index":"002","image":"flaticon-hospital-bed","url":"/packages/","title":"Paquetes","text":"Conoce todos los procedimientos que Laguna Medical Center tiene para ofrecer.","button":"Más información"},{"index":"003","image":"flaticon-heart-rate","url":"/platform/profile/","title":"Plataforma","text":"Entra a nuestra plataforma personalizada para cotizar tu tratamiento o ponerte en contacto con alguien de nuestro equipo para más información.","button":"Llévame a la plataforma"}],</v>
      </c>
      <c r="O2" s="1" t="str">
        <f t="shared" ca="1" si="0"/>
        <v>"WhyUs":[{"index":"000","image":"flaticon-first-aid-kit","url":"/medical-procedures/","title":"Procédures médicales","text":"Connaître toutes les procédures que le centre médical Laguna a à offrir.","button":"Plus d'informations"},{"index":"001","image":"flaticon-hospital","url":"/members/","title":"Les membres","text":"Rencontrez toutes les entreprises qui font partie de ce projet.","button":"Plus d'informations"},{"index":"002","image":"flaticon-hospital-bed","url":"/packages/","title":"Forfaits","text":"Consultez nos coûts ou indiquez l'opération dont vous avez besoin.","button":"Plus d'informations"},{"index":"003","image":"flaticon-heart-rate","url":"/platform/profile/","title":"Plate-forme","text":"Entrez sur notre plateforme personnalisée pour citer votre traitement ou contactez un membre de notre équipe pour plus d'informations.","button":"Emmenez-moi à la plate-forme"}],</v>
      </c>
    </row>
    <row r="3" spans="1:15" x14ac:dyDescent="0.3">
      <c r="A3" s="1" t="str">
        <f>TEXT(ROW()-3,"000")</f>
        <v>000</v>
      </c>
      <c r="B3" s="1" t="s">
        <v>40</v>
      </c>
      <c r="C3" s="1" t="s">
        <v>42</v>
      </c>
      <c r="D3" s="1" t="s">
        <v>83</v>
      </c>
      <c r="E3" s="1" t="s">
        <v>92</v>
      </c>
      <c r="F3" s="1" t="s">
        <v>96</v>
      </c>
      <c r="G3" s="1" t="s">
        <v>76</v>
      </c>
      <c r="H3" s="1" t="s">
        <v>77</v>
      </c>
      <c r="I3" s="1" t="s">
        <v>82</v>
      </c>
      <c r="J3" s="1" t="s">
        <v>85</v>
      </c>
      <c r="K3" s="1" t="s">
        <v>88</v>
      </c>
      <c r="L3" s="1" t="s">
        <v>97</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{"index":"000","image":"flaticon-first-aid-kit","url":"/medical-procedures/","title":"Medical procedures","text":"Know all the procedures that Laguna Medical Center has to offer.","button":"More information"},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{"index":"000","image":"flaticon-first-aid-kit","url":"/medical-procedures/","title":"Procedimientos médicos","text":"Conoce todos los procedimientos que Laguna Medical Center tiene para ofrecer.","button":"Más información"},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{"index":"000","image":"flaticon-first-aid-kit","url":"/medical-procedures/","title":"Procédures médicales","text":"Connaître toutes les procédures que le centre médical Laguna a à offrir.","button":"Plus d'informations"},</v>
      </c>
    </row>
    <row r="4" spans="1:15" x14ac:dyDescent="0.3">
      <c r="A4" s="1" t="str">
        <f t="shared" ref="A4:A53" si="1">TEXT(ROW()-3,"000")</f>
        <v>001</v>
      </c>
      <c r="B4" s="1" t="s">
        <v>41</v>
      </c>
      <c r="C4" s="1" t="s">
        <v>43</v>
      </c>
      <c r="D4" s="1" t="s">
        <v>84</v>
      </c>
      <c r="E4" s="1" t="s">
        <v>93</v>
      </c>
      <c r="F4" s="1" t="s">
        <v>96</v>
      </c>
      <c r="G4" s="1" t="s">
        <v>78</v>
      </c>
      <c r="H4" s="1" t="s">
        <v>77</v>
      </c>
      <c r="I4" s="1" t="s">
        <v>50</v>
      </c>
      <c r="J4" s="1" t="s">
        <v>86</v>
      </c>
      <c r="K4" s="1" t="s">
        <v>89</v>
      </c>
      <c r="L4" s="1" t="s">
        <v>97</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{"index":"001","image":"flaticon-hospital","url":"/members/","title":"Members","text":"Meet all the companies that are part of this project.","button":"More information"},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{"index":"001","image":"flaticon-hospital","url":"/members/","title":"Miembros","text":"Conoce todos los procedimientos que Laguna Medical Center tiene para ofrecer.","button":"Llévame a la plataforma"},</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{"index":"001","image":"flaticon-hospital","url":"/members/","title":"Les membres","text":"Rencontrez toutes les entreprises qui font partie de ce projet.","button":"Plus d'informations"},</v>
      </c>
    </row>
    <row r="5" spans="1:15" x14ac:dyDescent="0.3">
      <c r="A5" s="1" t="str">
        <f t="shared" si="1"/>
        <v>002</v>
      </c>
      <c r="B5" s="1" t="s">
        <v>39</v>
      </c>
      <c r="C5" s="1" t="s">
        <v>81</v>
      </c>
      <c r="D5" s="1" t="s">
        <v>18</v>
      </c>
      <c r="E5" s="1" t="s">
        <v>94</v>
      </c>
      <c r="F5" s="1" t="s">
        <v>96</v>
      </c>
      <c r="G5" s="1" t="s">
        <v>79</v>
      </c>
      <c r="H5" s="1" t="s">
        <v>77</v>
      </c>
      <c r="I5" s="1" t="s">
        <v>82</v>
      </c>
      <c r="J5" s="1" t="s">
        <v>87</v>
      </c>
      <c r="K5" s="1" t="s">
        <v>90</v>
      </c>
      <c r="L5" s="1" t="s">
        <v>97</v>
      </c>
      <c r="M5" s="1" t="str">
        <f t="shared" si="2"/>
        <v>{"index":"002","image":"flaticon-hospital-bed","url":"/packages/","title":"packages","text":"Check our costs or quote the surgery you need.","button":"More information"},</v>
      </c>
      <c r="N5" s="1" t="str">
        <f t="shared" si="3"/>
        <v>{"index":"002","image":"flaticon-hospital-bed","url":"/packages/","title":"Paquetes","text":"Conoce todos los procedimientos que Laguna Medical Center tiene para ofrecer.","button":"Más información"},</v>
      </c>
      <c r="O5" s="1" t="str">
        <f t="shared" si="4"/>
        <v>{"index":"002","image":"flaticon-hospital-bed","url":"/packages/","title":"Forfaits","text":"Consultez nos coûts ou indiquez l'opération dont vous avez besoin.","button":"Plus d'informations"},</v>
      </c>
    </row>
    <row r="6" spans="1:15" x14ac:dyDescent="0.3">
      <c r="A6" s="1" t="str">
        <f t="shared" si="1"/>
        <v>003</v>
      </c>
      <c r="B6" s="1" t="s">
        <v>75</v>
      </c>
      <c r="C6" s="1" t="s">
        <v>68</v>
      </c>
      <c r="D6" s="1" t="s">
        <v>55</v>
      </c>
      <c r="E6" s="1" t="s">
        <v>95</v>
      </c>
      <c r="F6" s="1" t="s">
        <v>52</v>
      </c>
      <c r="G6" s="1" t="s">
        <v>45</v>
      </c>
      <c r="H6" s="1" t="s">
        <v>80</v>
      </c>
      <c r="I6" s="1" t="s">
        <v>50</v>
      </c>
      <c r="J6" s="1" t="s">
        <v>66</v>
      </c>
      <c r="K6" s="1" t="s">
        <v>91</v>
      </c>
      <c r="L6" s="1" t="s">
        <v>64</v>
      </c>
      <c r="M6" s="1" t="str">
        <f t="shared" si="2"/>
        <v>{"index":"003","image":"flaticon-heart-rate","url":"/platform/profile/","title":"Platform","text":"Enter our personalized platform to quote your treatment or get in touch with someone from our team for more information.","button":"Take me to the platform"}</v>
      </c>
      <c r="N6" s="1" t="str">
        <f t="shared" si="3"/>
        <v>{"index":"003","image":"flaticon-heart-rate","url":"/platform/profile/","title":"Plataforma","text":"Entra a nuestra plataforma personalizada para cotizar tu tratamiento o ponerte en contacto con alguien de nuestro equipo para más información.","button":"Llévame a la plataforma"}</v>
      </c>
      <c r="O6" s="1" t="str">
        <f t="shared" si="4"/>
        <v>{"index":"003","image":"flaticon-heart-rate","url":"/platform/profile/","title":"Plate-forme","text":"Entrez sur notre plateforme personnalisée pour citer votre traitement ou contactez un membre de notre équipe pour plus d'informations.","button":"Emmenez-moi à la plate-forme"}</v>
      </c>
    </row>
    <row r="7" spans="1:15" x14ac:dyDescent="0.3">
      <c r="A7" s="1" t="str">
        <f t="shared" si="1"/>
        <v>004</v>
      </c>
      <c r="M7" s="1" t="str">
        <f t="shared" si="2"/>
        <v/>
      </c>
      <c r="N7" s="1" t="str">
        <f t="shared" si="3"/>
        <v/>
      </c>
      <c r="O7" s="1" t="str">
        <f t="shared" si="4"/>
        <v/>
      </c>
    </row>
    <row r="8" spans="1:15" x14ac:dyDescent="0.3">
      <c r="A8" s="1" t="str">
        <f t="shared" si="1"/>
        <v>005</v>
      </c>
      <c r="M8" s="1" t="str">
        <f t="shared" si="2"/>
        <v/>
      </c>
      <c r="N8" s="1" t="str">
        <f t="shared" si="3"/>
        <v/>
      </c>
      <c r="O8" s="1" t="str">
        <f t="shared" si="4"/>
        <v/>
      </c>
    </row>
    <row r="9" spans="1:15" x14ac:dyDescent="0.3">
      <c r="A9" s="1" t="str">
        <f t="shared" si="1"/>
        <v>006</v>
      </c>
      <c r="M9" s="1" t="str">
        <f t="shared" si="2"/>
        <v/>
      </c>
      <c r="N9" s="1" t="str">
        <f t="shared" si="3"/>
        <v/>
      </c>
      <c r="O9" s="1" t="str">
        <f t="shared" si="4"/>
        <v/>
      </c>
    </row>
    <row r="10" spans="1:15" x14ac:dyDescent="0.3">
      <c r="A10" s="1" t="str">
        <f t="shared" si="1"/>
        <v>007</v>
      </c>
      <c r="M10" s="1" t="str">
        <f t="shared" si="2"/>
        <v/>
      </c>
      <c r="N10" s="1" t="str">
        <f t="shared" si="3"/>
        <v/>
      </c>
      <c r="O10" s="1" t="str">
        <f t="shared" si="4"/>
        <v/>
      </c>
    </row>
    <row r="11" spans="1:15" x14ac:dyDescent="0.3">
      <c r="A11" s="1" t="str">
        <f t="shared" si="1"/>
        <v>008</v>
      </c>
      <c r="M11" s="1" t="str">
        <f t="shared" si="2"/>
        <v/>
      </c>
      <c r="N11" s="1" t="str">
        <f t="shared" si="3"/>
        <v/>
      </c>
      <c r="O11" s="1" t="str">
        <f t="shared" si="4"/>
        <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51BDE-B7B9-46EF-AD6B-F2AB3F8F7ADC}">
  <sheetPr codeName="Sheet6"/>
  <dimension ref="A1:O53"/>
  <sheetViews>
    <sheetView zoomScale="130" zoomScaleNormal="130" workbookViewId="0">
      <selection activeCell="E5" sqref="E5"/>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v>
      </c>
      <c r="N2" s="1" t="str">
        <f t="shared" ref="N2:O2" ca="1" si="0">CHAR(34)&amp;MID(CELL("filename",B1),FIND("]",CELL("filename",B1))+1,31)&amp;CHAR(34)&amp;":"&amp;"["&amp;_xlfn.CONCAT(N3:N53)&amp;"],"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v>
      </c>
      <c r="O2" s="1" t="str">
        <f t="shared" ca="1" si="0"/>
        <v>"MembersList":[{"index":"000","image":"/images/members/example.png","url":"https://hospitalesangeles.com/torreon/","title":"Hôpital 1","text":"","button":""},{"index":"001","image":"/images/members/example.png","url":"https://www.sanatorio.com.mx/","title":"Hôpital 2","text":"","button":""},{"index":"002","image":"/images/members/example.png","url":"http://www.uadec.mx/hgut/","title":"Hôpital 3","text":"","button":""},{"index":"003","image":"/images/members/example.png","url":"http://clinicaandalucia.com.mx/index.php","title":"Hôpital 4","text":"","button":""},{"index":"004","image":"/images/members/example.png","url":"http://www.smsecc38.gob.mx/index.php/unidadtorreon","title":"Hôpital 5","text":"","button":""},{"index":"005","image":"/images/members/example.png","url":"http://www.hospitalcentromedicodelamujer.com/","title":"Hôpital 6","text":"","button":""},{"index":"006","image":"/images/members/example.png","url":"http://clubdeleones.com.mx/","title":"Hôpital 7","text":"","button":""},{"index":"007","image":"/images/members/example.png","url":"http://www.sanatoriosanjose.com/","title":"Hôpital 8","text":"","button":""},{"index":"008","image":"/images/members/example.png","url":"https://www.condomedics.com.mx/","title":"Hôpital 9","text":"","button":""}],</v>
      </c>
    </row>
    <row r="3" spans="1:15" x14ac:dyDescent="0.3">
      <c r="A3" s="1" t="str">
        <f>TEXT(ROW()-3,"000")</f>
        <v>000</v>
      </c>
      <c r="B3" s="1" t="s">
        <v>731</v>
      </c>
      <c r="C3" s="1" t="s">
        <v>107</v>
      </c>
      <c r="D3" s="1" t="s">
        <v>732</v>
      </c>
      <c r="G3" s="1" t="s">
        <v>732</v>
      </c>
      <c r="J3" s="1" t="s">
        <v>741</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{"index":"000","image":"/images/members/example.png","url":"https://hospitalesangeles.com/torreon/","title":"Hospital 1","text":"","button":""},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{"index":"000","image":"/images/members/example.png","url":"https://hospitalesangeles.com/torreon/","title":"Hospital 1","text":"","button":""},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{"index":"000","image":"/images/members/example.png","url":"https://hospitalesangeles.com/torreon/","title":"Hôpital 1","text":"","button":""},</v>
      </c>
    </row>
    <row r="4" spans="1:15" x14ac:dyDescent="0.3">
      <c r="A4" s="1" t="str">
        <f t="shared" ref="A4:A53" si="1">TEXT(ROW()-3,"000")</f>
        <v>001</v>
      </c>
      <c r="B4" s="1" t="s">
        <v>731</v>
      </c>
      <c r="C4" s="1" t="s">
        <v>108</v>
      </c>
      <c r="D4" s="1" t="s">
        <v>733</v>
      </c>
      <c r="G4" s="1" t="s">
        <v>733</v>
      </c>
      <c r="J4" s="1" t="s">
        <v>742</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{"index":"001","image":"/images/members/example.png","url":"https://www.sanatorio.com.mx/","title":"Hospital 2","text":"","button":""},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{"index":"001","image":"/images/members/example.png","url":"https://www.sanatorio.com.mx/","title":"Hospital 2","text":"","button":""},</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{"index":"001","image":"/images/members/example.png","url":"https://www.sanatorio.com.mx/","title":"Hôpital 2","text":"","button":""},</v>
      </c>
    </row>
    <row r="5" spans="1:15" x14ac:dyDescent="0.3">
      <c r="A5" s="1" t="str">
        <f t="shared" si="1"/>
        <v>002</v>
      </c>
      <c r="B5" s="1" t="s">
        <v>731</v>
      </c>
      <c r="C5" s="1" t="s">
        <v>109</v>
      </c>
      <c r="D5" s="1" t="s">
        <v>734</v>
      </c>
      <c r="G5" s="1" t="s">
        <v>734</v>
      </c>
      <c r="J5" s="1" t="s">
        <v>743</v>
      </c>
      <c r="M5" s="1" t="str">
        <f t="shared" si="2"/>
        <v>{"index":"002","image":"/images/members/example.png","url":"http://www.uadec.mx/hgut/","title":"Hospital 3","text":"","button":""},</v>
      </c>
      <c r="N5" s="1" t="str">
        <f t="shared" si="3"/>
        <v>{"index":"002","image":"/images/members/example.png","url":"http://www.uadec.mx/hgut/","title":"Hospital 3","text":"","button":""},</v>
      </c>
      <c r="O5" s="1" t="str">
        <f t="shared" si="4"/>
        <v>{"index":"002","image":"/images/members/example.png","url":"http://www.uadec.mx/hgut/","title":"Hôpital 3","text":"","button":""},</v>
      </c>
    </row>
    <row r="6" spans="1:15" x14ac:dyDescent="0.3">
      <c r="A6" s="1" t="str">
        <f t="shared" si="1"/>
        <v>003</v>
      </c>
      <c r="B6" s="1" t="s">
        <v>731</v>
      </c>
      <c r="C6" s="1" t="s">
        <v>110</v>
      </c>
      <c r="D6" s="1" t="s">
        <v>735</v>
      </c>
      <c r="G6" s="1" t="s">
        <v>735</v>
      </c>
      <c r="J6" s="1" t="s">
        <v>744</v>
      </c>
      <c r="M6" s="1" t="str">
        <f t="shared" si="2"/>
        <v>{"index":"003","image":"/images/members/example.png","url":"http://clinicaandalucia.com.mx/index.php","title":"Hospital 4","text":"","button":""},</v>
      </c>
      <c r="N6" s="1" t="str">
        <f t="shared" si="3"/>
        <v>{"index":"003","image":"/images/members/example.png","url":"http://clinicaandalucia.com.mx/index.php","title":"Hospital 4","text":"","button":""},</v>
      </c>
      <c r="O6" s="1" t="str">
        <f t="shared" si="4"/>
        <v>{"index":"003","image":"/images/members/example.png","url":"http://clinicaandalucia.com.mx/index.php","title":"Hôpital 4","text":"","button":""},</v>
      </c>
    </row>
    <row r="7" spans="1:15" x14ac:dyDescent="0.3">
      <c r="A7" s="1" t="str">
        <f t="shared" si="1"/>
        <v>004</v>
      </c>
      <c r="B7" s="1" t="s">
        <v>731</v>
      </c>
      <c r="C7" s="1" t="s">
        <v>111</v>
      </c>
      <c r="D7" s="1" t="s">
        <v>736</v>
      </c>
      <c r="G7" s="1" t="s">
        <v>736</v>
      </c>
      <c r="J7" s="1" t="s">
        <v>745</v>
      </c>
      <c r="M7" s="1" t="str">
        <f t="shared" si="2"/>
        <v>{"index":"004","image":"/images/members/example.png","url":"http://www.smsecc38.gob.mx/index.php/unidadtorreon","title":"Hospital 5","text":"","button":""},</v>
      </c>
      <c r="N7" s="1" t="str">
        <f t="shared" si="3"/>
        <v>{"index":"004","image":"/images/members/example.png","url":"http://www.smsecc38.gob.mx/index.php/unidadtorreon","title":"Hospital 5","text":"","button":""},</v>
      </c>
      <c r="O7" s="1" t="str">
        <f t="shared" si="4"/>
        <v>{"index":"004","image":"/images/members/example.png","url":"http://www.smsecc38.gob.mx/index.php/unidadtorreon","title":"Hôpital 5","text":"","button":""},</v>
      </c>
    </row>
    <row r="8" spans="1:15" x14ac:dyDescent="0.3">
      <c r="A8" s="1" t="str">
        <f t="shared" si="1"/>
        <v>005</v>
      </c>
      <c r="B8" s="1" t="s">
        <v>731</v>
      </c>
      <c r="C8" s="1" t="s">
        <v>112</v>
      </c>
      <c r="D8" s="1" t="s">
        <v>737</v>
      </c>
      <c r="G8" s="1" t="s">
        <v>737</v>
      </c>
      <c r="J8" s="1" t="s">
        <v>746</v>
      </c>
      <c r="M8" s="1" t="str">
        <f t="shared" si="2"/>
        <v>{"index":"005","image":"/images/members/example.png","url":"http://www.hospitalcentromedicodelamujer.com/","title":"Hospital 6","text":"","button":""},</v>
      </c>
      <c r="N8" s="1" t="str">
        <f t="shared" si="3"/>
        <v>{"index":"005","image":"/images/members/example.png","url":"http://www.hospitalcentromedicodelamujer.com/","title":"Hospital 6","text":"","button":""},</v>
      </c>
      <c r="O8" s="1" t="str">
        <f t="shared" si="4"/>
        <v>{"index":"005","image":"/images/members/example.png","url":"http://www.hospitalcentromedicodelamujer.com/","title":"Hôpital 6","text":"","button":""},</v>
      </c>
    </row>
    <row r="9" spans="1:15" x14ac:dyDescent="0.3">
      <c r="A9" s="1" t="str">
        <f t="shared" si="1"/>
        <v>006</v>
      </c>
      <c r="B9" s="1" t="s">
        <v>731</v>
      </c>
      <c r="C9" s="1" t="s">
        <v>113</v>
      </c>
      <c r="D9" s="1" t="s">
        <v>738</v>
      </c>
      <c r="G9" s="1" t="s">
        <v>738</v>
      </c>
      <c r="J9" s="1" t="s">
        <v>747</v>
      </c>
      <c r="M9" s="1" t="str">
        <f t="shared" si="2"/>
        <v>{"index":"006","image":"/images/members/example.png","url":"http://clubdeleones.com.mx/","title":"Hospital 7","text":"","button":""},</v>
      </c>
      <c r="N9" s="1" t="str">
        <f t="shared" si="3"/>
        <v>{"index":"006","image":"/images/members/example.png","url":"http://clubdeleones.com.mx/","title":"Hospital 7","text":"","button":""},</v>
      </c>
      <c r="O9" s="1" t="str">
        <f t="shared" si="4"/>
        <v>{"index":"006","image":"/images/members/example.png","url":"http://clubdeleones.com.mx/","title":"Hôpital 7","text":"","button":""},</v>
      </c>
    </row>
    <row r="10" spans="1:15" x14ac:dyDescent="0.3">
      <c r="A10" s="1" t="str">
        <f t="shared" si="1"/>
        <v>007</v>
      </c>
      <c r="B10" s="1" t="s">
        <v>731</v>
      </c>
      <c r="C10" s="1" t="s">
        <v>114</v>
      </c>
      <c r="D10" s="1" t="s">
        <v>739</v>
      </c>
      <c r="G10" s="1" t="s">
        <v>739</v>
      </c>
      <c r="J10" s="1" t="s">
        <v>748</v>
      </c>
      <c r="M10" s="1" t="str">
        <f t="shared" si="2"/>
        <v>{"index":"007","image":"/images/members/example.png","url":"http://www.sanatoriosanjose.com/","title":"Hospital 8","text":"","button":""},</v>
      </c>
      <c r="N10" s="1" t="str">
        <f t="shared" si="3"/>
        <v>{"index":"007","image":"/images/members/example.png","url":"http://www.sanatoriosanjose.com/","title":"Hospital 8","text":"","button":""},</v>
      </c>
      <c r="O10" s="1" t="str">
        <f t="shared" si="4"/>
        <v>{"index":"007","image":"/images/members/example.png","url":"http://www.sanatoriosanjose.com/","title":"Hôpital 8","text":"","button":""},</v>
      </c>
    </row>
    <row r="11" spans="1:15" x14ac:dyDescent="0.3">
      <c r="A11" s="1" t="str">
        <f t="shared" si="1"/>
        <v>008</v>
      </c>
      <c r="B11" s="1" t="s">
        <v>731</v>
      </c>
      <c r="C11" s="1" t="s">
        <v>115</v>
      </c>
      <c r="D11" s="1" t="s">
        <v>740</v>
      </c>
      <c r="G11" s="1" t="s">
        <v>740</v>
      </c>
      <c r="J11" s="1" t="s">
        <v>749</v>
      </c>
      <c r="M11" s="1" t="str">
        <f t="shared" si="2"/>
        <v>{"index":"008","image":"/images/members/example.png","url":"https://www.condomedics.com.mx/","title":"Hospital 9","text":"","button":""}</v>
      </c>
      <c r="N11" s="1" t="str">
        <f t="shared" si="3"/>
        <v>{"index":"008","image":"/images/members/example.png","url":"https://www.condomedics.com.mx/","title":"Hospital 9","text":"","button":""}</v>
      </c>
      <c r="O11" s="1" t="str">
        <f t="shared" si="4"/>
        <v>{"index":"008","image":"/images/members/example.png","url":"https://www.condomedics.com.mx/","title":"Hôpital 9","text":"","button":""}</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honeticPr fontId="2" type="noConversion"/>
  <pageMargins left="0.7" right="0.7" top="0.75" bottom="0.75" header="0.3" footer="0.3"/>
  <pageSetup orientation="portrait" horizontalDpi="1200"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17A59-9EC5-4798-8FD4-3934571091E2}">
  <sheetPr codeName="Sheet14"/>
  <dimension ref="A1:O53"/>
  <sheetViews>
    <sheetView zoomScale="130" zoomScaleNormal="130" workbookViewId="0">
      <selection activeCell="M1" sqref="M1:O1048576"/>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"MembersList (2)":[{"index":"000","image":"/images/members/hospital-angeles.jpg","url":"https://hospitalesangeles.com/torreon/","title":"Hospital Ángeles Torreón ","text":"","button":""},{"index":"001","image":"/images/members/sanatorio-espanol.png","url":"https://www.sanatorio.com.mx/","title":"Sanatorio Español","text":"","button":""},{"index":"002","image":"/images/members/hospital-universitario.jpg","url":"http://www.uadec.mx/hgut/","title":"Hospital Universitario","text":"","button":""},{"index":"003","image":"/images/members/hospital-andalucia.png","url":"http://clinicaandalucia.com.mx/index.php","title":"Hospital Andalucia","text":"","button":""},{"index":"004","image":"/images/members/clinica-magisterio.jpg","url":"http://www.smsecc38.gob.mx/index.php/unidadtorreon","title":"Clínica del Magisterio","text":"","button":""},{"index":"005","image":"/images/members/hospital-mujer.png","url":"http://www.hospitalcentromedicodelamujer.com/","title":"Hospital Centro Médico de la Mujer ","text":"","button":""},{"index":"006","image":"/images/members/club-leones.png","url":"http://clubdeleones.com.mx/","title":"Hospital Club De Leones","text":"","button":""},{"index":"007","image":"/images/members/sanatorio-san-jose.png","url":"http://www.sanatoriosanjose.com/","title":"Sanatorio San Jose","text":"","button":""},{"index":"008","image":"/images/members/condomedics.png","url":"https://www.condomedics.com.mx/","title":"Condomedic's","text":"","button":""}],</v>
      </c>
      <c r="N2" s="1" t="str">
        <f t="shared" ref="N2:O2" ca="1" si="0">CHAR(34)&amp;MID(CELL("filename",B1),FIND("]",CELL("filename",B1))+1,31)&amp;CHAR(34)&amp;":"&amp;"["&amp;_xlfn.CONCAT(N3:N53)&amp;"],"</f>
        <v>"MembersList (2)":[{"index":"000","image":"/images/members/hospital-angeles.jpg","url":"https://hospitalesangeles.com/torreon/","title":"Hospital Ángeles Torreón ","text":"","button":""},{"index":"001","image":"/images/members/sanatorio-espanol.png","url":"https://www.sanatorio.com.mx/","title":"Sanatorio Español","text":"","button":""},{"index":"002","image":"/images/members/hospital-universitario.jpg","url":"http://www.uadec.mx/hgut/","title":"Hospital Universitario","text":"","button":""},{"index":"003","image":"/images/members/hospital-andalucia.png","url":"http://clinicaandalucia.com.mx/index.php","title":"Hospital Andalucia","text":"","button":""},{"index":"004","image":"/images/members/clinica-magisterio.jpg","url":"http://www.smsecc38.gob.mx/index.php/unidadtorreon","title":"Clínica del Magisterio","text":"","button":""},{"index":"005","image":"/images/members/hospital-mujer.png","url":"http://www.hospitalcentromedicodelamujer.com/","title":"Hospital Centro Médico de la Mujer ","text":"","button":""},{"index":"006","image":"/images/members/club-leones.png","url":"http://clubdeleones.com.mx/","title":"Hospital Club De Leones","text":"","button":""},{"index":"007","image":"/images/members/sanatorio-san-jose.png","url":"http://www.sanatoriosanjose.com/","title":"Sanatorio San Jose","text":"","button":""},{"index":"008","image":"/images/members/condomedics.png","url":"https://www.condomedics.com.mx/","title":"Condomedic's","text":"","button":""}],</v>
      </c>
      <c r="O2" s="1" t="str">
        <f t="shared" ca="1" si="0"/>
        <v>"MembersList (2)":[{"index":"000","image":"/images/members/hospital-angeles.jpg","url":"https://hospitalesangeles.com/torreon/","title":"Hospital Ángeles Torreón ","text":"","button":""},{"index":"001","image":"/images/members/sanatorio-espanol.png","url":"https://www.sanatorio.com.mx/","title":"Sanatorio Español","text":"","button":""},{"index":"002","image":"/images/members/hospital-universitario.jpg","url":"http://www.uadec.mx/hgut/","title":"Hospital Universitario","text":"","button":""},{"index":"003","image":"/images/members/hospital-andalucia.png","url":"http://clinicaandalucia.com.mx/index.php","title":"Hospital Andalucia","text":"","button":""},{"index":"004","image":"/images/members/clinica-magisterio.jpg","url":"http://www.smsecc38.gob.mx/index.php/unidadtorreon","title":"Clínica del Magisterio","text":"","button":""},{"index":"005","image":"/images/members/hospital-mujer.png","url":"http://www.hospitalcentromedicodelamujer.com/","title":"Hospital Centro Médico de la Mujer ","text":"","button":""},{"index":"006","image":"/images/members/club-leones.png","url":"http://clubdeleones.com.mx/","title":"Hospital Club De Leones","text":"","button":""},{"index":"007","image":"/images/members/sanatorio-san-jose.png","url":"http://www.sanatoriosanjose.com/","title":"Sanatorio San Jose","text":"","button":""},{"index":"008","image":"/images/members/condomedics.png","url":"https://www.condomedics.com.mx/","title":"Condomedic's","text":"","button":""}],</v>
      </c>
    </row>
    <row r="3" spans="1:15" x14ac:dyDescent="0.3">
      <c r="A3" s="1" t="str">
        <f>TEXT(ROW()-3,"000")</f>
        <v>000</v>
      </c>
      <c r="B3" s="1" t="s">
        <v>98</v>
      </c>
      <c r="C3" s="1" t="s">
        <v>107</v>
      </c>
      <c r="D3" s="1" t="s">
        <v>116</v>
      </c>
      <c r="G3" s="1" t="str">
        <f>D3</f>
        <v xml:space="preserve">Hospital Ángeles Torreón </v>
      </c>
      <c r="J3" s="1" t="str">
        <f>D3</f>
        <v xml:space="preserve">Hospital Ángeles Torreón </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{"index":"000","image":"/images/members/hospital-angeles.jpg","url":"https://hospitalesangeles.com/torreon/","title":"Hospital Ángeles Torreón ","text":"","button":""},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{"index":"000","image":"/images/members/hospital-angeles.jpg","url":"https://hospitalesangeles.com/torreon/","title":"Hospital Ángeles Torreón ","text":"","button":""},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{"index":"000","image":"/images/members/hospital-angeles.jpg","url":"https://hospitalesangeles.com/torreon/","title":"Hospital Ángeles Torreón ","text":"","button":""},</v>
      </c>
    </row>
    <row r="4" spans="1:15" x14ac:dyDescent="0.3">
      <c r="A4" s="1" t="str">
        <f t="shared" ref="A4:A53" si="1">TEXT(ROW()-3,"000")</f>
        <v>001</v>
      </c>
      <c r="B4" s="1" t="s">
        <v>99</v>
      </c>
      <c r="C4" s="1" t="s">
        <v>108</v>
      </c>
      <c r="D4" s="1" t="s">
        <v>117</v>
      </c>
      <c r="G4" s="1" t="str">
        <f t="shared" ref="G4:G11" si="2">D4</f>
        <v>Sanatorio Español</v>
      </c>
      <c r="J4" s="1" t="str">
        <f t="shared" ref="J4:J11" si="3">D4</f>
        <v>Sanatorio Español</v>
      </c>
      <c r="M4" s="1" t="str">
        <f t="shared" ref="M4:M53" si="4">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{"index":"001","image":"/images/members/sanatorio-espanol.png","url":"https://www.sanatorio.com.mx/","title":"Sanatorio Español","text":"","button":""},</v>
      </c>
      <c r="N4" s="1" t="str">
        <f t="shared" ref="N4:N53" si="5">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{"index":"001","image":"/images/members/sanatorio-espanol.png","url":"https://www.sanatorio.com.mx/","title":"Sanatorio Español","text":"","button":""},</v>
      </c>
      <c r="O4" s="1" t="str">
        <f t="shared" ref="O4:O53" si="6">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{"index":"001","image":"/images/members/sanatorio-espanol.png","url":"https://www.sanatorio.com.mx/","title":"Sanatorio Español","text":"","button":""},</v>
      </c>
    </row>
    <row r="5" spans="1:15" x14ac:dyDescent="0.3">
      <c r="A5" s="1" t="str">
        <f t="shared" si="1"/>
        <v>002</v>
      </c>
      <c r="B5" s="1" t="s">
        <v>100</v>
      </c>
      <c r="C5" s="1" t="s">
        <v>109</v>
      </c>
      <c r="D5" s="1" t="s">
        <v>118</v>
      </c>
      <c r="G5" s="1" t="str">
        <f t="shared" si="2"/>
        <v>Hospital Universitario</v>
      </c>
      <c r="J5" s="1" t="str">
        <f t="shared" si="3"/>
        <v>Hospital Universitario</v>
      </c>
      <c r="M5" s="1" t="str">
        <f t="shared" si="4"/>
        <v>{"index":"002","image":"/images/members/hospital-universitario.jpg","url":"http://www.uadec.mx/hgut/","title":"Hospital Universitario","text":"","button":""},</v>
      </c>
      <c r="N5" s="1" t="str">
        <f t="shared" si="5"/>
        <v>{"index":"002","image":"/images/members/hospital-universitario.jpg","url":"http://www.uadec.mx/hgut/","title":"Hospital Universitario","text":"","button":""},</v>
      </c>
      <c r="O5" s="1" t="str">
        <f t="shared" si="6"/>
        <v>{"index":"002","image":"/images/members/hospital-universitario.jpg","url":"http://www.uadec.mx/hgut/","title":"Hospital Universitario","text":"","button":""},</v>
      </c>
    </row>
    <row r="6" spans="1:15" x14ac:dyDescent="0.3">
      <c r="A6" s="1" t="str">
        <f t="shared" si="1"/>
        <v>003</v>
      </c>
      <c r="B6" s="1" t="s">
        <v>101</v>
      </c>
      <c r="C6" s="1" t="s">
        <v>110</v>
      </c>
      <c r="D6" s="1" t="s">
        <v>119</v>
      </c>
      <c r="G6" s="1" t="str">
        <f t="shared" si="2"/>
        <v>Hospital Andalucia</v>
      </c>
      <c r="J6" s="1" t="str">
        <f t="shared" si="3"/>
        <v>Hospital Andalucia</v>
      </c>
      <c r="M6" s="1" t="str">
        <f t="shared" si="4"/>
        <v>{"index":"003","image":"/images/members/hospital-andalucia.png","url":"http://clinicaandalucia.com.mx/index.php","title":"Hospital Andalucia","text":"","button":""},</v>
      </c>
      <c r="N6" s="1" t="str">
        <f t="shared" si="5"/>
        <v>{"index":"003","image":"/images/members/hospital-andalucia.png","url":"http://clinicaandalucia.com.mx/index.php","title":"Hospital Andalucia","text":"","button":""},</v>
      </c>
      <c r="O6" s="1" t="str">
        <f t="shared" si="6"/>
        <v>{"index":"003","image":"/images/members/hospital-andalucia.png","url":"http://clinicaandalucia.com.mx/index.php","title":"Hospital Andalucia","text":"","button":""},</v>
      </c>
    </row>
    <row r="7" spans="1:15" x14ac:dyDescent="0.3">
      <c r="A7" s="1" t="str">
        <f t="shared" si="1"/>
        <v>004</v>
      </c>
      <c r="B7" s="1" t="s">
        <v>102</v>
      </c>
      <c r="C7" s="1" t="s">
        <v>111</v>
      </c>
      <c r="D7" s="1" t="s">
        <v>120</v>
      </c>
      <c r="G7" s="1" t="str">
        <f t="shared" si="2"/>
        <v>Clínica del Magisterio</v>
      </c>
      <c r="J7" s="1" t="str">
        <f t="shared" si="3"/>
        <v>Clínica del Magisterio</v>
      </c>
      <c r="M7" s="1" t="str">
        <f t="shared" si="4"/>
        <v>{"index":"004","image":"/images/members/clinica-magisterio.jpg","url":"http://www.smsecc38.gob.mx/index.php/unidadtorreon","title":"Clínica del Magisterio","text":"","button":""},</v>
      </c>
      <c r="N7" s="1" t="str">
        <f t="shared" si="5"/>
        <v>{"index":"004","image":"/images/members/clinica-magisterio.jpg","url":"http://www.smsecc38.gob.mx/index.php/unidadtorreon","title":"Clínica del Magisterio","text":"","button":""},</v>
      </c>
      <c r="O7" s="1" t="str">
        <f t="shared" si="6"/>
        <v>{"index":"004","image":"/images/members/clinica-magisterio.jpg","url":"http://www.smsecc38.gob.mx/index.php/unidadtorreon","title":"Clínica del Magisterio","text":"","button":""},</v>
      </c>
    </row>
    <row r="8" spans="1:15" x14ac:dyDescent="0.3">
      <c r="A8" s="1" t="str">
        <f t="shared" si="1"/>
        <v>005</v>
      </c>
      <c r="B8" s="1" t="s">
        <v>103</v>
      </c>
      <c r="C8" s="1" t="s">
        <v>112</v>
      </c>
      <c r="D8" s="1" t="s">
        <v>121</v>
      </c>
      <c r="G8" s="1" t="str">
        <f t="shared" si="2"/>
        <v xml:space="preserve">Hospital Centro Médico de la Mujer </v>
      </c>
      <c r="J8" s="1" t="str">
        <f t="shared" si="3"/>
        <v xml:space="preserve">Hospital Centro Médico de la Mujer </v>
      </c>
      <c r="M8" s="1" t="str">
        <f t="shared" si="4"/>
        <v>{"index":"005","image":"/images/members/hospital-mujer.png","url":"http://www.hospitalcentromedicodelamujer.com/","title":"Hospital Centro Médico de la Mujer ","text":"","button":""},</v>
      </c>
      <c r="N8" s="1" t="str">
        <f t="shared" si="5"/>
        <v>{"index":"005","image":"/images/members/hospital-mujer.png","url":"http://www.hospitalcentromedicodelamujer.com/","title":"Hospital Centro Médico de la Mujer ","text":"","button":""},</v>
      </c>
      <c r="O8" s="1" t="str">
        <f t="shared" si="6"/>
        <v>{"index":"005","image":"/images/members/hospital-mujer.png","url":"http://www.hospitalcentromedicodelamujer.com/","title":"Hospital Centro Médico de la Mujer ","text":"","button":""},</v>
      </c>
    </row>
    <row r="9" spans="1:15" x14ac:dyDescent="0.3">
      <c r="A9" s="1" t="str">
        <f t="shared" si="1"/>
        <v>006</v>
      </c>
      <c r="B9" s="1" t="s">
        <v>104</v>
      </c>
      <c r="C9" s="1" t="s">
        <v>113</v>
      </c>
      <c r="D9" s="1" t="s">
        <v>122</v>
      </c>
      <c r="G9" s="1" t="str">
        <f t="shared" si="2"/>
        <v>Hospital Club De Leones</v>
      </c>
      <c r="J9" s="1" t="str">
        <f t="shared" si="3"/>
        <v>Hospital Club De Leones</v>
      </c>
      <c r="M9" s="1" t="str">
        <f t="shared" si="4"/>
        <v>{"index":"006","image":"/images/members/club-leones.png","url":"http://clubdeleones.com.mx/","title":"Hospital Club De Leones","text":"","button":""},</v>
      </c>
      <c r="N9" s="1" t="str">
        <f t="shared" si="5"/>
        <v>{"index":"006","image":"/images/members/club-leones.png","url":"http://clubdeleones.com.mx/","title":"Hospital Club De Leones","text":"","button":""},</v>
      </c>
      <c r="O9" s="1" t="str">
        <f t="shared" si="6"/>
        <v>{"index":"006","image":"/images/members/club-leones.png","url":"http://clubdeleones.com.mx/","title":"Hospital Club De Leones","text":"","button":""},</v>
      </c>
    </row>
    <row r="10" spans="1:15" x14ac:dyDescent="0.3">
      <c r="A10" s="1" t="str">
        <f t="shared" si="1"/>
        <v>007</v>
      </c>
      <c r="B10" s="1" t="s">
        <v>105</v>
      </c>
      <c r="C10" s="1" t="s">
        <v>114</v>
      </c>
      <c r="D10" s="1" t="s">
        <v>123</v>
      </c>
      <c r="G10" s="1" t="str">
        <f t="shared" si="2"/>
        <v>Sanatorio San Jose</v>
      </c>
      <c r="J10" s="1" t="str">
        <f t="shared" si="3"/>
        <v>Sanatorio San Jose</v>
      </c>
      <c r="M10" s="1" t="str">
        <f t="shared" si="4"/>
        <v>{"index":"007","image":"/images/members/sanatorio-san-jose.png","url":"http://www.sanatoriosanjose.com/","title":"Sanatorio San Jose","text":"","button":""},</v>
      </c>
      <c r="N10" s="1" t="str">
        <f t="shared" si="5"/>
        <v>{"index":"007","image":"/images/members/sanatorio-san-jose.png","url":"http://www.sanatoriosanjose.com/","title":"Sanatorio San Jose","text":"","button":""},</v>
      </c>
      <c r="O10" s="1" t="str">
        <f t="shared" si="6"/>
        <v>{"index":"007","image":"/images/members/sanatorio-san-jose.png","url":"http://www.sanatoriosanjose.com/","title":"Sanatorio San Jose","text":"","button":""},</v>
      </c>
    </row>
    <row r="11" spans="1:15" x14ac:dyDescent="0.3">
      <c r="A11" s="1" t="str">
        <f t="shared" si="1"/>
        <v>008</v>
      </c>
      <c r="B11" s="1" t="s">
        <v>106</v>
      </c>
      <c r="C11" s="1" t="s">
        <v>115</v>
      </c>
      <c r="D11" s="1" t="s">
        <v>124</v>
      </c>
      <c r="G11" s="1" t="str">
        <f t="shared" si="2"/>
        <v>Condomedic's</v>
      </c>
      <c r="J11" s="1" t="str">
        <f t="shared" si="3"/>
        <v>Condomedic's</v>
      </c>
      <c r="M11" s="1" t="str">
        <f t="shared" si="4"/>
        <v>{"index":"008","image":"/images/members/condomedics.png","url":"https://www.condomedics.com.mx/","title":"Condomedic's","text":"","button":""}</v>
      </c>
      <c r="N11" s="1" t="str">
        <f t="shared" si="5"/>
        <v>{"index":"008","image":"/images/members/condomedics.png","url":"https://www.condomedics.com.mx/","title":"Condomedic's","text":"","button":""}</v>
      </c>
      <c r="O11" s="1" t="str">
        <f t="shared" si="6"/>
        <v>{"index":"008","image":"/images/members/condomedics.png","url":"https://www.condomedics.com.mx/","title":"Condomedic's","text":"","button":""}</v>
      </c>
    </row>
    <row r="12" spans="1:15" x14ac:dyDescent="0.3">
      <c r="A12" s="1" t="str">
        <f t="shared" si="1"/>
        <v>009</v>
      </c>
      <c r="M12" s="1" t="str">
        <f t="shared" si="4"/>
        <v/>
      </c>
      <c r="N12" s="1" t="str">
        <f t="shared" si="5"/>
        <v/>
      </c>
      <c r="O12" s="1" t="str">
        <f t="shared" si="6"/>
        <v/>
      </c>
    </row>
    <row r="13" spans="1:15" x14ac:dyDescent="0.3">
      <c r="A13" s="1" t="str">
        <f t="shared" si="1"/>
        <v>010</v>
      </c>
      <c r="M13" s="1" t="str">
        <f t="shared" si="4"/>
        <v/>
      </c>
      <c r="N13" s="1" t="str">
        <f t="shared" si="5"/>
        <v/>
      </c>
      <c r="O13" s="1" t="str">
        <f t="shared" si="6"/>
        <v/>
      </c>
    </row>
    <row r="14" spans="1:15" x14ac:dyDescent="0.3">
      <c r="A14" s="1" t="str">
        <f t="shared" si="1"/>
        <v>011</v>
      </c>
      <c r="M14" s="1" t="str">
        <f t="shared" si="4"/>
        <v/>
      </c>
      <c r="N14" s="1" t="str">
        <f t="shared" si="5"/>
        <v/>
      </c>
      <c r="O14" s="1" t="str">
        <f t="shared" si="6"/>
        <v/>
      </c>
    </row>
    <row r="15" spans="1:15" x14ac:dyDescent="0.3">
      <c r="A15" s="1" t="str">
        <f t="shared" si="1"/>
        <v>012</v>
      </c>
      <c r="M15" s="1" t="str">
        <f t="shared" si="4"/>
        <v/>
      </c>
      <c r="N15" s="1" t="str">
        <f t="shared" si="5"/>
        <v/>
      </c>
      <c r="O15" s="1" t="str">
        <f t="shared" si="6"/>
        <v/>
      </c>
    </row>
    <row r="16" spans="1:15" x14ac:dyDescent="0.3">
      <c r="A16" s="1" t="str">
        <f t="shared" si="1"/>
        <v>013</v>
      </c>
      <c r="M16" s="1" t="str">
        <f t="shared" si="4"/>
        <v/>
      </c>
      <c r="N16" s="1" t="str">
        <f t="shared" si="5"/>
        <v/>
      </c>
      <c r="O16" s="1" t="str">
        <f t="shared" si="6"/>
        <v/>
      </c>
    </row>
    <row r="17" spans="1:15" x14ac:dyDescent="0.3">
      <c r="A17" s="1" t="str">
        <f t="shared" si="1"/>
        <v>014</v>
      </c>
      <c r="M17" s="1" t="str">
        <f t="shared" si="4"/>
        <v/>
      </c>
      <c r="N17" s="1" t="str">
        <f t="shared" si="5"/>
        <v/>
      </c>
      <c r="O17" s="1" t="str">
        <f t="shared" si="6"/>
        <v/>
      </c>
    </row>
    <row r="18" spans="1:15" x14ac:dyDescent="0.3">
      <c r="A18" s="1" t="str">
        <f t="shared" si="1"/>
        <v>015</v>
      </c>
      <c r="M18" s="1" t="str">
        <f t="shared" si="4"/>
        <v/>
      </c>
      <c r="N18" s="1" t="str">
        <f t="shared" si="5"/>
        <v/>
      </c>
      <c r="O18" s="1" t="str">
        <f t="shared" si="6"/>
        <v/>
      </c>
    </row>
    <row r="19" spans="1:15" x14ac:dyDescent="0.3">
      <c r="A19" s="1" t="str">
        <f t="shared" si="1"/>
        <v>016</v>
      </c>
      <c r="M19" s="1" t="str">
        <f t="shared" si="4"/>
        <v/>
      </c>
      <c r="N19" s="1" t="str">
        <f t="shared" si="5"/>
        <v/>
      </c>
      <c r="O19" s="1" t="str">
        <f t="shared" si="6"/>
        <v/>
      </c>
    </row>
    <row r="20" spans="1:15" x14ac:dyDescent="0.3">
      <c r="A20" s="1" t="str">
        <f t="shared" si="1"/>
        <v>017</v>
      </c>
      <c r="M20" s="1" t="str">
        <f t="shared" si="4"/>
        <v/>
      </c>
      <c r="N20" s="1" t="str">
        <f t="shared" si="5"/>
        <v/>
      </c>
      <c r="O20" s="1" t="str">
        <f t="shared" si="6"/>
        <v/>
      </c>
    </row>
    <row r="21" spans="1:15" x14ac:dyDescent="0.3">
      <c r="A21" s="1" t="str">
        <f t="shared" si="1"/>
        <v>018</v>
      </c>
      <c r="M21" s="1" t="str">
        <f t="shared" si="4"/>
        <v/>
      </c>
      <c r="N21" s="1" t="str">
        <f t="shared" si="5"/>
        <v/>
      </c>
      <c r="O21" s="1" t="str">
        <f t="shared" si="6"/>
        <v/>
      </c>
    </row>
    <row r="22" spans="1:15" x14ac:dyDescent="0.3">
      <c r="A22" s="1" t="str">
        <f t="shared" si="1"/>
        <v>019</v>
      </c>
      <c r="M22" s="1" t="str">
        <f t="shared" si="4"/>
        <v/>
      </c>
      <c r="N22" s="1" t="str">
        <f t="shared" si="5"/>
        <v/>
      </c>
      <c r="O22" s="1" t="str">
        <f t="shared" si="6"/>
        <v/>
      </c>
    </row>
    <row r="23" spans="1:15" x14ac:dyDescent="0.3">
      <c r="A23" s="1" t="str">
        <f t="shared" si="1"/>
        <v>020</v>
      </c>
      <c r="M23" s="1" t="str">
        <f t="shared" si="4"/>
        <v/>
      </c>
      <c r="N23" s="1" t="str">
        <f t="shared" si="5"/>
        <v/>
      </c>
      <c r="O23" s="1" t="str">
        <f t="shared" si="6"/>
        <v/>
      </c>
    </row>
    <row r="24" spans="1:15" x14ac:dyDescent="0.3">
      <c r="A24" s="1" t="str">
        <f t="shared" si="1"/>
        <v>021</v>
      </c>
      <c r="M24" s="1" t="str">
        <f t="shared" si="4"/>
        <v/>
      </c>
      <c r="N24" s="1" t="str">
        <f t="shared" si="5"/>
        <v/>
      </c>
      <c r="O24" s="1" t="str">
        <f t="shared" si="6"/>
        <v/>
      </c>
    </row>
    <row r="25" spans="1:15" x14ac:dyDescent="0.3">
      <c r="A25" s="1" t="str">
        <f t="shared" si="1"/>
        <v>022</v>
      </c>
      <c r="M25" s="1" t="str">
        <f t="shared" si="4"/>
        <v/>
      </c>
      <c r="N25" s="1" t="str">
        <f t="shared" si="5"/>
        <v/>
      </c>
      <c r="O25" s="1" t="str">
        <f t="shared" si="6"/>
        <v/>
      </c>
    </row>
    <row r="26" spans="1:15" x14ac:dyDescent="0.3">
      <c r="A26" s="1" t="str">
        <f t="shared" si="1"/>
        <v>023</v>
      </c>
      <c r="M26" s="1" t="str">
        <f t="shared" si="4"/>
        <v/>
      </c>
      <c r="N26" s="1" t="str">
        <f t="shared" si="5"/>
        <v/>
      </c>
      <c r="O26" s="1" t="str">
        <f t="shared" si="6"/>
        <v/>
      </c>
    </row>
    <row r="27" spans="1:15" x14ac:dyDescent="0.3">
      <c r="A27" s="1" t="str">
        <f t="shared" si="1"/>
        <v>024</v>
      </c>
      <c r="M27" s="1" t="str">
        <f t="shared" si="4"/>
        <v/>
      </c>
      <c r="N27" s="1" t="str">
        <f t="shared" si="5"/>
        <v/>
      </c>
      <c r="O27" s="1" t="str">
        <f t="shared" si="6"/>
        <v/>
      </c>
    </row>
    <row r="28" spans="1:15" x14ac:dyDescent="0.3">
      <c r="A28" s="1" t="str">
        <f t="shared" si="1"/>
        <v>025</v>
      </c>
      <c r="M28" s="1" t="str">
        <f t="shared" si="4"/>
        <v/>
      </c>
      <c r="N28" s="1" t="str">
        <f t="shared" si="5"/>
        <v/>
      </c>
      <c r="O28" s="1" t="str">
        <f t="shared" si="6"/>
        <v/>
      </c>
    </row>
    <row r="29" spans="1:15" x14ac:dyDescent="0.3">
      <c r="A29" s="1" t="str">
        <f t="shared" si="1"/>
        <v>026</v>
      </c>
      <c r="M29" s="1" t="str">
        <f t="shared" si="4"/>
        <v/>
      </c>
      <c r="N29" s="1" t="str">
        <f t="shared" si="5"/>
        <v/>
      </c>
      <c r="O29" s="1" t="str">
        <f t="shared" si="6"/>
        <v/>
      </c>
    </row>
    <row r="30" spans="1:15" x14ac:dyDescent="0.3">
      <c r="A30" s="1" t="str">
        <f t="shared" si="1"/>
        <v>027</v>
      </c>
      <c r="M30" s="1" t="str">
        <f t="shared" si="4"/>
        <v/>
      </c>
      <c r="N30" s="1" t="str">
        <f t="shared" si="5"/>
        <v/>
      </c>
      <c r="O30" s="1" t="str">
        <f t="shared" si="6"/>
        <v/>
      </c>
    </row>
    <row r="31" spans="1:15" x14ac:dyDescent="0.3">
      <c r="A31" s="1" t="str">
        <f t="shared" si="1"/>
        <v>028</v>
      </c>
      <c r="M31" s="1" t="str">
        <f t="shared" si="4"/>
        <v/>
      </c>
      <c r="N31" s="1" t="str">
        <f t="shared" si="5"/>
        <v/>
      </c>
      <c r="O31" s="1" t="str">
        <f t="shared" si="6"/>
        <v/>
      </c>
    </row>
    <row r="32" spans="1:15" x14ac:dyDescent="0.3">
      <c r="A32" s="1" t="str">
        <f t="shared" si="1"/>
        <v>029</v>
      </c>
      <c r="M32" s="1" t="str">
        <f t="shared" si="4"/>
        <v/>
      </c>
      <c r="N32" s="1" t="str">
        <f t="shared" si="5"/>
        <v/>
      </c>
      <c r="O32" s="1" t="str">
        <f t="shared" si="6"/>
        <v/>
      </c>
    </row>
    <row r="33" spans="1:15" x14ac:dyDescent="0.3">
      <c r="A33" s="1" t="str">
        <f t="shared" si="1"/>
        <v>030</v>
      </c>
      <c r="M33" s="1" t="str">
        <f t="shared" si="4"/>
        <v/>
      </c>
      <c r="N33" s="1" t="str">
        <f t="shared" si="5"/>
        <v/>
      </c>
      <c r="O33" s="1" t="str">
        <f t="shared" si="6"/>
        <v/>
      </c>
    </row>
    <row r="34" spans="1:15" x14ac:dyDescent="0.3">
      <c r="A34" s="1" t="str">
        <f t="shared" si="1"/>
        <v>031</v>
      </c>
      <c r="M34" s="1" t="str">
        <f t="shared" si="4"/>
        <v/>
      </c>
      <c r="N34" s="1" t="str">
        <f t="shared" si="5"/>
        <v/>
      </c>
      <c r="O34" s="1" t="str">
        <f t="shared" si="6"/>
        <v/>
      </c>
    </row>
    <row r="35" spans="1:15" x14ac:dyDescent="0.3">
      <c r="A35" s="1" t="str">
        <f t="shared" si="1"/>
        <v>032</v>
      </c>
      <c r="M35" s="1" t="str">
        <f t="shared" si="4"/>
        <v/>
      </c>
      <c r="N35" s="1" t="str">
        <f t="shared" si="5"/>
        <v/>
      </c>
      <c r="O35" s="1" t="str">
        <f t="shared" si="6"/>
        <v/>
      </c>
    </row>
    <row r="36" spans="1:15" x14ac:dyDescent="0.3">
      <c r="A36" s="1" t="str">
        <f t="shared" si="1"/>
        <v>033</v>
      </c>
      <c r="M36" s="1" t="str">
        <f t="shared" si="4"/>
        <v/>
      </c>
      <c r="N36" s="1" t="str">
        <f t="shared" si="5"/>
        <v/>
      </c>
      <c r="O36" s="1" t="str">
        <f t="shared" si="6"/>
        <v/>
      </c>
    </row>
    <row r="37" spans="1:15" x14ac:dyDescent="0.3">
      <c r="A37" s="1" t="str">
        <f t="shared" si="1"/>
        <v>034</v>
      </c>
      <c r="M37" s="1" t="str">
        <f t="shared" si="4"/>
        <v/>
      </c>
      <c r="N37" s="1" t="str">
        <f t="shared" si="5"/>
        <v/>
      </c>
      <c r="O37" s="1" t="str">
        <f t="shared" si="6"/>
        <v/>
      </c>
    </row>
    <row r="38" spans="1:15" x14ac:dyDescent="0.3">
      <c r="A38" s="1" t="str">
        <f t="shared" si="1"/>
        <v>035</v>
      </c>
      <c r="M38" s="1" t="str">
        <f t="shared" si="4"/>
        <v/>
      </c>
      <c r="N38" s="1" t="str">
        <f t="shared" si="5"/>
        <v/>
      </c>
      <c r="O38" s="1" t="str">
        <f t="shared" si="6"/>
        <v/>
      </c>
    </row>
    <row r="39" spans="1:15" x14ac:dyDescent="0.3">
      <c r="A39" s="1" t="str">
        <f t="shared" si="1"/>
        <v>036</v>
      </c>
      <c r="M39" s="1" t="str">
        <f t="shared" si="4"/>
        <v/>
      </c>
      <c r="N39" s="1" t="str">
        <f t="shared" si="5"/>
        <v/>
      </c>
      <c r="O39" s="1" t="str">
        <f t="shared" si="6"/>
        <v/>
      </c>
    </row>
    <row r="40" spans="1:15" x14ac:dyDescent="0.3">
      <c r="A40" s="1" t="str">
        <f t="shared" si="1"/>
        <v>037</v>
      </c>
      <c r="M40" s="1" t="str">
        <f t="shared" si="4"/>
        <v/>
      </c>
      <c r="N40" s="1" t="str">
        <f t="shared" si="5"/>
        <v/>
      </c>
      <c r="O40" s="1" t="str">
        <f t="shared" si="6"/>
        <v/>
      </c>
    </row>
    <row r="41" spans="1:15" x14ac:dyDescent="0.3">
      <c r="A41" s="1" t="str">
        <f t="shared" si="1"/>
        <v>038</v>
      </c>
      <c r="M41" s="1" t="str">
        <f t="shared" si="4"/>
        <v/>
      </c>
      <c r="N41" s="1" t="str">
        <f t="shared" si="5"/>
        <v/>
      </c>
      <c r="O41" s="1" t="str">
        <f t="shared" si="6"/>
        <v/>
      </c>
    </row>
    <row r="42" spans="1:15" x14ac:dyDescent="0.3">
      <c r="A42" s="1" t="str">
        <f t="shared" si="1"/>
        <v>039</v>
      </c>
      <c r="M42" s="1" t="str">
        <f t="shared" si="4"/>
        <v/>
      </c>
      <c r="N42" s="1" t="str">
        <f t="shared" si="5"/>
        <v/>
      </c>
      <c r="O42" s="1" t="str">
        <f t="shared" si="6"/>
        <v/>
      </c>
    </row>
    <row r="43" spans="1:15" x14ac:dyDescent="0.3">
      <c r="A43" s="1" t="str">
        <f t="shared" si="1"/>
        <v>040</v>
      </c>
      <c r="M43" s="1" t="str">
        <f t="shared" si="4"/>
        <v/>
      </c>
      <c r="N43" s="1" t="str">
        <f t="shared" si="5"/>
        <v/>
      </c>
      <c r="O43" s="1" t="str">
        <f t="shared" si="6"/>
        <v/>
      </c>
    </row>
    <row r="44" spans="1:15" x14ac:dyDescent="0.3">
      <c r="A44" s="1" t="str">
        <f t="shared" si="1"/>
        <v>041</v>
      </c>
      <c r="M44" s="1" t="str">
        <f t="shared" si="4"/>
        <v/>
      </c>
      <c r="N44" s="1" t="str">
        <f t="shared" si="5"/>
        <v/>
      </c>
      <c r="O44" s="1" t="str">
        <f t="shared" si="6"/>
        <v/>
      </c>
    </row>
    <row r="45" spans="1:15" x14ac:dyDescent="0.3">
      <c r="A45" s="1" t="str">
        <f t="shared" si="1"/>
        <v>042</v>
      </c>
      <c r="M45" s="1" t="str">
        <f t="shared" si="4"/>
        <v/>
      </c>
      <c r="N45" s="1" t="str">
        <f t="shared" si="5"/>
        <v/>
      </c>
      <c r="O45" s="1" t="str">
        <f t="shared" si="6"/>
        <v/>
      </c>
    </row>
    <row r="46" spans="1:15" x14ac:dyDescent="0.3">
      <c r="A46" s="1" t="str">
        <f t="shared" si="1"/>
        <v>043</v>
      </c>
      <c r="M46" s="1" t="str">
        <f t="shared" si="4"/>
        <v/>
      </c>
      <c r="N46" s="1" t="str">
        <f t="shared" si="5"/>
        <v/>
      </c>
      <c r="O46" s="1" t="str">
        <f t="shared" si="6"/>
        <v/>
      </c>
    </row>
    <row r="47" spans="1:15" x14ac:dyDescent="0.3">
      <c r="A47" s="1" t="str">
        <f t="shared" si="1"/>
        <v>044</v>
      </c>
      <c r="M47" s="1" t="str">
        <f t="shared" si="4"/>
        <v/>
      </c>
      <c r="N47" s="1" t="str">
        <f t="shared" si="5"/>
        <v/>
      </c>
      <c r="O47" s="1" t="str">
        <f t="shared" si="6"/>
        <v/>
      </c>
    </row>
    <row r="48" spans="1:15" x14ac:dyDescent="0.3">
      <c r="A48" s="1" t="str">
        <f t="shared" si="1"/>
        <v>045</v>
      </c>
      <c r="M48" s="1" t="str">
        <f t="shared" si="4"/>
        <v/>
      </c>
      <c r="N48" s="1" t="str">
        <f t="shared" si="5"/>
        <v/>
      </c>
      <c r="O48" s="1" t="str">
        <f t="shared" si="6"/>
        <v/>
      </c>
    </row>
    <row r="49" spans="1:15" x14ac:dyDescent="0.3">
      <c r="A49" s="1" t="str">
        <f t="shared" si="1"/>
        <v>046</v>
      </c>
      <c r="M49" s="1" t="str">
        <f t="shared" si="4"/>
        <v/>
      </c>
      <c r="N49" s="1" t="str">
        <f t="shared" si="5"/>
        <v/>
      </c>
      <c r="O49" s="1" t="str">
        <f t="shared" si="6"/>
        <v/>
      </c>
    </row>
    <row r="50" spans="1:15" x14ac:dyDescent="0.3">
      <c r="A50" s="1" t="str">
        <f t="shared" si="1"/>
        <v>047</v>
      </c>
      <c r="M50" s="1" t="str">
        <f t="shared" si="4"/>
        <v/>
      </c>
      <c r="N50" s="1" t="str">
        <f t="shared" si="5"/>
        <v/>
      </c>
      <c r="O50" s="1" t="str">
        <f t="shared" si="6"/>
        <v/>
      </c>
    </row>
    <row r="51" spans="1:15" x14ac:dyDescent="0.3">
      <c r="A51" s="1" t="str">
        <f t="shared" si="1"/>
        <v>048</v>
      </c>
      <c r="M51" s="1" t="str">
        <f t="shared" si="4"/>
        <v/>
      </c>
      <c r="N51" s="1" t="str">
        <f t="shared" si="5"/>
        <v/>
      </c>
      <c r="O51" s="1" t="str">
        <f t="shared" si="6"/>
        <v/>
      </c>
    </row>
    <row r="52" spans="1:15" x14ac:dyDescent="0.3">
      <c r="A52" s="1" t="str">
        <f t="shared" si="1"/>
        <v>049</v>
      </c>
      <c r="M52" s="1" t="str">
        <f t="shared" si="4"/>
        <v/>
      </c>
      <c r="N52" s="1" t="str">
        <f t="shared" si="5"/>
        <v/>
      </c>
      <c r="O52" s="1" t="str">
        <f t="shared" si="6"/>
        <v/>
      </c>
    </row>
    <row r="53" spans="1:15" x14ac:dyDescent="0.3">
      <c r="A53" s="1" t="str">
        <f t="shared" si="1"/>
        <v>050</v>
      </c>
      <c r="M53" s="1" t="str">
        <f t="shared" si="4"/>
        <v/>
      </c>
      <c r="N53" s="1" t="str">
        <f t="shared" si="5"/>
        <v/>
      </c>
      <c r="O53" s="1" t="str">
        <f t="shared" si="6"/>
        <v/>
      </c>
    </row>
  </sheetData>
  <pageMargins left="0.7" right="0.7" top="0.75" bottom="0.75" header="0.3" footer="0.3"/>
  <pageSetup orientation="portrait" horizontalDpi="1200"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4E470-62E2-415B-AAAA-691F1F9DF600}">
  <sheetPr codeName="Sheet7"/>
  <dimension ref="A1:O53"/>
  <sheetViews>
    <sheetView zoomScale="130" zoomScaleNormal="130" workbookViewId="0">
      <selection activeCell="D1" sqref="D1"/>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"MedicalSpecialities":[{"index":"000","image":"/images/medical-specialties/angiologia.jpg","url":"","title":"Angiology","text":"Angiology is the medical specialty that is responsible for the study of the vessels of the circulatory system and the lymphatic system; including the anatomy of the blood vessels and the lymphatics, in addition to their diseases.","button":""},{"index":"001","image":"/images/medical-specialties/cardiologia.jpg","url":"","title":"Cardiology","text":"Cardiology is the branch of medicine that is responsible for the study, diagnosis and treatment of diseases of the heart and the circulatory system.","button":""},{"index":"002","image":"/images/medical-specialties/cirugia-plastica.jpg","url":"","title":"Plastic surgery","text":"Plastic surgery is the medical specialty that aims to correct and improve abnormalities of congenital, acquired, tumoral or involutive origin that require repair or replacement of the body form and its function.","button":""},{"index":"003","image":"/images/medical-specialties/cirugia-vascular.jpg","url":"","title":"Vascular surgery","text":"Angiology and vascular surgery is a medical-surgical specialty dedicated to the study, prevention, clinical and instrumental diagnosis and treatment of vascular pathology.","button":""},{"index":"004","image":"/images/medical-specialties/endoscopia.jpg","url":"","title":"Endoscopy","text":"Endoscopy is a diagnostic technique, of the branch of medicine, which involves the introduction of a camera or lens into a tube or endoscope through a natural orifice.","button":""},{"index":"005","image":"/images/medical-specialties/ginecologia.jpg","url":"","title":"Gynecology","text":"Gynecology which literally means women's science and in medicine refers to the medical and surgical specialty that treats diseases of the female reproductive system.","button":""},{"index":"006","image":"/images/medical-specialties/cirugia-oncologica.jpg","url":"","title":"Oncologic surgery","text":"Oncological Surgery is the medical specialty that is dedicated to the diagnosis and surgical treatment of tumors, in addition to the study of cancer.","button":""},{"index":"007","image":"/images/medical-specialties/odontologia.jpg","url":"","title":"odontology","text":"Dentistry is one of the health sciences that deals with the diagnosis, treatment and prevention of diseases of the stomatognathic system.","button":""},{"index":"008","image":"/images/medical-specialties/neurocirugia.jpg","url":"","title":"Neurosurgery","text":"Neurosurgery is the medical specialty that is responsible for the surgical management of certain diseases of the central nervous system, peripheral and vegetative, including their vascular structures.","button":""},{"index":"009","image":"/images/medical-specialties/cirugia-general.jpg","url":"","title":"General Surgery","text":"General surgery is the medical specialty of surgical class that covers the operations of the digestive system; including the gastrointestinal tract and the hepato-bilio-pancreatic system, the endocrine system.","button":""},{"index":"010","image":"/images/medical-specialties/nefrologia.jpg","url":"","title":"Nephrology","text":"Nephrology is the medical specialty branch of internal medicine that deals with the study of renal structure and function, both in health and disease, including the prevention and treatment of kidney diseases.","button":""},{"index":"011","image":"/images/medical-specialties/neurologia.jpg","url":"","title":"Neurology","text":"Neurology is the medical specialty that treats nervous system disorders.","button":""},{"index":"012","image":"/images/medical-specialties/oftalmologia.jpg","url":"","title":"Ophthalmology","text":"Ophthalmology is the medical specialty that studies eye diseases and their treatment, including the eyeball, its musculature, the lacrimal system and the eyelids.","button":""},{"index":"013","image":"/images/medical-specialties/otorrinolaringologia.jpg","url":"","title":"Otorhinolaryngology","text":"Otolaryngology is the medical specialty that deals with the study of ear diseases.","button":""},{"index":"014","image":"/images/medical-specialties/oncologia.jpg","url":"","title":"Oncology","text":"Branch of medicine specialized in the diagnosis and treatment of cancer. It includes medical oncology, radionics and surgical oncology.","button":""},{"index":"015","image":"/images/medical-specialties/proctologia.jpg","url":"","title":"Proctology","text":"Coloproctology, also called proctology, is the specialty of medicine derived from general surgery that provides diagnosis and surgical and non-surgical treatment of diseases of the colon, rectum and anus.","button":""},{"index":"016","image":"/images/medical-specialties/reumatologia.jpg","url":"","title":"Rheumatology","text":"Rheumatology is a medical specialty dedicated to the medical disorders of the locomotor system and connective tissue.","button":""},{"index":"017","image":"/images/medical-specialties/traumatologia.jpg","url":"","title":"Traumatology","text":"It is the branch of medicine that is dedicated to the study of injuries of the locomotor system.","button":""},{"index":"018","image":"/images/medical-specialties/urologia.jpg","url":"","title":"Urology","text":"Urology is the medical-surgical specialty that deals with the study, diagnosis and treatment of pathologies that affect the urinary system, adrenal glands and retroperitoneum of man, as well as the male reproductive system.","button":""}],</v>
      </c>
      <c r="N2" s="1" t="str">
        <f t="shared" ref="N2:O2" ca="1" si="0">CHAR(34)&amp;MID(CELL("filename",B1),FIND("]",CELL("filename",B1))+1,31)&amp;CHAR(34)&amp;":"&amp;"["&amp;_xlfn.CONCAT(N3:N53)&amp;"],"</f>
        <v>"MedicalSpecialities":[{"index":"000","image":"/images/medical-specialties/angiologia.jpg","url":"","title":"Angiología","text":"La angiología es la especialidad médica que se encarga del estudio de los vasos del sistema circulatorio y del sistema linfático; incluyendo la anatomía de los vasos sanguíneos y la de los linfáticos, además de sus enfermedades. ","button":""},{"index":"001","image":"/images/medical-specialties/cardiologia.jpg","url":"","title":"Cardiología","text":"La cardiología es la rama de la medicina que se encarga del estudio, diagnóstico y tratamiento de las enfermedades del corazón y del aparato circulatorio.","button":""},{"index":"002","image":"/images/medical-specialties/cirugia-plastica.jpg","url":"","title":"Cirugía Plastica","text":"La cirugía plástica es la especialidad médica que tiene por objeto la corrección y mejoramiento de anormalidades de origen congénito, adquirido, tumoral o involutiva que requieran reparación o reposición de la forma corporal y su función. ","button":""},{"index":"003","image":"/images/medical-specialties/cirugia-vascular.jpg","url":"","title":"Cirugía Vascular","text":"La angiología y cirugía vascular es una especialidad médico-quirúrgica dedicada al estudio, prevención, diagnóstico clínico e instrumental y tratamiento de la patología vascular.","button":""},{"index":"004","image":"/images/medical-specialties/endoscopia.jpg","url":"","title":"Endoscopia","text":"La endoscopia es una técnica diagnóstica, de la rama de la medicina, que consiste en la introducción de una cámara o lente dentro de un tubo o endoscopio a través de un orificio natural.","button":""},{"index":"005","image":"/images/medical-specialties/ginecologia.jpg","url":"","title":"Ginecología","text":"Ginecología que significa literalmente ciencia de la mujer y en medicina hace referencia a la especialidad médica y quirúrgica que trata las enfermedades del sistema reproductor femenino.","button":""},{"index":"006","image":"/images/medical-specialties/cirugia-oncologica.jpg","url":"","title":"Cirugía Oncologíca","text":"Cirugía Oncológica es la especialidad médica que se dedica al diagnóstico y tratamiento quirúrgico de los tumores, además del estudio del cáncer.","button":""},{"index":"007","image":"/images/medical-specialties/odontologia.jpg","url":"","title":"Odontología","text":"La odontología es una de las ciencias de la salud que se encarga del diagnóstico, tratamiento y prevención de las enfermedades del aparato estomatognático.","button":""},{"index":"008","image":"/images/medical-specialties/neurocirugia.jpg","url":"","title":"Neurocirugía","text":"La neurocirugía es la especialidad médica que se encarga del manejo quirúrgico de determinadas enfermedades del sistema nervioso central, periférico y vegetativo, incluyendo sus estructuras vasculares.","button":""},{"index":"009","image":"/images/medical-specialties/cirugia-general.jpg","url":"","title":"Cirugía General","text":"La cirugía general es la especialidad médica de clase quirúrgica que abarca las operaciones del aparato digestivo; incluyendo el tracto gastrointestinal y el sistema hepato-bilio-pancreático, el sistema endocrino.","button":""},{"index":"010","image":"/images/medical-specialties/nefrologia.jpg","url":"","title":"Nefrología","text":"La nefrología es la especialidad médica rama de la medicina interna que se ocupa del estudio de la estructura y la función renal, tanto en la salud como en la enfermedad, incluyendo la prevención y tratamiento de las enfermedades renales.","button":""},{"index":"011","image":"/images/medical-specialties/neurologia.jpg","url":"","title":"Neurología","text":"La neurología es la especialidad médica que trata los trastornos del sistema nervioso.​ ","button":""},{"index":"012","image":"/images/medical-specialties/oftalmologia.jpg","url":"","title":"Oftalmología","text":"La Oftalmología ​​ es la especialidad médica que estudia las enfermedades de ojo y su tratamiento, incluyendo el globo ocular, su musculatura, el sistema lagrimal y los párpados. ","button":""},{"index":"013","image":"/images/medical-specialties/otorrinolaringologia.jpg","url":"","title":"Otorrinolaringologia","text":"La otorrinolaringología es la especialidad médica que se encarga del estudio de las enfermedades del oído.","button":""},{"index":"014","image":"/images/medical-specialties/oncologia.jpg","url":"","title":"Oncología","text":"Rama de la medicina especializada en el diagnóstico y tratamiento del cáncer. Incluye la oncología médica, la radioncología  y la oncología quirúrgica.","button":""},{"index":"015","image":"/images/medical-specialties/proctologia.jpg","url":"","title":"Proctología","text":"La coloproctología, llamada también proctología, es la especialidad de la medicina derivada de la cirugía general que brinda diagnóstico y tratamiento quirúrgico y no quirúrgico de las enfermedades del colon, recto y ano.​ ","button":""},{"index":"016","image":"/images/medical-specialties/reumatologia.jpg","url":"","title":"Reumatología","text":"La reumatología es una especialidad médica dedicada a los trastornos médicos del aparato locomotor y del tejido conectivo.","button":""},{"index":"017","image":"/images/medical-specialties/traumatologia.jpg","url":"","title":"Traumatología","text":"Es la rama de la medicina que se dedica al estudio de las lesiones del aparato locomotor.","button":""},{"index":"018","image":"/images/medical-specialties/urologia.jpg","url":"","title":"Urología","text":"La urología es la especialidad médico-quirúrgica que se ocupa del estudio, diagnóstico y tratamiento de las patologías que afectan al aparato urinario, glándulas suprarrenales y retroperitoneo del hombre, así como el aparato reproductor masculino.","button":""}],</v>
      </c>
      <c r="O2" s="1" t="str">
        <f t="shared" ca="1" si="0"/>
        <v>"MedicalSpecialities":[{"index":"000","image":"/images/medical-specialties/angiologia.jpg","url":"","title":"Angiologie","text":"L'angiologie est la spécialité médicale responsable de l'étude des vaisseaux du système circulatoire et du système lymphatique; y compris l'anatomie des vaisseaux sanguins et des lymphatiques, en plus de leurs maladies.","button":""},{"index":"001","image":"/images/medical-specialties/cardiologia.jpg","url":"","title":"Cardiologie","text":"La cardiologie est la branche de la médecine responsable de l’étude, du diagnostic et du traitement des maladies du coeur et du système circulatoire.","button":""},{"index":"002","image":"/images/medical-specialties/cirugia-plastica.jpg","url":"","title":"Chirurgie plastique","text":"La chirurgie plastique est la spécialité médicale qui vise à corriger et à améliorer les anomalies d'origine congénitale, acquise, tumorale ou involutive nécessitant une réparation ou un remplacement de la forme corporelle et de sa fonction.","button":""},{"index":"003","image":"/images/medical-specialties/cirugia-vascular.jpg","url":"","title":"Chirurgie vasculaire","text":"L'angiologie et la chirurgie vasculaire sont une spécialité médico-chirurgicale dédiée à l'étude, à la prévention, au diagnostic clinique et instrumental et au traitement de la pathologie vasculaire.","button":""},{"index":"004","image":"/images/medical-specialties/endoscopia.jpg","url":"","title":"Endoscopie","text":"L'endoscopie est une technique de diagnostic, de la branche de la médecine, qui consiste à introduire une caméra ou une lentille dans un tube ou un endoscope à travers un orifice naturel.","button":""},{"index":"005","image":"/images/medical-specialties/ginecologia.jpg","url":"","title":"Gynécologie","text":"La gynécologie, qui signifie littéralement 'science des femmes' et en médecine, fait référence à la spécialité médicale et chirurgicale qui traite les maladies du système reproducteur féminin.","button":""},{"index":"006","image":"/images/medical-specialties/cirugia-oncologica.jpg","url":"","title":"Chirurgie Oncologique","text":"La chirurgie oncologique est la spécialité médicale dédiée au diagnostic et au traitement chirurgical des tumeurs, en plus de l’étude du cancer.","button":""},{"index":"007","image":"/images/medical-specialties/odontologia.jpg","url":"","title":"Dentisterie","text":"La dentisterie est l’une des sciences de la santé qui traite du diagnostic, du traitement et de la prévention des maladies du système stomatognathique.","button":""},{"index":"008","image":"/images/medical-specialties/neurocirugia.jpg","url":"","title":"Neurochirurgie","text":"La neurochirurgie est la spécialité médicale responsable du traitement chirurgical de certaines maladies du système nerveux central, périphériques et végétatives, y compris leurs structures vasculaires.","button":""},{"index":"009","image":"/images/medical-specialties/cirugia-general.jpg","url":"","title":"Chirurgie générale","text":"La chirurgie générale est la spécialité médicale de la classe de chirurgie qui couvre les opérations du système digestif; y compris le tractus gastro-intestinal et le système hépato-bilio-pancréatique, le système endocrinien.","button":""},{"index":"010","image":"/images/medical-specialties/nefrologia.jpg","url":"","title":"Néphrologie","text":"La néphrologie est la branche de la médecine interne spécialisée en médecine qui étudie la structure et la fonction rénale, tant sur le plan de la santé que des maladies, y compris la prévention et le traitement des maladies du rein.","button":""},{"index":"011","image":"/images/medical-specialties/neurologia.jpg","url":"","title":"Neurologie","text":"La neurologie est la spécialité médicale qui traite les troubles du système nerveux.","button":""},{"index":"012","image":"/images/medical-specialties/oftalmologia.jpg","url":"","title":"Ophtalmologie","text":"L'ophtalmologie est la spécialité médicale qui étudie les maladies des yeux et leur traitement, notamment le globe oculaire, sa musculature, le système lacrymal et les paupières.","button":""},{"index":"013","image":"/images/medical-specialties/otorrinolaringologia.jpg","url":"","title":"Otolaryngologie","text":"L'otorhinolaryngologie est la spécialité médicale qui étudie les maladies de l'oreille.","button":""},{"index":"014","image":"/images/medical-specialties/oncologia.jpg","url":"","title":"Oncologie","text":"Branche de médecine spécialisée dans le diagnostic et le traitement du cancer. Il comprend l'oncologie médicale, la radionique et l'oncologie chirurgicale.","button":""},{"index":"015","image":"/images/medical-specialties/proctologia.jpg","url":"","title":"La proctologie","text":"La coloproctologie, également appelée proctologie, est la spécialité de la médecine dérivée de la chirurgie générale qui permet le diagnostic et le traitement chirurgical et non chirurgical des maladies du côlon, du rectum et de l'anus.","button":""},{"index":"016","image":"/images/medical-specialties/reumatologia.jpg","url":"","title":"Rhumatologie","text":"La rhumatologie est une spécialité médicale dédiée aux troubles médicaux du système locomoteur et du tissu conjonctif.","button":""},{"index":"017","image":"/images/medical-specialties/traumatologia.jpg","url":"","title":"Traumatologie","text":"C'est la branche de la médecine qui se consacre à l'étude des blessures du système locomoteur.","button":""},{"index":"018","image":"/images/medical-specialties/urologia.jpg","url":"","title":"Urologie","text":"L'urologie est la spécialité médico-chirurgicale qui étudie, diagnostique et traite les pathologies touchant le système urinaire, les glandes surrénales et le rétropéritoine de l'homme, ainsi que le système reproducteur masculin.","button":""}],</v>
      </c>
    </row>
    <row r="3" spans="1:15" x14ac:dyDescent="0.3">
      <c r="A3" s="1" t="str">
        <f>TEXT(ROW()-3,"000")</f>
        <v>000</v>
      </c>
      <c r="B3" s="1" t="s">
        <v>240</v>
      </c>
      <c r="D3" s="1" t="s">
        <v>182</v>
      </c>
      <c r="E3" t="s">
        <v>201</v>
      </c>
      <c r="G3" s="1" t="s">
        <v>144</v>
      </c>
      <c r="H3" t="s">
        <v>125</v>
      </c>
      <c r="J3" s="1" t="s">
        <v>163</v>
      </c>
      <c r="K3" s="1" t="s">
        <v>220</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{"index":"000","image":"/images/medical-specialties/angiologia.jpg","url":"","title":"Angiology","text":"Angiology is the medical specialty that is responsible for the study of the vessels of the circulatory system and the lymphatic system; including the anatomy of the blood vessels and the lymphatics, in addition to their diseases.","button":""},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{"index":"000","image":"/images/medical-specialties/angiologia.jpg","url":"","title":"Angiología","text":"La angiología es la especialidad médica que se encarga del estudio de los vasos del sistema circulatorio y del sistema linfático; incluyendo la anatomía de los vasos sanguíneos y la de los linfáticos, además de sus enfermedades. ","button":""},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{"index":"000","image":"/images/medical-specialties/angiologia.jpg","url":"","title":"Angiologie","text":"L'angiologie est la spécialité médicale responsable de l'étude des vaisseaux du système circulatoire et du système lymphatique; y compris l'anatomie des vaisseaux sanguins et des lymphatiques, en plus de leurs maladies.","button":""},</v>
      </c>
    </row>
    <row r="4" spans="1:15" x14ac:dyDescent="0.3">
      <c r="A4" s="1" t="str">
        <f t="shared" ref="A4:A53" si="1">TEXT(ROW()-3,"000")</f>
        <v>001</v>
      </c>
      <c r="B4" s="1" t="s">
        <v>241</v>
      </c>
      <c r="D4" s="1" t="s">
        <v>183</v>
      </c>
      <c r="E4" s="5" t="s">
        <v>202</v>
      </c>
      <c r="G4" s="1" t="s">
        <v>145</v>
      </c>
      <c r="H4" s="5" t="s">
        <v>126</v>
      </c>
      <c r="J4" s="1" t="s">
        <v>164</v>
      </c>
      <c r="K4" s="1" t="s">
        <v>221</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{"index":"001","image":"/images/medical-specialties/cardiologia.jpg","url":"","title":"Cardiology","text":"Cardiology is the branch of medicine that is responsible for the study, diagnosis and treatment of diseases of the heart and the circulatory system.","button":""},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{"index":"001","image":"/images/medical-specialties/cardiologia.jpg","url":"","title":"Cardiología","text":"La cardiología es la rama de la medicina que se encarga del estudio, diagnóstico y tratamiento de las enfermedades del corazón y del aparato circulatorio.","button":""},</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{"index":"001","image":"/images/medical-specialties/cardiologia.jpg","url":"","title":"Cardiologie","text":"La cardiologie est la branche de la médecine responsable de l’étude, du diagnostic et du traitement des maladies du coeur et du système circulatoire.","button":""},</v>
      </c>
    </row>
    <row r="5" spans="1:15" x14ac:dyDescent="0.3">
      <c r="A5" s="1" t="str">
        <f t="shared" si="1"/>
        <v>002</v>
      </c>
      <c r="B5" s="1" t="s">
        <v>242</v>
      </c>
      <c r="D5" s="1" t="s">
        <v>184</v>
      </c>
      <c r="E5" t="s">
        <v>203</v>
      </c>
      <c r="G5" s="1" t="s">
        <v>146</v>
      </c>
      <c r="H5" t="s">
        <v>127</v>
      </c>
      <c r="J5" s="1" t="s">
        <v>165</v>
      </c>
      <c r="K5" s="1" t="s">
        <v>222</v>
      </c>
      <c r="M5" s="1" t="str">
        <f t="shared" si="2"/>
        <v>{"index":"002","image":"/images/medical-specialties/cirugia-plastica.jpg","url":"","title":"Plastic surgery","text":"Plastic surgery is the medical specialty that aims to correct and improve abnormalities of congenital, acquired, tumoral or involutive origin that require repair or replacement of the body form and its function.","button":""},</v>
      </c>
      <c r="N5" s="1" t="str">
        <f t="shared" si="3"/>
        <v>{"index":"002","image":"/images/medical-specialties/cirugia-plastica.jpg","url":"","title":"Cirugía Plastica","text":"La cirugía plástica es la especialidad médica que tiene por objeto la corrección y mejoramiento de anormalidades de origen congénito, adquirido, tumoral o involutiva que requieran reparación o reposición de la forma corporal y su función. ","button":""},</v>
      </c>
      <c r="O5" s="1" t="str">
        <f t="shared" si="4"/>
        <v>{"index":"002","image":"/images/medical-specialties/cirugia-plastica.jpg","url":"","title":"Chirurgie plastique","text":"La chirurgie plastique est la spécialité médicale qui vise à corriger et à améliorer les anomalies d'origine congénitale, acquise, tumorale ou involutive nécessitant une réparation ou un remplacement de la forme corporelle et de sa fonction.","button":""},</v>
      </c>
    </row>
    <row r="6" spans="1:15" x14ac:dyDescent="0.3">
      <c r="A6" s="1" t="str">
        <f t="shared" si="1"/>
        <v>003</v>
      </c>
      <c r="B6" s="1" t="s">
        <v>243</v>
      </c>
      <c r="D6" s="1" t="s">
        <v>185</v>
      </c>
      <c r="E6" t="s">
        <v>204</v>
      </c>
      <c r="G6" s="1" t="s">
        <v>147</v>
      </c>
      <c r="H6" t="s">
        <v>128</v>
      </c>
      <c r="J6" s="1" t="s">
        <v>166</v>
      </c>
      <c r="K6" s="1" t="s">
        <v>223</v>
      </c>
      <c r="M6" s="1" t="str">
        <f t="shared" si="2"/>
        <v>{"index":"003","image":"/images/medical-specialties/cirugia-vascular.jpg","url":"","title":"Vascular surgery","text":"Angiology and vascular surgery is a medical-surgical specialty dedicated to the study, prevention, clinical and instrumental diagnosis and treatment of vascular pathology.","button":""},</v>
      </c>
      <c r="N6" s="1" t="str">
        <f t="shared" si="3"/>
        <v>{"index":"003","image":"/images/medical-specialties/cirugia-vascular.jpg","url":"","title":"Cirugía Vascular","text":"La angiología y cirugía vascular es una especialidad médico-quirúrgica dedicada al estudio, prevención, diagnóstico clínico e instrumental y tratamiento de la patología vascular.","button":""},</v>
      </c>
      <c r="O6" s="1" t="str">
        <f t="shared" si="4"/>
        <v>{"index":"003","image":"/images/medical-specialties/cirugia-vascular.jpg","url":"","title":"Chirurgie vasculaire","text":"L'angiologie et la chirurgie vasculaire sont une spécialité médico-chirurgicale dédiée à l'étude, à la prévention, au diagnostic clinique et instrumental et au traitement de la pathologie vasculaire.","button":""},</v>
      </c>
    </row>
    <row r="7" spans="1:15" x14ac:dyDescent="0.3">
      <c r="A7" s="1" t="str">
        <f t="shared" si="1"/>
        <v>004</v>
      </c>
      <c r="B7" s="1" t="s">
        <v>244</v>
      </c>
      <c r="D7" s="1" t="s">
        <v>186</v>
      </c>
      <c r="E7" t="s">
        <v>205</v>
      </c>
      <c r="G7" s="1" t="s">
        <v>148</v>
      </c>
      <c r="H7" t="s">
        <v>129</v>
      </c>
      <c r="J7" s="1" t="s">
        <v>167</v>
      </c>
      <c r="K7" s="1" t="s">
        <v>224</v>
      </c>
      <c r="M7" s="1" t="str">
        <f t="shared" si="2"/>
        <v>{"index":"004","image":"/images/medical-specialties/endoscopia.jpg","url":"","title":"Endoscopy","text":"Endoscopy is a diagnostic technique, of the branch of medicine, which involves the introduction of a camera or lens into a tube or endoscope through a natural orifice.","button":""},</v>
      </c>
      <c r="N7" s="1" t="str">
        <f t="shared" si="3"/>
        <v>{"index":"004","image":"/images/medical-specialties/endoscopia.jpg","url":"","title":"Endoscopia","text":"La endoscopia es una técnica diagnóstica, de la rama de la medicina, que consiste en la introducción de una cámara o lente dentro de un tubo o endoscopio a través de un orificio natural.","button":""},</v>
      </c>
      <c r="O7" s="1" t="str">
        <f t="shared" si="4"/>
        <v>{"index":"004","image":"/images/medical-specialties/endoscopia.jpg","url":"","title":"Endoscopie","text":"L'endoscopie est une technique de diagnostic, de la branche de la médecine, qui consiste à introduire une caméra ou une lentille dans un tube ou un endoscope à travers un orifice naturel.","button":""},</v>
      </c>
    </row>
    <row r="8" spans="1:15" x14ac:dyDescent="0.3">
      <c r="A8" s="1" t="str">
        <f t="shared" si="1"/>
        <v>005</v>
      </c>
      <c r="B8" s="1" t="s">
        <v>245</v>
      </c>
      <c r="D8" s="1" t="s">
        <v>187</v>
      </c>
      <c r="E8" t="s">
        <v>206</v>
      </c>
      <c r="G8" s="1" t="s">
        <v>149</v>
      </c>
      <c r="H8" t="s">
        <v>130</v>
      </c>
      <c r="J8" s="1" t="s">
        <v>168</v>
      </c>
      <c r="K8" s="1" t="s">
        <v>239</v>
      </c>
      <c r="M8" s="1" t="str">
        <f t="shared" si="2"/>
        <v>{"index":"005","image":"/images/medical-specialties/ginecologia.jpg","url":"","title":"Gynecology","text":"Gynecology which literally means women's science and in medicine refers to the medical and surgical specialty that treats diseases of the female reproductive system.","button":""},</v>
      </c>
      <c r="N8" s="1" t="str">
        <f t="shared" si="3"/>
        <v>{"index":"005","image":"/images/medical-specialties/ginecologia.jpg","url":"","title":"Ginecología","text":"Ginecología que significa literalmente ciencia de la mujer y en medicina hace referencia a la especialidad médica y quirúrgica que trata las enfermedades del sistema reproductor femenino.","button":""},</v>
      </c>
      <c r="O8" s="1" t="str">
        <f t="shared" si="4"/>
        <v>{"index":"005","image":"/images/medical-specialties/ginecologia.jpg","url":"","title":"Gynécologie","text":"La gynécologie, qui signifie littéralement 'science des femmes' et en médecine, fait référence à la spécialité médicale et chirurgicale qui traite les maladies du système reproducteur féminin.","button":""},</v>
      </c>
    </row>
    <row r="9" spans="1:15" x14ac:dyDescent="0.3">
      <c r="A9" s="1" t="str">
        <f t="shared" si="1"/>
        <v>006</v>
      </c>
      <c r="B9" s="1" t="s">
        <v>246</v>
      </c>
      <c r="D9" s="1" t="s">
        <v>188</v>
      </c>
      <c r="E9" s="5" t="s">
        <v>207</v>
      </c>
      <c r="G9" s="1" t="s">
        <v>150</v>
      </c>
      <c r="H9" s="5" t="s">
        <v>131</v>
      </c>
      <c r="J9" s="1" t="s">
        <v>169</v>
      </c>
      <c r="K9" s="1" t="s">
        <v>225</v>
      </c>
      <c r="M9" s="1" t="str">
        <f t="shared" si="2"/>
        <v>{"index":"006","image":"/images/medical-specialties/cirugia-oncologica.jpg","url":"","title":"Oncologic surgery","text":"Oncological Surgery is the medical specialty that is dedicated to the diagnosis and surgical treatment of tumors, in addition to the study of cancer.","button":""},</v>
      </c>
      <c r="N9" s="1" t="str">
        <f t="shared" si="3"/>
        <v>{"index":"006","image":"/images/medical-specialties/cirugia-oncologica.jpg","url":"","title":"Cirugía Oncologíca","text":"Cirugía Oncológica es la especialidad médica que se dedica al diagnóstico y tratamiento quirúrgico de los tumores, además del estudio del cáncer.","button":""},</v>
      </c>
      <c r="O9" s="1" t="str">
        <f t="shared" si="4"/>
        <v>{"index":"006","image":"/images/medical-specialties/cirugia-oncologica.jpg","url":"","title":"Chirurgie Oncologique","text":"La chirurgie oncologique est la spécialité médicale dédiée au diagnostic et au traitement chirurgical des tumeurs, en plus de l’étude du cancer.","button":""},</v>
      </c>
    </row>
    <row r="10" spans="1:15" x14ac:dyDescent="0.3">
      <c r="A10" s="1" t="str">
        <f t="shared" si="1"/>
        <v>007</v>
      </c>
      <c r="B10" s="1" t="s">
        <v>247</v>
      </c>
      <c r="D10" s="1" t="s">
        <v>189</v>
      </c>
      <c r="E10" s="5" t="s">
        <v>208</v>
      </c>
      <c r="G10" s="1" t="s">
        <v>151</v>
      </c>
      <c r="H10" s="5" t="s">
        <v>132</v>
      </c>
      <c r="J10" s="1" t="s">
        <v>170</v>
      </c>
      <c r="K10" s="1" t="s">
        <v>226</v>
      </c>
      <c r="M10" s="1" t="str">
        <f t="shared" si="2"/>
        <v>{"index":"007","image":"/images/medical-specialties/odontologia.jpg","url":"","title":"odontology","text":"Dentistry is one of the health sciences that deals with the diagnosis, treatment and prevention of diseases of the stomatognathic system.","button":""},</v>
      </c>
      <c r="N10" s="1" t="str">
        <f t="shared" si="3"/>
        <v>{"index":"007","image":"/images/medical-specialties/odontologia.jpg","url":"","title":"Odontología","text":"La odontología es una de las ciencias de la salud que se encarga del diagnóstico, tratamiento y prevención de las enfermedades del aparato estomatognático.","button":""},</v>
      </c>
      <c r="O10" s="1" t="str">
        <f t="shared" si="4"/>
        <v>{"index":"007","image":"/images/medical-specialties/odontologia.jpg","url":"","title":"Dentisterie","text":"La dentisterie est l’une des sciences de la santé qui traite du diagnostic, du traitement et de la prévention des maladies du système stomatognathique.","button":""},</v>
      </c>
    </row>
    <row r="11" spans="1:15" x14ac:dyDescent="0.3">
      <c r="A11" s="1" t="str">
        <f t="shared" si="1"/>
        <v>008</v>
      </c>
      <c r="B11" s="1" t="s">
        <v>248</v>
      </c>
      <c r="D11" s="1" t="s">
        <v>190</v>
      </c>
      <c r="E11" s="5" t="s">
        <v>209</v>
      </c>
      <c r="G11" s="1" t="s">
        <v>152</v>
      </c>
      <c r="H11" s="5" t="s">
        <v>133</v>
      </c>
      <c r="J11" s="1" t="s">
        <v>171</v>
      </c>
      <c r="K11" s="1" t="s">
        <v>227</v>
      </c>
      <c r="M11" s="1" t="str">
        <f t="shared" si="2"/>
        <v>{"index":"008","image":"/images/medical-specialties/neurocirugia.jpg","url":"","title":"Neurosurgery","text":"Neurosurgery is the medical specialty that is responsible for the surgical management of certain diseases of the central nervous system, peripheral and vegetative, including their vascular structures.","button":""},</v>
      </c>
      <c r="N11" s="1" t="str">
        <f t="shared" si="3"/>
        <v>{"index":"008","image":"/images/medical-specialties/neurocirugia.jpg","url":"","title":"Neurocirugía","text":"La neurocirugía es la especialidad médica que se encarga del manejo quirúrgico de determinadas enfermedades del sistema nervioso central, periférico y vegetativo, incluyendo sus estructuras vasculares.","button":""},</v>
      </c>
      <c r="O11" s="1" t="str">
        <f t="shared" si="4"/>
        <v>{"index":"008","image":"/images/medical-specialties/neurocirugia.jpg","url":"","title":"Neurochirurgie","text":"La neurochirurgie est la spécialité médicale responsable du traitement chirurgical de certaines maladies du système nerveux central, périphériques et végétatives, y compris leurs structures vasculaires.","button":""},</v>
      </c>
    </row>
    <row r="12" spans="1:15" x14ac:dyDescent="0.3">
      <c r="A12" s="1" t="str">
        <f t="shared" si="1"/>
        <v>009</v>
      </c>
      <c r="B12" s="1" t="s">
        <v>249</v>
      </c>
      <c r="D12" s="1" t="s">
        <v>191</v>
      </c>
      <c r="E12" s="5" t="s">
        <v>210</v>
      </c>
      <c r="G12" s="1" t="s">
        <v>153</v>
      </c>
      <c r="H12" s="5" t="s">
        <v>134</v>
      </c>
      <c r="J12" s="1" t="s">
        <v>172</v>
      </c>
      <c r="K12" s="1" t="s">
        <v>228</v>
      </c>
      <c r="M12" s="1" t="str">
        <f t="shared" si="2"/>
        <v>{"index":"009","image":"/images/medical-specialties/cirugia-general.jpg","url":"","title":"General Surgery","text":"General surgery is the medical specialty of surgical class that covers the operations of the digestive system; including the gastrointestinal tract and the hepato-bilio-pancreatic system, the endocrine system.","button":""},</v>
      </c>
      <c r="N12" s="1" t="str">
        <f t="shared" si="3"/>
        <v>{"index":"009","image":"/images/medical-specialties/cirugia-general.jpg","url":"","title":"Cirugía General","text":"La cirugía general es la especialidad médica de clase quirúrgica que abarca las operaciones del aparato digestivo; incluyendo el tracto gastrointestinal y el sistema hepato-bilio-pancreático, el sistema endocrino.","button":""},</v>
      </c>
      <c r="O12" s="1" t="str">
        <f t="shared" si="4"/>
        <v>{"index":"009","image":"/images/medical-specialties/cirugia-general.jpg","url":"","title":"Chirurgie générale","text":"La chirurgie générale est la spécialité médicale de la classe de chirurgie qui couvre les opérations du système digestif; y compris le tractus gastro-intestinal et le système hépato-bilio-pancréatique, le système endocrinien.","button":""},</v>
      </c>
    </row>
    <row r="13" spans="1:15" x14ac:dyDescent="0.3">
      <c r="A13" s="1" t="str">
        <f t="shared" si="1"/>
        <v>010</v>
      </c>
      <c r="B13" s="1" t="s">
        <v>250</v>
      </c>
      <c r="D13" s="1" t="s">
        <v>192</v>
      </c>
      <c r="E13" s="5" t="s">
        <v>211</v>
      </c>
      <c r="G13" s="1" t="s">
        <v>154</v>
      </c>
      <c r="H13" s="5" t="s">
        <v>135</v>
      </c>
      <c r="J13" s="1" t="s">
        <v>173</v>
      </c>
      <c r="K13" s="1" t="s">
        <v>229</v>
      </c>
      <c r="M13" s="1" t="str">
        <f t="shared" si="2"/>
        <v>{"index":"010","image":"/images/medical-specialties/nefrologia.jpg","url":"","title":"Nephrology","text":"Nephrology is the medical specialty branch of internal medicine that deals with the study of renal structure and function, both in health and disease, including the prevention and treatment of kidney diseases.","button":""},</v>
      </c>
      <c r="N13" s="1" t="str">
        <f t="shared" si="3"/>
        <v>{"index":"010","image":"/images/medical-specialties/nefrologia.jpg","url":"","title":"Nefrología","text":"La nefrología es la especialidad médica rama de la medicina interna que se ocupa del estudio de la estructura y la función renal, tanto en la salud como en la enfermedad, incluyendo la prevención y tratamiento de las enfermedades renales.","button":""},</v>
      </c>
      <c r="O13" s="1" t="str">
        <f t="shared" si="4"/>
        <v>{"index":"010","image":"/images/medical-specialties/nefrologia.jpg","url":"","title":"Néphrologie","text":"La néphrologie est la branche de la médecine interne spécialisée en médecine qui étudie la structure et la fonction rénale, tant sur le plan de la santé que des maladies, y compris la prévention et le traitement des maladies du rein.","button":""},</v>
      </c>
    </row>
    <row r="14" spans="1:15" x14ac:dyDescent="0.3">
      <c r="A14" s="1" t="str">
        <f t="shared" si="1"/>
        <v>011</v>
      </c>
      <c r="B14" s="1" t="s">
        <v>251</v>
      </c>
      <c r="D14" s="1" t="s">
        <v>193</v>
      </c>
      <c r="E14" t="s">
        <v>212</v>
      </c>
      <c r="G14" s="1" t="s">
        <v>155</v>
      </c>
      <c r="H14" t="s">
        <v>136</v>
      </c>
      <c r="J14" s="1" t="s">
        <v>174</v>
      </c>
      <c r="K14" s="1" t="s">
        <v>230</v>
      </c>
      <c r="M14" s="1" t="str">
        <f t="shared" si="2"/>
        <v>{"index":"011","image":"/images/medical-specialties/neurologia.jpg","url":"","title":"Neurology","text":"Neurology is the medical specialty that treats nervous system disorders.","button":""},</v>
      </c>
      <c r="N14" s="1" t="str">
        <f t="shared" si="3"/>
        <v>{"index":"011","image":"/images/medical-specialties/neurologia.jpg","url":"","title":"Neurología","text":"La neurología es la especialidad médica que trata los trastornos del sistema nervioso.​ ","button":""},</v>
      </c>
      <c r="O14" s="1" t="str">
        <f t="shared" si="4"/>
        <v>{"index":"011","image":"/images/medical-specialties/neurologia.jpg","url":"","title":"Neurologie","text":"La neurologie est la spécialité médicale qui traite les troubles du système nerveux.","button":""},</v>
      </c>
    </row>
    <row r="15" spans="1:15" x14ac:dyDescent="0.3">
      <c r="A15" s="1" t="str">
        <f t="shared" si="1"/>
        <v>012</v>
      </c>
      <c r="B15" s="1" t="s">
        <v>252</v>
      </c>
      <c r="D15" s="1" t="s">
        <v>194</v>
      </c>
      <c r="E15" s="5" t="s">
        <v>213</v>
      </c>
      <c r="G15" s="1" t="s">
        <v>156</v>
      </c>
      <c r="H15" s="5" t="s">
        <v>137</v>
      </c>
      <c r="J15" s="1" t="s">
        <v>175</v>
      </c>
      <c r="K15" s="1" t="s">
        <v>231</v>
      </c>
      <c r="M15" s="1" t="str">
        <f t="shared" si="2"/>
        <v>{"index":"012","image":"/images/medical-specialties/oftalmologia.jpg","url":"","title":"Ophthalmology","text":"Ophthalmology is the medical specialty that studies eye diseases and their treatment, including the eyeball, its musculature, the lacrimal system and the eyelids.","button":""},</v>
      </c>
      <c r="N15" s="1" t="str">
        <f t="shared" si="3"/>
        <v>{"index":"012","image":"/images/medical-specialties/oftalmologia.jpg","url":"","title":"Oftalmología","text":"La Oftalmología ​​ es la especialidad médica que estudia las enfermedades de ojo y su tratamiento, incluyendo el globo ocular, su musculatura, el sistema lagrimal y los párpados. ","button":""},</v>
      </c>
      <c r="O15" s="1" t="str">
        <f t="shared" si="4"/>
        <v>{"index":"012","image":"/images/medical-specialties/oftalmologia.jpg","url":"","title":"Ophtalmologie","text":"L'ophtalmologie est la spécialité médicale qui étudie les maladies des yeux et leur traitement, notamment le globe oculaire, sa musculature, le système lacrymal et les paupières.","button":""},</v>
      </c>
    </row>
    <row r="16" spans="1:15" x14ac:dyDescent="0.3">
      <c r="A16" s="1" t="str">
        <f t="shared" si="1"/>
        <v>013</v>
      </c>
      <c r="B16" s="1" t="s">
        <v>253</v>
      </c>
      <c r="D16" s="1" t="s">
        <v>195</v>
      </c>
      <c r="E16" t="s">
        <v>214</v>
      </c>
      <c r="G16" s="1" t="s">
        <v>157</v>
      </c>
      <c r="H16" t="s">
        <v>138</v>
      </c>
      <c r="J16" s="1" t="s">
        <v>176</v>
      </c>
      <c r="K16" s="1" t="s">
        <v>232</v>
      </c>
      <c r="M16" s="1" t="str">
        <f t="shared" si="2"/>
        <v>{"index":"013","image":"/images/medical-specialties/otorrinolaringologia.jpg","url":"","title":"Otorhinolaryngology","text":"Otolaryngology is the medical specialty that deals with the study of ear diseases.","button":""},</v>
      </c>
      <c r="N16" s="1" t="str">
        <f t="shared" si="3"/>
        <v>{"index":"013","image":"/images/medical-specialties/otorrinolaringologia.jpg","url":"","title":"Otorrinolaringologia","text":"La otorrinolaringología es la especialidad médica que se encarga del estudio de las enfermedades del oído.","button":""},</v>
      </c>
      <c r="O16" s="1" t="str">
        <f t="shared" si="4"/>
        <v>{"index":"013","image":"/images/medical-specialties/otorrinolaringologia.jpg","url":"","title":"Otolaryngologie","text":"L'otorhinolaryngologie est la spécialité médicale qui étudie les maladies de l'oreille.","button":""},</v>
      </c>
    </row>
    <row r="17" spans="1:15" x14ac:dyDescent="0.3">
      <c r="A17" s="1" t="str">
        <f t="shared" si="1"/>
        <v>014</v>
      </c>
      <c r="B17" s="1" t="s">
        <v>254</v>
      </c>
      <c r="D17" s="1" t="s">
        <v>196</v>
      </c>
      <c r="E17" s="5" t="s">
        <v>215</v>
      </c>
      <c r="G17" s="1" t="s">
        <v>158</v>
      </c>
      <c r="H17" s="5" t="s">
        <v>139</v>
      </c>
      <c r="J17" s="1" t="s">
        <v>177</v>
      </c>
      <c r="K17" s="1" t="s">
        <v>233</v>
      </c>
      <c r="M17" s="1" t="str">
        <f t="shared" si="2"/>
        <v>{"index":"014","image":"/images/medical-specialties/oncologia.jpg","url":"","title":"Oncology","text":"Branch of medicine specialized in the diagnosis and treatment of cancer. It includes medical oncology, radionics and surgical oncology.","button":""},</v>
      </c>
      <c r="N17" s="1" t="str">
        <f t="shared" si="3"/>
        <v>{"index":"014","image":"/images/medical-specialties/oncologia.jpg","url":"","title":"Oncología","text":"Rama de la medicina especializada en el diagnóstico y tratamiento del cáncer. Incluye la oncología médica, la radioncología  y la oncología quirúrgica.","button":""},</v>
      </c>
      <c r="O17" s="1" t="str">
        <f t="shared" si="4"/>
        <v>{"index":"014","image":"/images/medical-specialties/oncologia.jpg","url":"","title":"Oncologie","text":"Branche de médecine spécialisée dans le diagnostic et le traitement du cancer. Il comprend l'oncologie médicale, la radionique et l'oncologie chirurgicale.","button":""},</v>
      </c>
    </row>
    <row r="18" spans="1:15" x14ac:dyDescent="0.3">
      <c r="A18" s="1" t="str">
        <f t="shared" si="1"/>
        <v>015</v>
      </c>
      <c r="B18" s="1" t="s">
        <v>255</v>
      </c>
      <c r="D18" s="1" t="s">
        <v>197</v>
      </c>
      <c r="E18" s="5" t="s">
        <v>216</v>
      </c>
      <c r="G18" s="1" t="s">
        <v>159</v>
      </c>
      <c r="H18" s="5" t="s">
        <v>140</v>
      </c>
      <c r="J18" s="1" t="s">
        <v>178</v>
      </c>
      <c r="K18" s="1" t="s">
        <v>234</v>
      </c>
      <c r="M18" s="1" t="str">
        <f t="shared" si="2"/>
        <v>{"index":"015","image":"/images/medical-specialties/proctologia.jpg","url":"","title":"Proctology","text":"Coloproctology, also called proctology, is the specialty of medicine derived from general surgery that provides diagnosis and surgical and non-surgical treatment of diseases of the colon, rectum and anus.","button":""},</v>
      </c>
      <c r="N18" s="1" t="str">
        <f t="shared" si="3"/>
        <v>{"index":"015","image":"/images/medical-specialties/proctologia.jpg","url":"","title":"Proctología","text":"La coloproctología, llamada también proctología, es la especialidad de la medicina derivada de la cirugía general que brinda diagnóstico y tratamiento quirúrgico y no quirúrgico de las enfermedades del colon, recto y ano.​ ","button":""},</v>
      </c>
      <c r="O18" s="1" t="str">
        <f t="shared" si="4"/>
        <v>{"index":"015","image":"/images/medical-specialties/proctologia.jpg","url":"","title":"La proctologie","text":"La coloproctologie, également appelée proctologie, est la spécialité de la médecine dérivée de la chirurgie générale qui permet le diagnostic et le traitement chirurgical et non chirurgical des maladies du côlon, du rectum et de l'anus.","button":""},</v>
      </c>
    </row>
    <row r="19" spans="1:15" x14ac:dyDescent="0.3">
      <c r="A19" s="1" t="str">
        <f t="shared" si="1"/>
        <v>016</v>
      </c>
      <c r="B19" s="1" t="s">
        <v>256</v>
      </c>
      <c r="D19" s="1" t="s">
        <v>198</v>
      </c>
      <c r="E19" s="5" t="s">
        <v>217</v>
      </c>
      <c r="G19" s="1" t="s">
        <v>160</v>
      </c>
      <c r="H19" s="5" t="s">
        <v>141</v>
      </c>
      <c r="J19" s="1" t="s">
        <v>179</v>
      </c>
      <c r="K19" s="1" t="s">
        <v>235</v>
      </c>
      <c r="M19" s="1" t="str">
        <f t="shared" si="2"/>
        <v>{"index":"016","image":"/images/medical-specialties/reumatologia.jpg","url":"","title":"Rheumatology","text":"Rheumatology is a medical specialty dedicated to the medical disorders of the locomotor system and connective tissue.","button":""},</v>
      </c>
      <c r="N19" s="1" t="str">
        <f t="shared" si="3"/>
        <v>{"index":"016","image":"/images/medical-specialties/reumatologia.jpg","url":"","title":"Reumatología","text":"La reumatología es una especialidad médica dedicada a los trastornos médicos del aparato locomotor y del tejido conectivo.","button":""},</v>
      </c>
      <c r="O19" s="1" t="str">
        <f t="shared" si="4"/>
        <v>{"index":"016","image":"/images/medical-specialties/reumatologia.jpg","url":"","title":"Rhumatologie","text":"La rhumatologie est une spécialité médicale dédiée aux troubles médicaux du système locomoteur et du tissu conjonctif.","button":""},</v>
      </c>
    </row>
    <row r="20" spans="1:15" x14ac:dyDescent="0.3">
      <c r="A20" s="1" t="str">
        <f t="shared" si="1"/>
        <v>017</v>
      </c>
      <c r="B20" s="1" t="s">
        <v>257</v>
      </c>
      <c r="D20" s="1" t="s">
        <v>199</v>
      </c>
      <c r="E20" s="5" t="s">
        <v>218</v>
      </c>
      <c r="G20" s="1" t="s">
        <v>161</v>
      </c>
      <c r="H20" s="5" t="s">
        <v>142</v>
      </c>
      <c r="J20" s="1" t="s">
        <v>180</v>
      </c>
      <c r="K20" s="1" t="s">
        <v>236</v>
      </c>
      <c r="M20" s="1" t="str">
        <f t="shared" si="2"/>
        <v>{"index":"017","image":"/images/medical-specialties/traumatologia.jpg","url":"","title":"Traumatology","text":"It is the branch of medicine that is dedicated to the study of injuries of the locomotor system.","button":""},</v>
      </c>
      <c r="N20" s="1" t="str">
        <f t="shared" si="3"/>
        <v>{"index":"017","image":"/images/medical-specialties/traumatologia.jpg","url":"","title":"Traumatología","text":"Es la rama de la medicina que se dedica al estudio de las lesiones del aparato locomotor.","button":""},</v>
      </c>
      <c r="O20" s="1" t="str">
        <f t="shared" si="4"/>
        <v>{"index":"017","image":"/images/medical-specialties/traumatologia.jpg","url":"","title":"Traumatologie","text":"C'est la branche de la médecine qui se consacre à l'étude des blessures du système locomoteur.","button":""},</v>
      </c>
    </row>
    <row r="21" spans="1:15" x14ac:dyDescent="0.3">
      <c r="A21" s="1" t="str">
        <f t="shared" si="1"/>
        <v>018</v>
      </c>
      <c r="B21" s="1" t="s">
        <v>258</v>
      </c>
      <c r="D21" s="1" t="s">
        <v>200</v>
      </c>
      <c r="E21" s="5" t="s">
        <v>219</v>
      </c>
      <c r="G21" s="1" t="s">
        <v>162</v>
      </c>
      <c r="H21" s="5" t="s">
        <v>143</v>
      </c>
      <c r="J21" s="1" t="s">
        <v>181</v>
      </c>
      <c r="K21" s="1" t="s">
        <v>237</v>
      </c>
      <c r="M21" s="1" t="str">
        <f t="shared" si="2"/>
        <v>{"index":"018","image":"/images/medical-specialties/urologia.jpg","url":"","title":"Urology","text":"Urology is the medical-surgical specialty that deals with the study, diagnosis and treatment of pathologies that affect the urinary system, adrenal glands and retroperitoneum of man, as well as the male reproductive system.","button":""}</v>
      </c>
      <c r="N21" s="1" t="str">
        <f t="shared" si="3"/>
        <v>{"index":"018","image":"/images/medical-specialties/urologia.jpg","url":"","title":"Urología","text":"La urología es la especialidad médico-quirúrgica que se ocupa del estudio, diagnóstico y tratamiento de las patologías que afectan al aparato urinario, glándulas suprarrenales y retroperitoneo del hombre, así como el aparato reproductor masculino.","button":""}</v>
      </c>
      <c r="O21" s="1" t="str">
        <f t="shared" si="4"/>
        <v>{"index":"018","image":"/images/medical-specialties/urologia.jpg","url":"","title":"Urologie","text":"L'urologie est la spécialité médico-chirurgicale qui étudie, diagnostique et traite les pathologies touchant le système urinaire, les glandes surrénales et le rétropéritoine de l'homme, ainsi que le système reproducteur masculin.","button":""}</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2F41F-B68B-4E0E-B891-CCDD85CBD63A}">
  <sheetPr codeName="Sheet10"/>
  <dimension ref="A1:O60"/>
  <sheetViews>
    <sheetView zoomScale="130" zoomScaleNormal="130" workbookViewId="0">
      <selection activeCell="D7" sqref="D7"/>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CHAR(34)&amp;MID(CELL("filename",A1),FIND("]",CELL("filename",A1))+1,31)&amp;CHAR(34)&amp;":"&amp;"["&amp;_xlfn.CONCAT(M3:M83)&amp;"],"</f>
        <v>"Procedures":[{"index":"000","image":"/images/medical-procedures/trasplante-renal.jpg","url":"","title":"Kidney transplant","text":"Kidney transplantation is the therapy of choice for most causes of terminal chronic renal failure because it improves quality of life and survival versus dialysis.","button":"Get quote"},{"index":"001","image":"/images/medical-procedures/nefrectomia.jpg","url":"","title":"Nephrectomy","text":"Nephrectomy is a surgical procedure that is done to remove all or part of the kidney.","button":"Get quote"},{"index":"002","image":"/images/medical-procedures/hemicolectomia.jpg","url":"","title":"Hemicolectomy","text":"Removal of half of the colon. It can be right or left hemicolectomy.","button":"Get quote"},{"index":"003","image":"/images/medical-procedures/funduplicatura.jpg","url":"","title":"Funduplication","text":"Fundoplication is the surgical procedure used to treat gastroesophageal reflux disease.","button":"Get quote"},{"index":"004","image":"/images/medical-procedures/discoidectomia.jpg","url":"","title":"Discoidectomy","text":"Discectomy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quote"},{"index":"006","image":"/images/medical-procedures/laminectomia-de-columna.jpg","url":"","title":"Laminectomy of column","text":"It is a surgery to remove the lamina. This is a part of the bone that constitutes a vertebra in the spine.","button":"Get quote"},{"index":"007","image":"/images/medical-procedures/protesis-de-rodilla.jpg","url":"","title":"Knee prosthesis","text":"The prostheses are reproductions of the bones of the knee area, metal, resins or ceramic materials, which are placed in the place of the joint.","button":"Get quote"},{"index":"008","image":"/images/medical-procedures/by-pass.jpg","url":"","title":"By pass","text":"Gastric bypass, also called, is a type of weight loss surgery that involves creating a small sac from the stomach and connecting the newly created sac directly with the small intestine.","button":"Get quote"},{"index":"009","image":"/images/medical-procedures/craneotomia.jpg","url":"","title":"Craniotomy","text":"Craniotomy is a surgical operation in which part of the skull, called a bone flap, is removed in order to access the brain.","button":"Get quote"},{"index":"010","image":"/images/medical-procedures/manga-gastrica.jpg","url":"","title":"Gastric sleeve","text":"In gastric sleeve surgery, a surgeon removes part of the stomach and builds a narrow tube or 'sleeve' with the rest.","button":"Get quote"},{"index":"011","image":"/images/medical-procedures/protesis-de-cadera.jpg","url":"","title":"Hip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quote"},{"index":"012","image":"/images/medical-procedures/artrodesis-de-rodilla.jpg","url":"","title":"Knee arthrodesis","text":"Knee arthrodesis is a procedure that fuses the thigh bone with the leg bone in the knee.","button":"Get quote"},{"index":"013","image":"/images/medical-procedures/mastectomia.jpg","url":"","title":"Mastectomy","text":"Mastectomy is a way to treat breast cancer by surgically removing the entire breast.","button":"Get quote"},{"index":"014","image":"/images/medical-procedures/prostatectomia.jpg","url":"","title":"Prostatectomy","text":"Prostatectomy (removal of the prostate) is surgery to remove the entire prostate gland and some tissues around it.","button":"Get quote"},{"index":"015","image":"/images/medical-procedures/ritidoplastia.jpg","url":"","title":"Rhytidoplasty","text":"Rhytidectomy is an aesthetic plastic surgery procedure that involves the surgical removal of skin wrinkles or rhytidosis.","button":"Get quote"},{"index":"016","image":"/images/medical-procedures/rtu-de-prostata.jpg","url":"","title":"Prostate Rtu","text":"Transurethral resection is a urological surgical procedure that consists in the removal of diseased tissues of the urethra, prostate and bladder by accessing them through the urethral lumen.","button":"Get quote"},{"index":"017","image":"/images/medical-procedures/plastia-de-pared.jpg","url":"","title":"Wall plasty","text":"Abdominal wall surgery is a procedure that improves the appearance of flaccid and stretched abdominal muscles and skin.","button":"Get quote"},{"index":"018","image":"/images/medical-procedures/histerectomia-radical.jpg","url":"","title":"Radical hysterectomy","text":"Surgery to remove the uterus, cervix and part of the vagina. The ovaries, fallopian tubes and nearby lymph nodes can also be removed.","button":"Get quote"},{"index":"019","image":"/images/medical-procedures/tiroidectomia.jpg","url":"","title":"Thyroidectomy","text":"Thyroidectomy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quote"},{"index":"021","image":"/images/medical-procedures/artroscopia-de-hombro.jpg","url":"","title":"Shoulder arthroscopy","text":"It is a surgery in which a small camera called an arthroscope is used to examine or repair the tissues in or around the shoulder joint.","button":"Get quote"},{"index":"022","image":"/images/medical-procedures/artroscopia-de-rodilla.jpg","url":"","title":"Knee arthroscopy","text":"It is surgery in which a tiny camera is used to observe inside the knee.","button":"Get quote"},{"index":"023","image":"/images/medical-procedures/histerectomia-abdominal.jpg","url":"","title":"Abdominal hysterectomy","text":"An abdominal hysterectomy is a surgical procedure where the uterus is removed through an incision in the lower abdomen.","button":"Get quote"},{"index":"024","image":"/images/medical-procedures/histerectomia-vaginal.jpg","url":"","title":"Vaginal hysterectomy","text":"Vaginal hysterectomy is a surgical procedure to remove the uterus through the vagina.","button":"Get quote"},{"index":"025","image":"/images/medical-procedures/laparotomia.jpg","url":"","title":"Laparotomy","text":"It is surgery to examine the organs and structures of the belly area. These include your appendix, bladder, gallbladder, intestines, kidney, liver, pancreas, among others.","button":"Get quote"},{"index":"026","image":"/images/medical-procedures/mastopexia.jpg","url":"","title":"Mastopexy","text":"Mastopexy is a surgical intervention that consists in the elevation and remodeling of the breasts.","button":"Get quote"},{"index":"027","image":"/images/medical-procedures/pexia-mamaria.jpg","url":"","title":"Breast pexy","text":"The mammary pexia is a surgical procedure designed to correct the position and improve the general appearance of the breasts.","button":"Get quote"},{"index":"028","image":"/images/medical-procedures/reseccion-de-quiste-de-ovario.jpg","url":"","title":"Resection of ovarian cyst","text":"The surgery is used to confirm the diagnosis of ovarian cyst, remove a cyst that is causing symptoms and rule out ovarian cancer.","button":"Get quote"},{"index":"029","image":"/images/medical-procedures/cuadrantectomia-de-mama.jpg","url":"","title":"Breast quadrantectomy","text":"Surgical operation to remove the cancer and some of the tissue that surrounds it, but not the breast. Some lymph nodes under the arm may be removed to make a biopsy.","button":"Get quote"},{"index":"030","image":"/images/medical-procedures/ooforectomia.jpg","url":"","title":"Oophorectomy","text":"An oophorectomy is a surgical procedure to remove an ovary or both.","button":"Get quote"},{"index":"031","image":"/images/medical-procedures/plastia-de-ligamento-cruzado.jpg","url":"","title":"Cross ligament plasty","text":"It is a surgery to reconstruct the ligament that is in the center of the knee.","button":"Get quote"},{"index":"032","image":"/images/medical-procedures/liposuccion.jpg","url":"","title":"Liposuction","text":"Liposuction is a surgical technique that is used in cosmetic surgery and that allows a remodeling of the silhouette through the extraction of fat or adipose tissue.","button":"Get quote"},{"index":"033","image":"/images/medical-procedures/meniscectomia.jpg","url":"","title":"Meniscectomy","text":"Minimally invasive surgery allows the meniscus lesion to be removed and stabilized","button":"Get quote"},{"index":"034","image":"/images/medical-procedures/mentoplastia.jpg","url":"","title":"Mentoplasty","text":"Mentoplasty is a surgical procedure that seeks through various means to achieve an increase in chin projection.","button":"Get quote"},{"index":"035","image":"/images/medical-procedures/miomectomia.jpg","url":"","title":"Myomectomy","text":"Myomectomy, sometimes also fibroectomy, refers to the surgical removal of uterine leiomyomas, also known as fibroids.","button":"Get quote"},{"index":"036","image":"/images/medical-procedures/mastoidectomia.jpg","url":"","title":"Mastoidectomy","text":"A mastoidectomy is a procedure performed to remove the mastoid air cells.","button":"Get quote"},{"index":"037","image":"/images/medical-procedures/microlaringoscopia.jpg","url":"","title":"Microlaryngoscopy","text":"It consists of the introduction of a metallic tube in the larynx under microscopic control.","button":"Get quote"},{"index":"038","image":"/images/medical-procedures/safenectomia-bilateral.jpg","url":"","title":"Bilateral saphenectomy","text":"Bilateral saphenectomy involves removing the saphenous vein from both legs.","button":"Get quote"},{"index":"039","image":"/images/medical-procedures/osteotomia.jpg","url":"","title":"Osteotomy of the femur and tibia","text":"The osteotomy consists of making a partial cut in the bone, either in the femur or in the tibia.","button":"Get quote"},{"index":"040","image":"/images/medical-procedures/plastia-vaginales.jpg","url":"","title":"Vaginal plasty","text":"It is a surgical procedure. This surgery tightens the front wall of the vagina.","button":"Get quote"},{"index":"041","image":"/images/medical-procedures/rinoseptumplastia.jpg","url":"","title":"Rhinoplasty","text":"Surgery to improve the shape of the nose.","button":"Get quote"},{"index":"042","image":"/images/medical-procedures/hernioplastia.jpg","url":"","title":"Hernioplasty","text":"Umbilical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quote"},{"index":"043","image":"/images/medical-procedures/ureterolitotripsia.jpg","url":"","title":"Ureterolitotripsia","text":"Ureteroscopy is an intervention to examine the inside of the kidney and the ureter by means of a uteroscope.","button":"Get quote"},{"index":"044","image":"/images/medical-procedures/hemorroidectomia.jpg","url":"","title":"Hemorrhoidectomy","text":"It is known as hemorrhoidectomy to the surgical procedure of hemorrhoid removal.","button":"Get quote"},{"index":"045","image":"/images/medical-procedures/histerolaparoscopia.jpg","url":"","title":"Hysteroscopy","text":"Hysteroscopy is a clinical procedure that allows a gynecologist to see the inside of the uterus through an endoscopy.","button":"Get quote"},{"index":"046","image":"/images/medical-procedures/septumplastia.jpg","url":"","title":"Septuplasty","text":"Septuplasty is surgery that is performed to correct deformities or deviations of the nasal septum, also called nasal septum.","button":"Get quote"},{"index":"047","image":"/images/medical-procedures/orquiectomia.jpg","url":"","title":"Orchiectomy","text":"Orchiectomy is the term that is used in medicine to designate the surgical extirpation, total or partial, of one or both testicles.","button":"Get quote"},{"index":"048","image":"/images/medical-procedures/osteotomia-de-tibia.jpg","url":"","title":"Tibial osteotomy","text":"It is an operation designed to change the position and alignment of the leg bone.","button":"Get quote"},{"index":"049","image":"/images/medical-procedures/otoplastia.jpg","url":"","title":"Otoplasty","text":"Otoplasty is a surgery in which the deformities of the ear are resolved.","button":"Get quote"},{"index":"050","image":"/images/medical-procedures/palatoplastia.jpg","url":"","title":"Palatoplasty","text":"Palatoplasty is a surgical procedure used to correct or reconstruct the palate in a person with cleft palate.","button":"Get quote"},{"index":"051","image":"/images/medical-procedures/rinoplastia.jpg","url":"","title":"Rhinoplasty","text":"Rhinoplasty is a surgical procedure in which the aesthetic problems of the nose, such as the osseous hump, the bone protruding from the back of the nose, are mainly solved.","button":"Get quote"},{"index":"052","image":"/images/medical-procedures/adenoamigdalectomia.jpg","url":"","title":"Adenoamigdalectomy","text":"The adenoamigdalectomía is the intervention that is made to extirpate the tonsils and the adenoideas vegetations.","button":"Get quote"},{"index":"053","image":"/images/medical-procedures/safenectomia.jpg","url":"","title":"Safenectomy","text":"Surgical removal of the saphenous vein. It is usually used as a surgical treatment for varicose veins and for obtaining venous grafts in coronary artery interventions.","button":"Get quote"},{"index":"054","image":"/images/medical-procedures/amigdalectomia.jpg","url":"","title":"Tonsillectomy","text":"Tonsillectomy involves the surgical removal of the tonsils. This surgical intervention is carried out by the otolaryngologist.","button":"Get quote"},{"index":"055","image":"/images/medical-procedures/varicocelectomia.jpg","url":"","title":"Varicocelectomy","text":"The varicocelectomy is the surgical intervention that allows to alleviate the problems caused by the varicocele.","button":"Get quote"},{"index":"056","image":"/images/medical-procedures/hidrocelectomia.jpg","url":"","title":"Hydrocelectomy","text":"A hydrocele is a type of swelling of the scrotum that occurs when fluid accumulates in the thin lining around the testicle.","button":"Get quote"},{"index":"057","image":"/images/medical-procedures/reseccion-de-fibroadenoma-mamario.jpg","url":"","title":"Resection of fibroadenoma mammary","text":"The removal of a breast tumor is surgery to remove a tumor that may be breast cancer.","button":"Get quote"}],</v>
      </c>
      <c r="N2" s="1" t="str">
        <f t="shared" ref="N2:O2" ca="1" si="0">CHAR(34)&amp;MID(CELL("filename",B1),FIND("]",CELL("filename",B1))+1,31)&amp;CHAR(34)&amp;":"&amp;"["&amp;_xlfn.CONCAT(N3:N83)&amp;"],"</f>
        <v>"Procedures":[{"index":"000","image":"/images/medical-procedures/trasplante-renal.jpg","url":"","title":"Trasplante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cotización"},{"index":"001","image":"/images/medical-procedures/nefrectomia.jpg","url":"","title":"Nefrectomía","text":"La nefrectomía es un procedimiento quirúrgico que se realiza para extirpar todo el riñón o parte de este.","button":"Consigue una cotización"},{"index":"002","image":"/images/medical-procedures/hemicolectomia.jpg","url":"","title":"Hemicolectomía","text":"Extirpación de la mitad del colon. Puede ser hemicolectomía derecha o izquierda.","button":"Consigue una cotización"},{"index":"003","image":"/images/medical-procedures/funduplicatura.jpg","url":"","title":"Funduplicatura","text":"La funduplicatura es el procedimiento quirúrgico usado para tratar la enfermedad por reflujo gastroesofágico. ","button":"Consigue una cotización"},{"index":"004","image":"/images/medical-procedures/discoidectomia.jpg","url":"","title":"Discectomía","text":"La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cotización"},{"index":"006","image":"/images/medical-procedures/laminectomia-de-columna.jpg","url":"","title":"Laminectomía de columna","text":"Es una cirugía para extirpar la lámina. Esta es una parte del hueso que constituye una vértebra en la columna. ","button":"Consigue una cotización"},{"index":"007","image":"/images/medical-procedures/protesis-de-rodilla.jpg","url":"","title":"Prótesis de rodilla","text":"Las prótesis son reproducciones de los huesos de la zona de la rodilla, de metal, resinas o materiales cerámicos, que se colocan en el lugar de la articulación.","button":"Consigue una cotización"},{"index":"008","image":"/images/medical-procedures/by-pass.jpg","url":"","title":"By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cotización"},{"index":"009","image":"/images/medical-procedures/craneotomia.jpg","url":"","title":"Craneotomía","text":"Craneotomía es una operación quirúrgica en que parte del cráneo, llamado colgajo óseo, se extrae con el fin de acceder al cerebro.","button":"Consigue una cotización"},{"index":"010","image":"/images/medical-procedures/manga-gastrica.jpg","url":"","title":"Manga gástrica","text":"En la cirugía de manga gástrica, un cirujano extrae parte del estómago y construye un tubo estrecho o 'manga' con el resto. ","button":"Consigue una cotización"},{"index":"011","image":"/images/medical-procedures/protesis-de-cadera.jpg","url":"","title":"Prótesis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cotización"},{"index":"012","image":"/images/medical-procedures/artrodesis-de-rodilla.jpg","url":"","title":"Artrodesis de rodilla","text":"La artrodesis de rodilla es un procedimiento que fusiona el hueso del muslo con el hueso de la pierna en la rodilla. ","button":"Consigue una cotización"},{"index":"013","image":"/images/medical-procedures/mastectomia.jpg","url":"","title":"Mastectomía","text":"La mastectomía es una manera de tratar el cáncer de seno mediante la extirpación quirúrgica de todo el seno. ","button":"Consigue una cotización"},{"index":"014","image":"/images/medical-procedures/prostatectomia.jpg","url":"","title":"Prostatectomía","text":"La prostatectomía (extracción de la próstata) es la cirugía para extirpar toda la glándula prostática y algunos tejidos alrededor de esta. ","button":"Consigue una cotización"},{"index":"015","image":"/images/medical-procedures/ritidoplastia.jpg","url":"","title":"Ritidoplastia","text":"La ritidoplastia es un procedimiento de cirugía plástica estética que consiste en la eliminación quirúrgica de arrugas de la piel o ritidosis.","button":"Consigue una cotización"},{"index":"016","image":"/images/medical-procedures/rtu-de-prostata.jpg","url":"","title":"Rtu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cotización"},{"index":"017","image":"/images/medical-procedures/plastia-de-pared.jpg","url":"","title":"Plastia de pared","text":"La cirugía de la pared abdominal es un procedimiento que mejora la apariencia de los músculos y piel abdominales flácidos y estirados.","button":"Consigue una cotización"},{"index":"018","image":"/images/medical-procedures/histerectomia-radical.jpg","url":"","title":"Histerectomía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cotización"},{"index":"022","image":"/images/medical-procedures/artroscopia-de-rodilla.jpg","url":"","title":"Artroscopia de rodilla","text":"Es la cirugía en la cual se utiliza una cámara diminuta para observar dentro de la rodilla.","button":"Consigue una cotización"},{"index":"023","image":"/images/medical-procedures/histerectomia-abdominal.jpg","url":"","title":"Histerectomía abdominal","text":"Una histerectomía abdominal es un procedimiento quirúrgico donde se extirpa el útero a través de una incisión en la parte inferior del abdomen. ","button":"Consigue una cotización"},{"index":"024","image":"/images/medical-procedures/histerectomia-vaginal.jpg","url":"","title":"Histerectomía vaginal","text":"La histerectomía vaginal es un procedimiento quirúrgico para extirpar el útero a través de la vagina. ","button":"Consigue una cotización"},{"index":"025","image":"/images/medical-procedures/laparotomia.jpg","url":"","title":"Laparotomía","text":"Es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cotización"},{"index":"026","image":"/images/medical-procedures/mastopexia.jpg","url":"","title":"Mastopexia","text":"La mastopexia es una intervención quirúrgica que consiste en la elevación y remodelación de las mamas. ","button":"Consigue una cotización"},{"index":"027","image":"/images/medical-procedures/pexia-mamaria.jpg","url":"","title":"Pexia mamaria","text":"La pexia mamaria es un procedimiento quirúrgico destinado a corregir la posición y mejorar el aspecto general de las mamas.","button":"Consigue una cotización"},{"index":"028","image":"/images/medical-procedures/reseccion-de-quiste-de-ovario.jpg","url":"","title":"Resección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cotización"},{"index":"030","image":"/images/medical-procedures/ooforectomia.jpg","url":"","title":"Ooforectomía","text":"Una ooforectomía es un procedimiento quirúrgico para extirpar un ovario o ambos.","button":"Consigue una cotización"},{"index":"031","image":"/images/medical-procedures/plastia-de-ligamento-cruzado.jpg","url":"","title":"Plastia de ligamento cruzado","text":"Es una cirugía para reconstruir el ligamento que se encuentra en el centro de la rodilla.","button":"Consigue una cotización"},{"index":"032","image":"/images/medical-procedures/liposuccion.jpg","url":"","title":"Liposucción","text":"La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cotización"},{"index":"033","image":"/images/medical-procedures/meniscectomia.jpg","url":"","title":"Meniscectomia","text":"Cirugía mínimamente invasiva permite remover y estabilizar la lesión del menisco","button":"Consigue una cotización"},{"index":"034","image":"/images/medical-procedures/mentoplastia.jpg","url":"","title":"Mentoplastía","text":"La mentoplastia es un procedimiento quirúrgico que busca mediante diversos medios lograr un aumento en la proyección del mentón.","button":"Consigue una cotización"},{"index":"035","image":"/images/medical-procedures/miomectomia.jpg","url":"","title":"Miomectomía","text":"La miomectomía, a veces también la fibroectomía, se refiere a la extirpación quirúrgica de los leiomiomas uterinos, también conocidos como fibromas.","button":"Consigue una cotización"},{"index":"036","image":"/images/medical-procedures/mastoidectomia.jpg","url":"","title":"Mastoidectomía","text":"Una mastoidectomía es un procedimiento que se realiza para extraer las células aéreas mastoideas.","button":"Consigue una cotización"},{"index":"037","image":"/images/medical-procedures/microlaringoscopia.jpg","url":"","title":"Microlaringoscopía","text":"Consiste en la introducción de un tubo metálico en la laringe bajo control microscópico .","button":"Consigue una cotización"},{"index":"038","image":"/images/medical-procedures/safenectomia-bilateral.jpg","url":"","title":"Safenectomía bilateral","text":"La safenectomía bilateral consiste en quitar la vena safena de las dos piernas.","button":"Consigue una cotización"},{"index":"039","image":"/images/medical-procedures/osteotomia.jpg","url":"","title":"Osteotomía de fémur y tibia","text":"La osteotomía consiste en realizar un corte parcial en el hueso, ya sea en el fémur o en la tibia.","button":"Consigue una cotización"},{"index":"040","image":"/images/medical-procedures/plastia-vaginales.jpg","url":"","title":"Plastia vaginales","text":"Es un procedimiento quirúrgico. Esta cirugía tensa la pared frontal de la vagina.","button":"Consigue una cotización"},{"index":"041","image":"/images/medical-procedures/rinoseptumplastia.jpg","url":"","title":"Rinoseptumplastía","text":"Cirugía para mejorar la forma de la nariz.","button":"Consigue una cotización"},{"index":"042","image":"/images/medical-procedures/hernioplastia.jpg","url":"","title":"Hernioplastía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cotización"},{"index":"043","image":"/images/medical-procedures/ureterolitotripsia.jpg","url":"","title":"Ureterolitotripsia ","text":"La ureteroscopia es una intervención para examinar el interior del riñon y el uréter por medio de un uteroscopio.","button":"Consigue una cotización"},{"index":"044","image":"/images/medical-procedures/hemorroidectomia.jpg","url":"","title":"Hemorroidectomía","text":"Se conoce como hemorroidectomia al procedimiento quirúrgico de extirpación de las hemorroides.","button":"Consigue una cotización"},{"index":"045","image":"/images/medical-procedures/histerolaparoscopia.jpg","url":"","title":"Histerolaparoscopia","text":"La histeroscopia es un procedimiento clínico que le permite a un ginecólogo ver el interior del útero por medio de una endoscopia.","button":"Consigue una cotización"},{"index":"046","image":"/images/medical-procedures/septumplastia.jpg","url":"","title":"Septumplastía","text":"La septumplastia es la cirugía que se realiza para corregir las deformidades o desviaciones del tabique nasal, también llamado septum nasal.","button":"Consigue una cotización"},{"index":"047","image":"/images/medical-procedures/orquiectomia.jpg","url":"","title":"Orquiectomía","text":"Orquiectomía es el término que se usa en medicina para designar la extirpación quirúrgica, total o parcial, de uno o de los dos testículos.","button":"Consigue una cotización"},{"index":"048","image":"/images/medical-procedures/osteotomia-de-tibia.jpg","url":"","title":"Osteotomía de tibia","text":"Es una operación diseñada para cambiar la posición y alineación del hueso de la pierna.","button":"Consigue una cotización"},{"index":"049","image":"/images/medical-procedures/otoplastia.jpg","url":"","title":"Otoplastía","text":"La otoplastia es una cirugía en la cual se resuelven las deformidades de la oreja.","button":"Consigue una cotización"},{"index":"050","image":"/images/medical-procedures/palatoplastia.jpg","url":"","title":"Palatoplastía","text":"La palatoplastia es un procedimiento quirúrgico que se usa para corregir o reconstruir el paladar en una persona con paladar hendido.","button":"Consigue una cotización"},{"index":"051","image":"/images/medical-procedures/rinoplastia.jpg","url":"","title":"Rinoplastía","text":"La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cotización"},{"index":"052","image":"/images/medical-procedures/adenoamigdalectomia.jpg","url":"","title":"Adenoamigdalectomía","text":"La adenoamigdalectomía es la intervención que se realiza para extirpar las amígdalas y las vegetaciones adenoideas.","button":"Consigue una cotización"},{"index":"053","image":"/images/medical-procedures/safenectomia.jpg","url":"","title":"Safenectomía","text":"Extracción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cotización"},{"index":"054","image":"/images/medical-procedures/amigdalectomia.jpg","url":"","title":"Amigdalectomía","text":"La amigdalectomía consiste en la extirpación quirúrgica de las amígdalas. Esta intervención quirúrgica la lleva a cabo el otorrinolaringólogo.","button":"Consigue una cotización"},{"index":"055","image":"/images/medical-procedures/varicocelectomia.jpg","url":"","title":"Varicocelectomía","text":"La varicocelectomía es la intervención quirúrgica que permite aliviar los problemas causados por el varicocele.","button":"Consigue una cotización"},{"index":"056","image":"/images/medical-procedures/hidrocelectomia.jpg","url":"","title":"Hidrocelectomía","text":"Un hidrocele es un tipo de inflamación del escroto que ocurre cuando se acumula líquido en el recubrimiento delgado que rodea el testículo.","button":"Consigue una cotización"},{"index":"057","image":"/images/medical-procedures/reseccion-de-fibroadenoma-mamario.jpg","url":"","title":"Resección de fibroadenoma mamario","text":"La extirpación de un tumor mamario es la cirugía para extirpar un tumor que puede ser cáncer de mama.","button":"Consigue una cotización"}],</v>
      </c>
      <c r="O2" s="1" t="str">
        <f t="shared" ca="1" si="0"/>
        <v>"Procedures":[{"index":"000","image":"/images/medical-procedures/trasplante-renal.jpg","url":"","title":"Greffe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devis"},{"index":"001","image":"/images/medical-procedures/nefrectomia.jpg","url":"","title":"Néphrectomie","text":"La néphrectomie est une intervention chirurgicale qui consiste à enlever tout ou partie du rein.","button":"Obtenir un devis"},{"index":"002","image":"/images/medical-procedures/hemicolectomia.jpg","url":"","title":"Hémicolectomie","text":"Enlèvement de la moitié du côlon. Il peut s'agir d'une hémicolectomie droite ou gauche.","button":"Obtenir un devis"},{"index":"003","image":"/images/medical-procedures/funduplicatura.jpg","url":"","title":"Fonduplication","text":"La Fundoplication est la procédure chirurgicale utilisée pour traiter le reflux gastro-oesophagien.","button":"Obtenir un devis"},{"index":"004","image":"/images/medical-procedures/discoidectomia.jpg","url":"","title":"Discectomie","text":"La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devis"},{"index":"006","image":"/images/medical-procedures/laminectomia-de-columna.jpg","url":"","title":"Laminectomie de colonne","text":"C'est une opération pour enlever le lamina. C'est une partie de l'os qui constitue une vertèbre dans la colonne vertébrale.","button":"Obtenir un devis"},{"index":"007","image":"/images/medical-procedures/protesis-de-rodilla.jpg","url":"","title":"Prothèse de genou","text":"Les prothèses sont des reproductions des os de la région du genou, du métal, des résines ou des matériaux céramiques, qui sont placées à la place de l'articulation.","button":"Obtenir un devis"},{"index":"008","image":"/images/medical-procedures/by-pass.jpg","url":"","title":"Par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devis"},{"index":"009","image":"/images/medical-procedures/craneotomia.jpg","url":"","title":"Craniotomie","text":"La craniotomie est une opération chirurgicale au cours de laquelle une partie du crâne, appelée lambeau osseux, est retirée afin d'accéder au cerveau.","button":"Obtenir un devis"},{"index":"010","image":"/images/medical-procedures/manga-gastrica.jpg","url":"","title":"Manche gastrique","text":"En chirurgie gastrique, un chirurgien enlève une partie de l'estomac et construit un tube étroit ou 'manche' avec le reste.","button":"Obtenir un devis"},{"index":"011","image":"/images/medical-procedures/protesis-de-cadera.jpg","url":"","title":"Prothèse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devis"},{"index":"012","image":"/images/medical-procedures/artrodesis-de-rodilla.jpg","url":"","title":"Arthrodèse du genou","text":"L'arthrodèse du genou est une procédure qui fusionne l'os de la cuisse avec l'os de la jambe dans le genou.","button":"Obtenir un devis"},{"index":"013","image":"/images/medical-procedures/mastectomia.jpg","url":"","title":"Mastectomie","text":"La mastectomie est un moyen de traiter le cancer du sein en retirant chirurgicalement tout le sein.","button":"Obtenir un devis"},{"index":"014","image":"/images/medical-procedures/prostatectomia.jpg","url":"","title":"Prostatectomie","text":"La prostatectomie (ablation de la prostate) est une intervention chirurgicale qui consiste à enlever toute la prostate et certains tissus qui l'entourent.","button":"Obtenir un devis"},{"index":"015","image":"/images/medical-procedures/ritidoplastia.jpg","url":"","title":"Rhytidoplastie","text":"La rhytidectomie est une procédure de chirurgie plastique esthétique qui consiste à enlever chirurgicalement les rides de la peau ou la rhytidose.","button":"Obtenir un devis"},{"index":"016","image":"/images/medical-procedures/rtu-de-prostata.jpg","url":"","title":"Prostate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devis"},{"index":"017","image":"/images/medical-procedures/plastia-de-pared.jpg","url":"","title":"Plastie murale","text":"La chirurgie de la paroi abdominale est une procédure qui améliore l'apparence des muscles et de la peau abdominaux flasques et étirés.","button":"Obtenir un devis"},{"index":"018","image":"/images/medical-procedures/histerectomia-radical.jpg","url":"","title":"Hystérectomie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devis"},{"index":"022","image":"/images/medical-procedures/artroscopia-de-rodilla.jpg","url":"","title":"Arthroscopie du genou","text":"C'est une intervention chirurgicale dans laquelle une minuscule caméra est utilisée pour observer l'intérieur du genou.","button":"Obtenir un devis"},{"index":"023","image":"/images/medical-procedures/histerectomia-abdominal.jpg","url":"","title":"Hystérectomie abdominale","text":"Une hystérectomie abdominale est une intervention chirurgicale au cours de laquelle l'utérus est prélevé par une incision dans le bas de l'abdomen.","button":"Obtenir un devis"},{"index":"024","image":"/images/medical-procedures/histerectomia-vaginal.jpg","url":"","title":"Hystérectomie vaginale","text":"L'hystérectomie vaginale est une intervention chirurgicale visant à enlever l'utérus par le vagin.","button":"Obtenir un devis"},{"index":"025","image":"/images/medical-procedures/laparotomia.jpg","url":"","title":"La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devis"},{"index":"026","image":"/images/medical-procedures/mastopexia.jpg","url":"","title":"Mastopexie","text":"La mastopexie est une intervention chirurgicale qui consiste en une élévation et un remodelage des seins.","button":"Obtenir un devis"},{"index":"027","image":"/images/medical-procedures/pexia-mamaria.jpg","url":"","title":"Pexy poitrine","text":"Le pexia mammaire est une intervention chirurgicale conçue pour corriger la position et améliorer l’aspect général des seins.","button":"Obtenir un devis"},{"index":"028","image":"/images/medical-procedures/reseccion-de-quiste-de-ovario.jpg","url":"","title":"Résection du kyste ovarien","text":"La chirurgie sert à confirmer le diagnostic de kyste ovarien, à éliminer un kyste à l'origine des symptômes et à exclure le cancer de l'ovaire.","button":"Obtenir un devis"},{"index":"029","image":"/images/medical-procedures/cuadrantectomia-de-mama.jpg","url":"","title":"Quadrantectomie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devis"},{"index":"030","image":"/images/medical-procedures/ooforectomia.jpg","url":"","title":"Ovariectomie","text":"Une ovariectomie est une intervention chirurgicale visant à enlever un ovaire ou les deux.","button":"Obtenir un devis"},{"index":"031","image":"/images/medical-procedures/plastia-de-ligamento-cruzado.jpg","url":"","title":"Plastie ligament croisé","text":"C'est une chirurgie pour reconstruire le ligament qui se trouve au centre du genou.","button":"Obtenir un devis"},{"index":"032","image":"/images/medical-procedures/liposuccion.jpg","url":"","title":"Liposuccion","text":"La liposuccion est une technique chirurgicale utilisée en chirurgie esthétique et qui permet de remodeler la silhouette par extraction de tissu adipeux ou adipeux.","button":"Obtenir un devis"},{"index":"033","image":"/images/medical-procedures/meniscectomia.jpg","url":"","title":"Méniscectomie","text":"La chirurgie mini-invasive permet d'éliminer et de stabiliser la lésion méniscale","button":"Obtenir un devis"},{"index":"034","image":"/images/medical-procedures/mentoplastia.jpg","url":"","title":"Mentoplastie","text":"La mentoplastie est une intervention chirurgicale qui vise, par différents moyens, à augmenter la projection du menton.","button":"Obtenir un devis"},{"index":"035","image":"/images/medical-procedures/miomectomia.jpg","url":"","title":"Myomectomie","text":"La myomectomie, parfois aussi la fibroectomie, fait référence à l'ablation chirurgicale des léiomyomes utérins, également appelés fibromes.","button":"Obtenir un devis"},{"index":"036","image":"/images/medical-procedures/mastoidectomia.jpg","url":"","title":"Mastoïdectomie","text":"Une mastoïdectomie est une procédure réalisée pour retirer les cellules mastoïdiennes.","button":"Obtenir un devis"},{"index":"037","image":"/images/medical-procedures/microlaringoscopia.jpg","url":"","title":"Microlaryngoscopie","text":"Il consiste en l'introduction d'un tube métallique dans le larynx sous contrôle microscopique.","button":"Obtenir un devis"},{"index":"038","image":"/images/medical-procedures/safenectomia-bilateral.jpg","url":"","title":"Saphénectomie bilatérale","text":"La saphénectomie bilatérale consiste à retirer la veine saphène des deux jambes.","button":"Obtenir un devis"},{"index":"039","image":"/images/medical-procedures/osteotomia.jpg","url":"","title":"Ostéotomie du fémur et du tibia","text":"L'ostéotomie consiste à pratiquer une incision partielle dans l'os, soit dans le fémur, soit dans le tibia.","button":"Obtenir un devis"},{"index":"040","image":"/images/medical-procedures/plastia-vaginales.jpg","url":"","title":"Plastie vaginale","text":"C'est une intervention chirurgicale. Cette opération resserre la paroi avant du vagin.","button":"Obtenir un devis"},{"index":"041","image":"/images/medical-procedures/rinoseptumplastia.jpg","url":"","title":"Rhinoplastie","text":"Chirurgie pour améliorer la forme du nez.","button":"Obtenir un devis"},{"index":"042","image":"/images/medical-procedures/hernioplastia.jpg","url":"","title":"Hernioplastie","text":"Hernioplastie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devis"},{"index":"043","image":"/images/medical-procedures/ureterolitotripsia.jpg","url":"","title":"Ureterolitotripsia","text":"L'urétéroscopie est une intervention consistant à examiner l'intérieur du rein et de l'uretère à l'aide d'un utéroscope.","button":"Obtenir un devis"},{"index":"044","image":"/images/medical-procedures/hemorroidectomia.jpg","url":"","title":"Hémorroïdectomie","text":"Il est connu sous le nom d’hémorroïdectomie lors d’une intervention chirurgicale consistant à enlever les hémorroïdes.","button":"Obtenir un devis"},{"index":"045","image":"/images/medical-procedures/histerolaparoscopia.jpg","url":"","title":"Hystéroscopie","text":"L'hystéroscopie est une procédure clinique qui permet à un gynécologue de voir l'intérieur de l'utérus par endoscopie.","button":"Obtenir un devis"},{"index":"046","image":"/images/medical-procedures/septumplastia.jpg","url":"","title":"Septuplastie","text":"La septuplastie est une intervention chirurgicale visant à corriger les déformations ou déviations de la cloison nasale, également appelée septum nasal.","button":"Obtenir un devis"},{"index":"047","image":"/images/medical-procedures/orquiectomia.jpg","url":"","title":"Orchidectomie","text":"Orchiectomie est le terme utilisé en médecine pour désigner l'extirpation chirurgicale totale ou partielle d'un ou des deux testicules.","button":"Obtenir un devis"},{"index":"048","image":"/images/medical-procedures/osteotomia-de-tibia.jpg","url":"","title":"Ostéotomie tibiale","text":"C'est une opération conçue pour changer la position et l'alignement de l'os de la jambe.","button":"Obtenir un devis"},{"index":"049","image":"/images/medical-procedures/otoplastia.jpg","url":"","title":"Otoplastie","text":"L'otoplastie est une intervention chirurgicale dans laquelle les déformations de l'oreille sont résolues.","button":"Obtenir un devis"},{"index":"050","image":"/images/medical-procedures/palatoplastia.jpg","url":"","title":"Palatoplastie","text":"La palatoplastie est une intervention chirurgicale utilisée pour corriger ou reconstruire le palais chez une personne souffrant de fente palatine.","button":"Obtenir un devis"},{"index":"051","image":"/images/medical-procedures/rinoplastia.jpg","url":"","title":"Rhinoplastie","text":"La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devis"},{"index":"052","image":"/images/medical-procedures/adenoamigdalectomia.jpg","url":"","title":"Adénoamigdalectomie","text":"L'adenoamigdalectomía est l'intervention qui consiste à extirper les amygdales et les végétations adénoïdiennes.","button":"Obtenir un devis"},{"index":"053","image":"/images/medical-procedures/safenectomia.jpg","url":"","title":"Safénectomie","text":"Ablation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devis"},{"index":"054","image":"/images/medical-procedures/amigdalectomia.jpg","url":"","title":"Amygdalectomie","text":"L'amygdalectomie implique l'ablation chirurgicale des amygdales. Cette intervention chirurgicale est réalisée par l'oto-rhino-laryngologiste.","button":"Obtenir un devis"},{"index":"055","image":"/images/medical-procedures/varicocelectomia.jpg","url":"","title":"Varicocélectomie","text":"La varicocélectomie est l'intervention chirurgicale qui permet d'atténuer les problèmes causés par la varicocèle.","button":"Obtenir un devis"},{"index":"056","image":"/images/medical-procedures/hidrocelectomia.jpg","url":"","title":"Hydrocélectomie","text":"Une hydrocèle est un type de gonflement du scrotum qui se produit lorsque le liquide s’accumule dans la fine membrane entourant le testicule.","button":"Obtenir un devis"},{"index":"057","image":"/images/medical-procedures/reseccion-de-fibroadenoma-mamario.jpg","url":"","title":"Résection de fibroadénome mammaire","text":"Le retrait d'une tumeur du sein est une intervention chirurgicale visant à retirer une tumeur pouvant être un cancer du sein.","button":"Obtenir un devis"}],</v>
      </c>
    </row>
    <row r="3" spans="1:15" x14ac:dyDescent="0.3">
      <c r="A3" s="1" t="str">
        <f>TEXT(ROW()-3,"000")</f>
        <v>000</v>
      </c>
      <c r="B3" s="1" t="s">
        <v>284</v>
      </c>
      <c r="D3" s="1" t="s">
        <v>452</v>
      </c>
      <c r="E3" t="s">
        <v>508</v>
      </c>
      <c r="F3" s="1" t="s">
        <v>686</v>
      </c>
      <c r="G3" s="1" t="s">
        <v>342</v>
      </c>
      <c r="H3" t="s">
        <v>399</v>
      </c>
      <c r="I3" s="1" t="s">
        <v>687</v>
      </c>
      <c r="J3" s="1" t="s">
        <v>570</v>
      </c>
      <c r="K3" s="1" t="s">
        <v>539</v>
      </c>
      <c r="L3" s="1" t="s">
        <v>688</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{"index":"000","image":"/images/medical-procedures/trasplante-renal.jpg","url":"","title":"Kidney transplant","text":"Kidney transplantation is the therapy of choice for most causes of terminal chronic renal failure because it improves quality of life and survival versus dialysis.","button":"Get quote"},</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v>
      </c>
    </row>
    <row r="4" spans="1:15" x14ac:dyDescent="0.3">
      <c r="A4" s="1" t="str">
        <f t="shared" ref="A4:A60" si="1">TEXT(ROW()-3,"000")</f>
        <v>001</v>
      </c>
      <c r="B4" s="1" t="s">
        <v>285</v>
      </c>
      <c r="D4" s="1" t="s">
        <v>453</v>
      </c>
      <c r="E4" s="5" t="s">
        <v>509</v>
      </c>
      <c r="F4" s="1" t="s">
        <v>686</v>
      </c>
      <c r="G4" s="1" t="s">
        <v>343</v>
      </c>
      <c r="H4" t="s">
        <v>400</v>
      </c>
      <c r="I4" s="1" t="s">
        <v>687</v>
      </c>
      <c r="J4" s="1" t="s">
        <v>571</v>
      </c>
      <c r="K4" s="1" t="s">
        <v>540</v>
      </c>
      <c r="L4" s="1" t="s">
        <v>688</v>
      </c>
      <c r="M4" s="1" t="str">
        <f t="shared" ref="M4:M60"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{"index":"001","image":"/images/medical-procedures/nefrectomia.jpg","url":"","title":"Nephrectomy","text":"Nephrectomy is a surgical procedure that is done to remove all or part of the kidney.","button":"Get quote"},</v>
      </c>
      <c r="N4" s="1" t="str">
        <f t="shared" ref="N4:N60"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{"index":"001","image":"/images/medical-procedures/nefrectomia.jpg","url":"","title":"Nefrectomía","text":"La nefrectomía es un procedimiento quirúrgico que se realiza para extirpar todo el riñón o parte de este.","button":"Consigue una cotización"},</v>
      </c>
      <c r="O4" s="1" t="str">
        <f t="shared" ref="O4:O60"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{"index":"001","image":"/images/medical-procedures/nefrectomia.jpg","url":"","title":"Néphrectomie","text":"La néphrectomie est une intervention chirurgicale qui consiste à enlever tout ou partie du rein.","button":"Obtenir un devis"},</v>
      </c>
    </row>
    <row r="5" spans="1:15" x14ac:dyDescent="0.3">
      <c r="A5" s="1" t="str">
        <f t="shared" si="1"/>
        <v>002</v>
      </c>
      <c r="B5" s="1" t="s">
        <v>286</v>
      </c>
      <c r="D5" s="1" t="s">
        <v>454</v>
      </c>
      <c r="E5" t="s">
        <v>510</v>
      </c>
      <c r="F5" s="1" t="s">
        <v>686</v>
      </c>
      <c r="G5" s="1" t="s">
        <v>344</v>
      </c>
      <c r="H5" t="s">
        <v>401</v>
      </c>
      <c r="I5" s="1" t="s">
        <v>687</v>
      </c>
      <c r="J5" s="1" t="s">
        <v>572</v>
      </c>
      <c r="K5" s="1" t="s">
        <v>541</v>
      </c>
      <c r="L5" s="1" t="s">
        <v>688</v>
      </c>
      <c r="M5" s="1" t="str">
        <f t="shared" si="2"/>
        <v>{"index":"002","image":"/images/medical-procedures/hemicolectomia.jpg","url":"","title":"Hemicolectomy","text":"Removal of half of the colon. It can be right or left hemicolectomy.","button":"Get quote"},</v>
      </c>
      <c r="N5" s="1" t="str">
        <f t="shared" si="3"/>
        <v>{"index":"002","image":"/images/medical-procedures/hemicolectomia.jpg","url":"","title":"Hemicolectomía","text":"Extirpación de la mitad del colon. Puede ser hemicolectomía derecha o izquierda.","button":"Consigue una cotización"},</v>
      </c>
      <c r="O5" s="1" t="str">
        <f t="shared" si="4"/>
        <v>{"index":"002","image":"/images/medical-procedures/hemicolectomia.jpg","url":"","title":"Hémicolectomie","text":"Enlèvement de la moitié du côlon. Il peut s'agir d'une hémicolectomie droite ou gauche.","button":"Obtenir un devis"},</v>
      </c>
    </row>
    <row r="6" spans="1:15" x14ac:dyDescent="0.3">
      <c r="A6" s="1" t="str">
        <f t="shared" si="1"/>
        <v>003</v>
      </c>
      <c r="B6" s="1" t="s">
        <v>287</v>
      </c>
      <c r="D6" s="1" t="s">
        <v>455</v>
      </c>
      <c r="E6" t="s">
        <v>511</v>
      </c>
      <c r="F6" s="1" t="s">
        <v>686</v>
      </c>
      <c r="G6" s="1" t="s">
        <v>345</v>
      </c>
      <c r="H6" t="s">
        <v>402</v>
      </c>
      <c r="I6" s="1" t="s">
        <v>687</v>
      </c>
      <c r="J6" s="1" t="s">
        <v>573</v>
      </c>
      <c r="K6" s="1" t="s">
        <v>542</v>
      </c>
      <c r="L6" s="1" t="s">
        <v>688</v>
      </c>
      <c r="M6" s="1" t="str">
        <f t="shared" si="2"/>
        <v>{"index":"003","image":"/images/medical-procedures/funduplicatura.jpg","url":"","title":"Funduplication","text":"Fundoplication is the surgical procedure used to treat gastroesophageal reflux disease.","button":"Get quote"},</v>
      </c>
      <c r="N6" s="1" t="str">
        <f t="shared" si="3"/>
        <v>{"index":"003","image":"/images/medical-procedures/funduplicatura.jpg","url":"","title":"Funduplicatura","text":"La funduplicatura es el procedimiento quirúrgico usado para tratar la enfermedad por reflujo gastroesofágico. ","button":"Consigue una cotización"},</v>
      </c>
      <c r="O6" s="1" t="str">
        <f t="shared" si="4"/>
        <v>{"index":"003","image":"/images/medical-procedures/funduplicatura.jpg","url":"","title":"Fonduplication","text":"La Fundoplication est la procédure chirurgicale utilisée pour traiter le reflux gastro-oesophagien.","button":"Obtenir un devis"},</v>
      </c>
    </row>
    <row r="7" spans="1:15" x14ac:dyDescent="0.3">
      <c r="A7" s="1" t="str">
        <f t="shared" si="1"/>
        <v>004</v>
      </c>
      <c r="B7" s="1" t="s">
        <v>288</v>
      </c>
      <c r="D7" s="1" t="s">
        <v>456</v>
      </c>
      <c r="E7" t="s">
        <v>761</v>
      </c>
      <c r="F7" s="1" t="s">
        <v>686</v>
      </c>
      <c r="G7" s="1" t="s">
        <v>757</v>
      </c>
      <c r="H7" t="s">
        <v>759</v>
      </c>
      <c r="I7" s="1" t="s">
        <v>687</v>
      </c>
      <c r="J7" s="1" t="s">
        <v>758</v>
      </c>
      <c r="K7" s="1" t="s">
        <v>760</v>
      </c>
      <c r="L7" s="1" t="s">
        <v>688</v>
      </c>
      <c r="M7" s="1" t="str">
        <f t="shared" si="2"/>
        <v>{"index":"004","image":"/images/medical-procedures/discoidectomia.jpg","url":"","title":"Discoidectomy","text":"Discectomy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v>
      </c>
      <c r="N7" s="1" t="str">
        <f t="shared" si="3"/>
        <v>{"index":"004","image":"/images/medical-procedures/discoidectomia.jpg","url":"","title":"Discectomía","text":"La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v>
      </c>
      <c r="O7" s="1" t="str">
        <f t="shared" si="4"/>
        <v>{"index":"004","image":"/images/medical-procedures/discoidectomia.jpg","url":"","title":"Discectomie","text":"La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v>
      </c>
    </row>
    <row r="8" spans="1:15" x14ac:dyDescent="0.3">
      <c r="A8" s="1" t="str">
        <f t="shared" si="1"/>
        <v>005</v>
      </c>
      <c r="B8" s="1" t="s">
        <v>289</v>
      </c>
      <c r="D8" s="1" t="s">
        <v>457</v>
      </c>
      <c r="E8" t="s">
        <v>512</v>
      </c>
      <c r="F8" s="1" t="s">
        <v>686</v>
      </c>
      <c r="G8" s="1" t="s">
        <v>346</v>
      </c>
      <c r="H8" t="s">
        <v>681</v>
      </c>
      <c r="I8" s="1" t="s">
        <v>687</v>
      </c>
      <c r="J8" s="1" t="s">
        <v>574</v>
      </c>
      <c r="K8" s="1" t="s">
        <v>543</v>
      </c>
      <c r="L8" s="1" t="s">
        <v>688</v>
      </c>
      <c r="M8" s="1" t="str">
        <f t="shared" si="2"/>
        <v>{"index":"005","image":"/images/medical-procedures/banda-gastrica.jpg","url":"","title":"Gastric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v>
      </c>
      <c r="N8" s="1" t="str">
        <f t="shared" si="3"/>
        <v>{"index":"005","image":"/images/medical-procedures/banda-gastrica.jpg","url":"","title":"Banda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v>
      </c>
      <c r="O8" s="1" t="str">
        <f t="shared" si="4"/>
        <v>{"index":"005","image":"/images/medical-procedures/banda-gastrica.jpg","url":"","title":"Bande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v>
      </c>
    </row>
    <row r="9" spans="1:15" x14ac:dyDescent="0.3">
      <c r="A9" s="1" t="str">
        <f t="shared" si="1"/>
        <v>006</v>
      </c>
      <c r="B9" s="1" t="s">
        <v>290</v>
      </c>
      <c r="D9" s="1" t="s">
        <v>458</v>
      </c>
      <c r="E9" s="5" t="s">
        <v>513</v>
      </c>
      <c r="F9" s="1" t="s">
        <v>686</v>
      </c>
      <c r="G9" s="1" t="s">
        <v>347</v>
      </c>
      <c r="H9" t="s">
        <v>403</v>
      </c>
      <c r="I9" s="1" t="s">
        <v>687</v>
      </c>
      <c r="J9" s="1" t="s">
        <v>575</v>
      </c>
      <c r="K9" s="1" t="s">
        <v>544</v>
      </c>
      <c r="L9" s="1" t="s">
        <v>688</v>
      </c>
      <c r="M9" s="1" t="str">
        <f t="shared" si="2"/>
        <v>{"index":"006","image":"/images/medical-procedures/laminectomia-de-columna.jpg","url":"","title":"Laminectomy of column","text":"It is a surgery to remove the lamina. This is a part of the bone that constitutes a vertebra in the spine.","button":"Get quote"},</v>
      </c>
      <c r="N9" s="1" t="str">
        <f t="shared" si="3"/>
        <v>{"index":"006","image":"/images/medical-procedures/laminectomia-de-columna.jpg","url":"","title":"Laminectomía de columna","text":"Es una cirugía para extirpar la lámina. Esta es una parte del hueso que constituye una vértebra en la columna. ","button":"Consigue una cotización"},</v>
      </c>
      <c r="O9" s="1" t="str">
        <f t="shared" si="4"/>
        <v>{"index":"006","image":"/images/medical-procedures/laminectomia-de-columna.jpg","url":"","title":"Laminectomie de colonne","text":"C'est une opération pour enlever le lamina. C'est une partie de l'os qui constitue une vertèbre dans la colonne vertébrale.","button":"Obtenir un devis"},</v>
      </c>
    </row>
    <row r="10" spans="1:15" x14ac:dyDescent="0.3">
      <c r="A10" s="1" t="str">
        <f t="shared" si="1"/>
        <v>007</v>
      </c>
      <c r="B10" s="1" t="s">
        <v>291</v>
      </c>
      <c r="D10" s="1" t="s">
        <v>459</v>
      </c>
      <c r="E10" s="5" t="s">
        <v>514</v>
      </c>
      <c r="F10" s="1" t="s">
        <v>686</v>
      </c>
      <c r="G10" s="1" t="s">
        <v>348</v>
      </c>
      <c r="H10" t="s">
        <v>404</v>
      </c>
      <c r="I10" s="1" t="s">
        <v>687</v>
      </c>
      <c r="J10" s="1" t="s">
        <v>576</v>
      </c>
      <c r="K10" s="1" t="s">
        <v>545</v>
      </c>
      <c r="L10" s="1" t="s">
        <v>688</v>
      </c>
      <c r="M10" s="1" t="str">
        <f t="shared" si="2"/>
        <v>{"index":"007","image":"/images/medical-procedures/protesis-de-rodilla.jpg","url":"","title":"Knee prosthesis","text":"The prostheses are reproductions of the bones of the knee area, metal, resins or ceramic materials, which are placed in the place of the joint.","button":"Get quote"},</v>
      </c>
      <c r="N10" s="1" t="str">
        <f t="shared" si="3"/>
        <v>{"index":"007","image":"/images/medical-procedures/protesis-de-rodilla.jpg","url":"","title":"Prótesis de rodilla","text":"Las prótesis son reproducciones de los huesos de la zona de la rodilla, de metal, resinas o materiales cerámicos, que se colocan en el lugar de la articulación.","button":"Consigue una cotización"},</v>
      </c>
      <c r="O10" s="1" t="str">
        <f t="shared" si="4"/>
        <v>{"index":"007","image":"/images/medical-procedures/protesis-de-rodilla.jpg","url":"","title":"Prothèse de genou","text":"Les prothèses sont des reproductions des os de la région du genou, du métal, des résines ou des matériaux céramiques, qui sont placées à la place de l'articulation.","button":"Obtenir un devis"},</v>
      </c>
    </row>
    <row r="11" spans="1:15" x14ac:dyDescent="0.3">
      <c r="A11" s="1" t="str">
        <f t="shared" si="1"/>
        <v>008</v>
      </c>
      <c r="B11" s="1" t="s">
        <v>292</v>
      </c>
      <c r="D11" s="1" t="s">
        <v>349</v>
      </c>
      <c r="E11" s="5" t="s">
        <v>515</v>
      </c>
      <c r="F11" s="1" t="s">
        <v>686</v>
      </c>
      <c r="G11" s="1" t="s">
        <v>349</v>
      </c>
      <c r="H11" t="s">
        <v>405</v>
      </c>
      <c r="I11" s="1" t="s">
        <v>687</v>
      </c>
      <c r="J11" s="1" t="s">
        <v>577</v>
      </c>
      <c r="K11" s="1" t="s">
        <v>546</v>
      </c>
      <c r="L11" s="1" t="s">
        <v>688</v>
      </c>
      <c r="M11" s="1" t="str">
        <f t="shared" si="2"/>
        <v>{"index":"008","image":"/images/medical-procedures/by-pass.jpg","url":"","title":"By pass","text":"Gastric bypass, also called, is a type of weight loss surgery that involves creating a small sac from the stomach and connecting the newly created sac directly with the small intestine.","button":"Get quote"},</v>
      </c>
      <c r="N11" s="1" t="str">
        <f t="shared" si="3"/>
        <v>{"index":"008","image":"/images/medical-procedures/by-pass.jpg","url":"","title":"By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v>
      </c>
      <c r="O11" s="1" t="str">
        <f t="shared" si="4"/>
        <v>{"index":"008","image":"/images/medical-procedures/by-pass.jpg","url":"","title":"Par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v>
      </c>
    </row>
    <row r="12" spans="1:15" x14ac:dyDescent="0.3">
      <c r="A12" s="1" t="str">
        <f t="shared" si="1"/>
        <v>009</v>
      </c>
      <c r="B12" s="1" t="s">
        <v>293</v>
      </c>
      <c r="D12" s="1" t="s">
        <v>460</v>
      </c>
      <c r="E12" s="5" t="s">
        <v>516</v>
      </c>
      <c r="F12" s="1" t="s">
        <v>686</v>
      </c>
      <c r="G12" s="1" t="s">
        <v>350</v>
      </c>
      <c r="H12" t="s">
        <v>406</v>
      </c>
      <c r="I12" s="1" t="s">
        <v>687</v>
      </c>
      <c r="J12" s="1" t="s">
        <v>578</v>
      </c>
      <c r="K12" s="1" t="s">
        <v>547</v>
      </c>
      <c r="L12" s="1" t="s">
        <v>688</v>
      </c>
      <c r="M12" s="1" t="str">
        <f t="shared" si="2"/>
        <v>{"index":"009","image":"/images/medical-procedures/craneotomia.jpg","url":"","title":"Craniotomy","text":"Craniotomy is a surgical operation in which part of the skull, called a bone flap, is removed in order to access the brain.","button":"Get quote"},</v>
      </c>
      <c r="N12" s="1" t="str">
        <f t="shared" si="3"/>
        <v>{"index":"009","image":"/images/medical-procedures/craneotomia.jpg","url":"","title":"Craneotomía","text":"Craneotomía es una operación quirúrgica en que parte del cráneo, llamado colgajo óseo, se extrae con el fin de acceder al cerebro.","button":"Consigue una cotización"},</v>
      </c>
      <c r="O12" s="1" t="str">
        <f t="shared" si="4"/>
        <v>{"index":"009","image":"/images/medical-procedures/craneotomia.jpg","url":"","title":"Craniotomie","text":"La craniotomie est une opération chirurgicale au cours de laquelle une partie du crâne, appelée lambeau osseux, est retirée afin d'accéder au cerveau.","button":"Obtenir un devis"},</v>
      </c>
    </row>
    <row r="13" spans="1:15" x14ac:dyDescent="0.3">
      <c r="A13" s="1" t="str">
        <f t="shared" si="1"/>
        <v>010</v>
      </c>
      <c r="B13" s="1" t="s">
        <v>294</v>
      </c>
      <c r="D13" s="1" t="s">
        <v>461</v>
      </c>
      <c r="E13" s="5" t="s">
        <v>680</v>
      </c>
      <c r="F13" s="1" t="s">
        <v>686</v>
      </c>
      <c r="G13" s="1" t="s">
        <v>351</v>
      </c>
      <c r="H13" t="s">
        <v>679</v>
      </c>
      <c r="I13" s="1" t="s">
        <v>687</v>
      </c>
      <c r="J13" s="1" t="s">
        <v>579</v>
      </c>
      <c r="K13" s="1" t="s">
        <v>678</v>
      </c>
      <c r="L13" s="1" t="s">
        <v>688</v>
      </c>
      <c r="M13" s="1" t="str">
        <f t="shared" si="2"/>
        <v>{"index":"010","image":"/images/medical-procedures/manga-gastrica.jpg","url":"","title":"Gastric sleeve","text":"In gastric sleeve surgery, a surgeon removes part of the stomach and builds a narrow tube or 'sleeve' with the rest.","button":"Get quote"},</v>
      </c>
      <c r="N13" s="1" t="str">
        <f t="shared" si="3"/>
        <v>{"index":"010","image":"/images/medical-procedures/manga-gastrica.jpg","url":"","title":"Manga gástrica","text":"En la cirugía de manga gástrica, un cirujano extrae parte del estómago y construye un tubo estrecho o 'manga' con el resto. ","button":"Consigue una cotización"},</v>
      </c>
      <c r="O13" s="1" t="str">
        <f t="shared" si="4"/>
        <v>{"index":"010","image":"/images/medical-procedures/manga-gastrica.jpg","url":"","title":"Manche gastrique","text":"En chirurgie gastrique, un chirurgien enlève une partie de l'estomac et construit un tube étroit ou 'manche' avec le reste.","button":"Obtenir un devis"},</v>
      </c>
    </row>
    <row r="14" spans="1:15" x14ac:dyDescent="0.3">
      <c r="A14" s="1" t="str">
        <f t="shared" si="1"/>
        <v>011</v>
      </c>
      <c r="B14" s="1" t="s">
        <v>295</v>
      </c>
      <c r="D14" s="1" t="s">
        <v>462</v>
      </c>
      <c r="E14" t="s">
        <v>517</v>
      </c>
      <c r="F14" s="1" t="s">
        <v>686</v>
      </c>
      <c r="G14" s="1" t="s">
        <v>352</v>
      </c>
      <c r="H14" t="s">
        <v>407</v>
      </c>
      <c r="I14" s="1" t="s">
        <v>687</v>
      </c>
      <c r="J14" s="1" t="s">
        <v>580</v>
      </c>
      <c r="K14" s="1" t="s">
        <v>548</v>
      </c>
      <c r="L14" s="1" t="s">
        <v>688</v>
      </c>
      <c r="M14" s="1" t="str">
        <f t="shared" si="2"/>
        <v>{"index":"011","image":"/images/medical-procedures/protesis-de-cadera.jpg","url":"","title":"Hip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v>
      </c>
      <c r="N14" s="1" t="str">
        <f t="shared" si="3"/>
        <v>{"index":"011","image":"/images/medical-procedures/protesis-de-cadera.jpg","url":"","title":"Prótesis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v>
      </c>
      <c r="O14" s="1" t="str">
        <f t="shared" si="4"/>
        <v>{"index":"011","image":"/images/medical-procedures/protesis-de-cadera.jpg","url":"","title":"Prothèse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v>
      </c>
    </row>
    <row r="15" spans="1:15" x14ac:dyDescent="0.3">
      <c r="A15" s="1" t="str">
        <f t="shared" si="1"/>
        <v>012</v>
      </c>
      <c r="B15" s="1" t="s">
        <v>296</v>
      </c>
      <c r="D15" s="1" t="s">
        <v>463</v>
      </c>
      <c r="E15" s="5" t="s">
        <v>518</v>
      </c>
      <c r="F15" s="1" t="s">
        <v>686</v>
      </c>
      <c r="G15" s="1" t="s">
        <v>353</v>
      </c>
      <c r="H15" t="s">
        <v>408</v>
      </c>
      <c r="I15" s="1" t="s">
        <v>687</v>
      </c>
      <c r="J15" s="1" t="s">
        <v>581</v>
      </c>
      <c r="K15" s="1" t="s">
        <v>549</v>
      </c>
      <c r="L15" s="1" t="s">
        <v>688</v>
      </c>
      <c r="M15" s="1" t="str">
        <f t="shared" si="2"/>
        <v>{"index":"012","image":"/images/medical-procedures/artrodesis-de-rodilla.jpg","url":"","title":"Knee arthrodesis","text":"Knee arthrodesis is a procedure that fuses the thigh bone with the leg bone in the knee.","button":"Get quote"},</v>
      </c>
      <c r="N15" s="1" t="str">
        <f t="shared" si="3"/>
        <v>{"index":"012","image":"/images/medical-procedures/artrodesis-de-rodilla.jpg","url":"","title":"Artrodesis de rodilla","text":"La artrodesis de rodilla es un procedimiento que fusiona el hueso del muslo con el hueso de la pierna en la rodilla. ","button":"Consigue una cotización"},</v>
      </c>
      <c r="O15" s="1" t="str">
        <f t="shared" si="4"/>
        <v>{"index":"012","image":"/images/medical-procedures/artrodesis-de-rodilla.jpg","url":"","title":"Arthrodèse du genou","text":"L'arthrodèse du genou est une procédure qui fusionne l'os de la cuisse avec l'os de la jambe dans le genou.","button":"Obtenir un devis"},</v>
      </c>
    </row>
    <row r="16" spans="1:15" x14ac:dyDescent="0.3">
      <c r="A16" s="1" t="str">
        <f t="shared" si="1"/>
        <v>013</v>
      </c>
      <c r="B16" s="1" t="s">
        <v>297</v>
      </c>
      <c r="D16" s="1" t="s">
        <v>464</v>
      </c>
      <c r="E16" t="s">
        <v>519</v>
      </c>
      <c r="F16" s="1" t="s">
        <v>686</v>
      </c>
      <c r="G16" s="1" t="s">
        <v>354</v>
      </c>
      <c r="H16" t="s">
        <v>409</v>
      </c>
      <c r="I16" s="1" t="s">
        <v>687</v>
      </c>
      <c r="J16" s="1" t="s">
        <v>582</v>
      </c>
      <c r="K16" s="1" t="s">
        <v>550</v>
      </c>
      <c r="L16" s="1" t="s">
        <v>688</v>
      </c>
      <c r="M16" s="1" t="str">
        <f t="shared" si="2"/>
        <v>{"index":"013","image":"/images/medical-procedures/mastectomia.jpg","url":"","title":"Mastectomy","text":"Mastectomy is a way to treat breast cancer by surgically removing the entire breast.","button":"Get quote"},</v>
      </c>
      <c r="N16" s="1" t="str">
        <f t="shared" si="3"/>
        <v>{"index":"013","image":"/images/medical-procedures/mastectomia.jpg","url":"","title":"Mastectomía","text":"La mastectomía es una manera de tratar el cáncer de seno mediante la extirpación quirúrgica de todo el seno. ","button":"Consigue una cotización"},</v>
      </c>
      <c r="O16" s="1" t="str">
        <f t="shared" si="4"/>
        <v>{"index":"013","image":"/images/medical-procedures/mastectomia.jpg","url":"","title":"Mastectomie","text":"La mastectomie est un moyen de traiter le cancer du sein en retirant chirurgicalement tout le sein.","button":"Obtenir un devis"},</v>
      </c>
    </row>
    <row r="17" spans="1:15" x14ac:dyDescent="0.3">
      <c r="A17" s="1" t="str">
        <f t="shared" si="1"/>
        <v>014</v>
      </c>
      <c r="B17" s="1" t="s">
        <v>298</v>
      </c>
      <c r="D17" s="1" t="s">
        <v>465</v>
      </c>
      <c r="E17" s="5" t="s">
        <v>520</v>
      </c>
      <c r="F17" s="1" t="s">
        <v>686</v>
      </c>
      <c r="G17" s="1" t="s">
        <v>355</v>
      </c>
      <c r="H17" t="s">
        <v>410</v>
      </c>
      <c r="I17" s="1" t="s">
        <v>687</v>
      </c>
      <c r="J17" s="1" t="s">
        <v>583</v>
      </c>
      <c r="K17" s="1" t="s">
        <v>551</v>
      </c>
      <c r="L17" s="1" t="s">
        <v>688</v>
      </c>
      <c r="M17" s="1" t="str">
        <f t="shared" si="2"/>
        <v>{"index":"014","image":"/images/medical-procedures/prostatectomia.jpg","url":"","title":"Prostatectomy","text":"Prostatectomy (removal of the prostate) is surgery to remove the entire prostate gland and some tissues around it.","button":"Get quote"},</v>
      </c>
      <c r="N17" s="1" t="str">
        <f t="shared" si="3"/>
        <v>{"index":"014","image":"/images/medical-procedures/prostatectomia.jpg","url":"","title":"Prostatectomía","text":"La prostatectomía (extracción de la próstata) es la cirugía para extirpar toda la glándula prostática y algunos tejidos alrededor de esta. ","button":"Consigue una cotización"},</v>
      </c>
      <c r="O17" s="1" t="str">
        <f t="shared" si="4"/>
        <v>{"index":"014","image":"/images/medical-procedures/prostatectomia.jpg","url":"","title":"Prostatectomie","text":"La prostatectomie (ablation de la prostate) est une intervention chirurgicale qui consiste à enlever toute la prostate et certains tissus qui l'entourent.","button":"Obtenir un devis"},</v>
      </c>
    </row>
    <row r="18" spans="1:15" x14ac:dyDescent="0.3">
      <c r="A18" s="1" t="str">
        <f t="shared" si="1"/>
        <v>015</v>
      </c>
      <c r="B18" s="1" t="s">
        <v>299</v>
      </c>
      <c r="D18" s="1" t="s">
        <v>466</v>
      </c>
      <c r="E18" s="5" t="s">
        <v>521</v>
      </c>
      <c r="F18" s="1" t="s">
        <v>686</v>
      </c>
      <c r="G18" s="1" t="s">
        <v>356</v>
      </c>
      <c r="H18" t="s">
        <v>411</v>
      </c>
      <c r="I18" s="1" t="s">
        <v>687</v>
      </c>
      <c r="J18" s="1" t="s">
        <v>584</v>
      </c>
      <c r="K18" s="1" t="s">
        <v>552</v>
      </c>
      <c r="L18" s="1" t="s">
        <v>688</v>
      </c>
      <c r="M18" s="1" t="str">
        <f t="shared" si="2"/>
        <v>{"index":"015","image":"/images/medical-procedures/ritidoplastia.jpg","url":"","title":"Rhytidoplasty","text":"Rhytidectomy is an aesthetic plastic surgery procedure that involves the surgical removal of skin wrinkles or rhytidosis.","button":"Get quote"},</v>
      </c>
      <c r="N18" s="1" t="str">
        <f t="shared" si="3"/>
        <v>{"index":"015","image":"/images/medical-procedures/ritidoplastia.jpg","url":"","title":"Ritidoplastia","text":"La ritidoplastia es un procedimiento de cirugía plástica estética que consiste en la eliminación quirúrgica de arrugas de la piel o ritidosis.","button":"Consigue una cotización"},</v>
      </c>
      <c r="O18" s="1" t="str">
        <f t="shared" si="4"/>
        <v>{"index":"015","image":"/images/medical-procedures/ritidoplastia.jpg","url":"","title":"Rhytidoplastie","text":"La rhytidectomie est une procédure de chirurgie plastique esthétique qui consiste à enlever chirurgicalement les rides de la peau ou la rhytidose.","button":"Obtenir un devis"},</v>
      </c>
    </row>
    <row r="19" spans="1:15" x14ac:dyDescent="0.3">
      <c r="A19" s="1" t="str">
        <f t="shared" si="1"/>
        <v>016</v>
      </c>
      <c r="B19" s="1" t="s">
        <v>300</v>
      </c>
      <c r="D19" s="1" t="s">
        <v>467</v>
      </c>
      <c r="E19" s="5" t="s">
        <v>522</v>
      </c>
      <c r="F19" s="1" t="s">
        <v>686</v>
      </c>
      <c r="G19" s="1" t="s">
        <v>357</v>
      </c>
      <c r="H19" t="s">
        <v>412</v>
      </c>
      <c r="I19" s="1" t="s">
        <v>687</v>
      </c>
      <c r="J19" s="1" t="s">
        <v>585</v>
      </c>
      <c r="K19" s="1" t="s">
        <v>553</v>
      </c>
      <c r="L19" s="1" t="s">
        <v>688</v>
      </c>
      <c r="M19" s="1" t="str">
        <f t="shared" si="2"/>
        <v>{"index":"016","image":"/images/medical-procedures/rtu-de-prostata.jpg","url":"","title":"Prostate Rtu","text":"Transurethral resection is a urological surgical procedure that consists in the removal of diseased tissues of the urethra, prostate and bladder by accessing them through the urethral lumen.","button":"Get quote"},</v>
      </c>
      <c r="N19" s="1" t="str">
        <f t="shared" si="3"/>
        <v>{"index":"016","image":"/images/medical-procedures/rtu-de-prostata.jpg","url":"","title":"Rtu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v>
      </c>
      <c r="O19" s="1" t="str">
        <f t="shared" si="4"/>
        <v>{"index":"016","image":"/images/medical-procedures/rtu-de-prostata.jpg","url":"","title":"Prostate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v>
      </c>
    </row>
    <row r="20" spans="1:15" x14ac:dyDescent="0.3">
      <c r="A20" s="1" t="str">
        <f t="shared" si="1"/>
        <v>017</v>
      </c>
      <c r="B20" s="1" t="s">
        <v>301</v>
      </c>
      <c r="D20" s="1" t="s">
        <v>468</v>
      </c>
      <c r="E20" s="5" t="s">
        <v>523</v>
      </c>
      <c r="F20" s="1" t="s">
        <v>686</v>
      </c>
      <c r="G20" s="1" t="s">
        <v>358</v>
      </c>
      <c r="H20" t="s">
        <v>413</v>
      </c>
      <c r="I20" s="1" t="s">
        <v>687</v>
      </c>
      <c r="J20" s="1" t="s">
        <v>586</v>
      </c>
      <c r="K20" s="1" t="s">
        <v>554</v>
      </c>
      <c r="L20" s="1" t="s">
        <v>688</v>
      </c>
      <c r="M20" s="1" t="str">
        <f t="shared" si="2"/>
        <v>{"index":"017","image":"/images/medical-procedures/plastia-de-pared.jpg","url":"","title":"Wall plasty","text":"Abdominal wall surgery is a procedure that improves the appearance of flaccid and stretched abdominal muscles and skin.","button":"Get quote"},</v>
      </c>
      <c r="N20" s="1" t="str">
        <f t="shared" si="3"/>
        <v>{"index":"017","image":"/images/medical-procedures/plastia-de-pared.jpg","url":"","title":"Plastia de pared","text":"La cirugía de la pared abdominal es un procedimiento que mejora la apariencia de los músculos y piel abdominales flácidos y estirados.","button":"Consigue una cotización"},</v>
      </c>
      <c r="O20" s="1" t="str">
        <f t="shared" si="4"/>
        <v>{"index":"017","image":"/images/medical-procedures/plastia-de-pared.jpg","url":"","title":"Plastie murale","text":"La chirurgie de la paroi abdominale est une procédure qui améliore l'apparence des muscles et de la peau abdominaux flasques et étirés.","button":"Obtenir un devis"},</v>
      </c>
    </row>
    <row r="21" spans="1:15" x14ac:dyDescent="0.3">
      <c r="A21" s="1" t="str">
        <f t="shared" si="1"/>
        <v>018</v>
      </c>
      <c r="B21" s="1" t="s">
        <v>302</v>
      </c>
      <c r="D21" s="1" t="s">
        <v>469</v>
      </c>
      <c r="E21" s="5" t="s">
        <v>524</v>
      </c>
      <c r="F21" s="1" t="s">
        <v>686</v>
      </c>
      <c r="G21" s="1" t="s">
        <v>359</v>
      </c>
      <c r="H21" t="s">
        <v>414</v>
      </c>
      <c r="I21" s="1" t="s">
        <v>687</v>
      </c>
      <c r="J21" s="1" t="s">
        <v>587</v>
      </c>
      <c r="K21" s="1" t="s">
        <v>555</v>
      </c>
      <c r="L21" s="1" t="s">
        <v>688</v>
      </c>
      <c r="M21" s="1" t="str">
        <f t="shared" si="2"/>
        <v>{"index":"018","image":"/images/medical-procedures/histerectomia-radical.jpg","url":"","title":"Radical hysterectomy","text":"Surgery to remove the uterus, cervix and part of the vagina. The ovaries, fallopian tubes and nearby lymph nodes can also be removed.","button":"Get quote"},</v>
      </c>
      <c r="N21" s="1" t="str">
        <f t="shared" si="3"/>
        <v>{"index":"018","image":"/images/medical-procedures/histerectomia-radical.jpg","url":"","title":"Histerectomía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v>
      </c>
      <c r="O21" s="1" t="str">
        <f t="shared" si="4"/>
        <v>{"index":"018","image":"/images/medical-procedures/histerectomia-radical.jpg","url":"","title":"Hystérectomie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v>
      </c>
    </row>
    <row r="22" spans="1:15" x14ac:dyDescent="0.3">
      <c r="A22" s="1" t="str">
        <f t="shared" si="1"/>
        <v>019</v>
      </c>
      <c r="B22" s="1" t="s">
        <v>303</v>
      </c>
      <c r="D22" s="1" t="s">
        <v>470</v>
      </c>
      <c r="E22" s="1" t="s">
        <v>525</v>
      </c>
      <c r="F22" s="1" t="s">
        <v>686</v>
      </c>
      <c r="G22" s="1" t="s">
        <v>360</v>
      </c>
      <c r="H22" t="s">
        <v>682</v>
      </c>
      <c r="I22" s="1" t="s">
        <v>687</v>
      </c>
      <c r="J22" s="1" t="s">
        <v>588</v>
      </c>
      <c r="K22" s="1" t="s">
        <v>556</v>
      </c>
      <c r="L22" s="1" t="s">
        <v>688</v>
      </c>
      <c r="M22" s="1" t="str">
        <f t="shared" si="2"/>
        <v>{"index":"019","image":"/images/medical-procedures/tiroidectomia.jpg","url":"","title":"Thyroidectomy","text":"Thyroidectomy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v>
      </c>
      <c r="N22" s="1" t="str">
        <f t="shared" si="3"/>
        <v>{"index":"019","image":"/images/medical-procedures/tiroidectomia.jpg","url":"","title":"Tiroidectomía","text":"La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v>
      </c>
      <c r="O22" s="1" t="str">
        <f t="shared" si="4"/>
        <v>{"index":"019","image":"/images/medical-procedures/tiroidectomia.jpg","url":"","title":"Thyroïdectomie","text":"La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v>
      </c>
    </row>
    <row r="23" spans="1:15" x14ac:dyDescent="0.3">
      <c r="A23" s="1" t="str">
        <f t="shared" si="1"/>
        <v>020</v>
      </c>
      <c r="B23" s="1" t="s">
        <v>304</v>
      </c>
      <c r="D23" s="1" t="s">
        <v>471</v>
      </c>
      <c r="E23" s="1" t="s">
        <v>526</v>
      </c>
      <c r="F23" s="1" t="s">
        <v>686</v>
      </c>
      <c r="G23" s="1" t="s">
        <v>361</v>
      </c>
      <c r="H23" t="s">
        <v>683</v>
      </c>
      <c r="I23" s="1" t="s">
        <v>687</v>
      </c>
      <c r="J23" s="1" t="s">
        <v>589</v>
      </c>
      <c r="K23" s="1" t="s">
        <v>557</v>
      </c>
      <c r="L23" s="1" t="s">
        <v>688</v>
      </c>
      <c r="M23" s="1" t="str">
        <f t="shared" si="2"/>
        <v>{"index":"020","image":"/images/medical-procedures/abdominoplastia.jpg","url":"","title":"Abdominoplasty","text":"Abdominoplasty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v>
      </c>
      <c r="N23" s="1" t="str">
        <f t="shared" si="3"/>
        <v>{"index":"020","image":"/images/medical-procedures/abdominoplastia.jpg","url":"","title":"Abdominoplastia","text":"Abdominoplastia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v>
      </c>
      <c r="O23" s="1" t="str">
        <f t="shared" si="4"/>
        <v>{"index":"020","image":"/images/medical-procedures/abdominoplastia.jpg","url":"","title":"Abdominoplastie","text":"L'abdominoplastie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v>
      </c>
    </row>
    <row r="24" spans="1:15" x14ac:dyDescent="0.3">
      <c r="A24" s="1" t="str">
        <f t="shared" si="1"/>
        <v>021</v>
      </c>
      <c r="B24" s="1" t="s">
        <v>305</v>
      </c>
      <c r="D24" s="1" t="s">
        <v>472</v>
      </c>
      <c r="E24" s="1" t="s">
        <v>527</v>
      </c>
      <c r="F24" s="1" t="s">
        <v>686</v>
      </c>
      <c r="G24" s="1" t="s">
        <v>362</v>
      </c>
      <c r="H24" t="s">
        <v>415</v>
      </c>
      <c r="I24" s="1" t="s">
        <v>687</v>
      </c>
      <c r="J24" s="1" t="s">
        <v>590</v>
      </c>
      <c r="K24" s="1" t="s">
        <v>558</v>
      </c>
      <c r="L24" s="1" t="s">
        <v>688</v>
      </c>
      <c r="M24" s="1" t="str">
        <f t="shared" si="2"/>
        <v>{"index":"021","image":"/images/medical-procedures/artroscopia-de-hombro.jpg","url":"","title":"Shoulder arthroscopy","text":"It is a surgery in which a small camera called an arthroscope is used to examine or repair the tissues in or around the shoulder joint.","button":"Get quote"},</v>
      </c>
      <c r="N24" s="1" t="str">
        <f t="shared" si="3"/>
        <v>{"index":"021","image":"/images/medical-procedures/artroscopia-de-hombro.jpg","url":"","title":"Artroscopia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v>
      </c>
      <c r="O24" s="1" t="str">
        <f t="shared" si="4"/>
        <v>{"index":"021","image":"/images/medical-procedures/artroscopia-de-hombro.jpg","url":"","title":"Arthroscopie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v>
      </c>
    </row>
    <row r="25" spans="1:15" x14ac:dyDescent="0.3">
      <c r="A25" s="1" t="str">
        <f t="shared" si="1"/>
        <v>022</v>
      </c>
      <c r="B25" s="1" t="s">
        <v>306</v>
      </c>
      <c r="D25" s="1" t="s">
        <v>473</v>
      </c>
      <c r="E25" s="1" t="s">
        <v>528</v>
      </c>
      <c r="F25" s="1" t="s">
        <v>686</v>
      </c>
      <c r="G25" s="1" t="s">
        <v>363</v>
      </c>
      <c r="H25" t="s">
        <v>416</v>
      </c>
      <c r="I25" s="1" t="s">
        <v>687</v>
      </c>
      <c r="J25" s="1" t="s">
        <v>591</v>
      </c>
      <c r="K25" s="1" t="s">
        <v>559</v>
      </c>
      <c r="L25" s="1" t="s">
        <v>688</v>
      </c>
      <c r="M25" s="1" t="str">
        <f t="shared" si="2"/>
        <v>{"index":"022","image":"/images/medical-procedures/artroscopia-de-rodilla.jpg","url":"","title":"Knee arthroscopy","text":"It is surgery in which a tiny camera is used to observe inside the knee.","button":"Get quote"},</v>
      </c>
      <c r="N25" s="1" t="str">
        <f t="shared" si="3"/>
        <v>{"index":"022","image":"/images/medical-procedures/artroscopia-de-rodilla.jpg","url":"","title":"Artroscopia de rodilla","text":"Es la cirugía en la cual se utiliza una cámara diminuta para observar dentro de la rodilla.","button":"Consigue una cotización"},</v>
      </c>
      <c r="O25" s="1" t="str">
        <f t="shared" si="4"/>
        <v>{"index":"022","image":"/images/medical-procedures/artroscopia-de-rodilla.jpg","url":"","title":"Arthroscopie du genou","text":"C'est une intervention chirurgicale dans laquelle une minuscule caméra est utilisée pour observer l'intérieur du genou.","button":"Obtenir un devis"},</v>
      </c>
    </row>
    <row r="26" spans="1:15" x14ac:dyDescent="0.3">
      <c r="A26" s="1" t="str">
        <f t="shared" si="1"/>
        <v>023</v>
      </c>
      <c r="B26" s="1" t="s">
        <v>307</v>
      </c>
      <c r="D26" s="1" t="s">
        <v>474</v>
      </c>
      <c r="E26" s="1" t="s">
        <v>529</v>
      </c>
      <c r="F26" s="1" t="s">
        <v>686</v>
      </c>
      <c r="G26" s="1" t="s">
        <v>364</v>
      </c>
      <c r="H26" t="s">
        <v>417</v>
      </c>
      <c r="I26" s="1" t="s">
        <v>687</v>
      </c>
      <c r="J26" s="1" t="s">
        <v>592</v>
      </c>
      <c r="K26" s="1" t="s">
        <v>560</v>
      </c>
      <c r="L26" s="1" t="s">
        <v>688</v>
      </c>
      <c r="M26" s="1" t="str">
        <f t="shared" si="2"/>
        <v>{"index":"023","image":"/images/medical-procedures/histerectomia-abdominal.jpg","url":"","title":"Abdominal hysterectomy","text":"An abdominal hysterectomy is a surgical procedure where the uterus is removed through an incision in the lower abdomen.","button":"Get quote"},</v>
      </c>
      <c r="N26" s="1" t="str">
        <f t="shared" si="3"/>
        <v>{"index":"023","image":"/images/medical-procedures/histerectomia-abdominal.jpg","url":"","title":"Histerectomía abdominal","text":"Una histerectomía abdominal es un procedimiento quirúrgico donde se extirpa el útero a través de una incisión en la parte inferior del abdomen. ","button":"Consigue una cotización"},</v>
      </c>
      <c r="O26" s="1" t="str">
        <f t="shared" si="4"/>
        <v>{"index":"023","image":"/images/medical-procedures/histerectomia-abdominal.jpg","url":"","title":"Hystérectomie abdominale","text":"Une hystérectomie abdominale est une intervention chirurgicale au cours de laquelle l'utérus est prélevé par une incision dans le bas de l'abdomen.","button":"Obtenir un devis"},</v>
      </c>
    </row>
    <row r="27" spans="1:15" x14ac:dyDescent="0.3">
      <c r="A27" s="1" t="str">
        <f t="shared" si="1"/>
        <v>024</v>
      </c>
      <c r="B27" s="1" t="s">
        <v>308</v>
      </c>
      <c r="D27" s="1" t="s">
        <v>475</v>
      </c>
      <c r="E27" s="1" t="s">
        <v>530</v>
      </c>
      <c r="F27" s="1" t="s">
        <v>686</v>
      </c>
      <c r="G27" s="1" t="s">
        <v>365</v>
      </c>
      <c r="H27" t="s">
        <v>418</v>
      </c>
      <c r="I27" s="1" t="s">
        <v>687</v>
      </c>
      <c r="J27" s="1" t="s">
        <v>593</v>
      </c>
      <c r="K27" s="1" t="s">
        <v>561</v>
      </c>
      <c r="L27" s="1" t="s">
        <v>688</v>
      </c>
      <c r="M27" s="1" t="str">
        <f t="shared" si="2"/>
        <v>{"index":"024","image":"/images/medical-procedures/histerectomia-vaginal.jpg","url":"","title":"Vaginal hysterectomy","text":"Vaginal hysterectomy is a surgical procedure to remove the uterus through the vagina.","button":"Get quote"},</v>
      </c>
      <c r="N27" s="1" t="str">
        <f t="shared" si="3"/>
        <v>{"index":"024","image":"/images/medical-procedures/histerectomia-vaginal.jpg","url":"","title":"Histerectomía vaginal","text":"La histerectomía vaginal es un procedimiento quirúrgico para extirpar el útero a través de la vagina. ","button":"Consigue una cotización"},</v>
      </c>
      <c r="O27" s="1" t="str">
        <f t="shared" si="4"/>
        <v>{"index":"024","image":"/images/medical-procedures/histerectomia-vaginal.jpg","url":"","title":"Hystérectomie vaginale","text":"L'hystérectomie vaginale est une intervention chirurgicale visant à enlever l'utérus par le vagin.","button":"Obtenir un devis"},</v>
      </c>
    </row>
    <row r="28" spans="1:15" x14ac:dyDescent="0.3">
      <c r="A28" s="1" t="str">
        <f t="shared" si="1"/>
        <v>025</v>
      </c>
      <c r="B28" s="1" t="s">
        <v>309</v>
      </c>
      <c r="D28" s="1" t="s">
        <v>476</v>
      </c>
      <c r="E28" s="1" t="s">
        <v>531</v>
      </c>
      <c r="F28" s="1" t="s">
        <v>686</v>
      </c>
      <c r="G28" s="1" t="s">
        <v>366</v>
      </c>
      <c r="H28" t="s">
        <v>419</v>
      </c>
      <c r="I28" s="1" t="s">
        <v>687</v>
      </c>
      <c r="J28" s="1" t="s">
        <v>594</v>
      </c>
      <c r="K28" s="1" t="s">
        <v>562</v>
      </c>
      <c r="L28" s="1" t="s">
        <v>688</v>
      </c>
      <c r="M28" s="1" t="str">
        <f t="shared" si="2"/>
        <v>{"index":"025","image":"/images/medical-procedures/laparotomia.jpg","url":"","title":"Laparotomy","text":"It is surgery to examine the organs and structures of the belly area. These include your appendix, bladder, gallbladder, intestines, kidney, liver, pancreas, among others.","button":"Get quote"},</v>
      </c>
      <c r="N28" s="1" t="str">
        <f t="shared" si="3"/>
        <v>{"index":"025","image":"/images/medical-procedures/laparotomia.jpg","url":"","title":"Laparotomía","text":"Es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v>
      </c>
      <c r="O28" s="1" t="str">
        <f t="shared" si="4"/>
        <v>{"index":"025","image":"/images/medical-procedures/laparotomia.jpg","url":"","title":"La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v>
      </c>
    </row>
    <row r="29" spans="1:15" x14ac:dyDescent="0.3">
      <c r="A29" s="1" t="str">
        <f t="shared" si="1"/>
        <v>026</v>
      </c>
      <c r="B29" s="1" t="s">
        <v>310</v>
      </c>
      <c r="D29" s="1" t="s">
        <v>477</v>
      </c>
      <c r="E29" s="1" t="s">
        <v>532</v>
      </c>
      <c r="F29" s="1" t="s">
        <v>686</v>
      </c>
      <c r="G29" s="1" t="s">
        <v>367</v>
      </c>
      <c r="H29" t="s">
        <v>420</v>
      </c>
      <c r="I29" s="1" t="s">
        <v>687</v>
      </c>
      <c r="J29" s="1" t="s">
        <v>595</v>
      </c>
      <c r="K29" s="1" t="s">
        <v>563</v>
      </c>
      <c r="L29" s="1" t="s">
        <v>688</v>
      </c>
      <c r="M29" s="1" t="str">
        <f t="shared" si="2"/>
        <v>{"index":"026","image":"/images/medical-procedures/mastopexia.jpg","url":"","title":"Mastopexy","text":"Mastopexy is a surgical intervention that consists in the elevation and remodeling of the breasts.","button":"Get quote"},</v>
      </c>
      <c r="N29" s="1" t="str">
        <f t="shared" si="3"/>
        <v>{"index":"026","image":"/images/medical-procedures/mastopexia.jpg","url":"","title":"Mastopexia","text":"La mastopexia es una intervención quirúrgica que consiste en la elevación y remodelación de las mamas. ","button":"Consigue una cotización"},</v>
      </c>
      <c r="O29" s="1" t="str">
        <f t="shared" si="4"/>
        <v>{"index":"026","image":"/images/medical-procedures/mastopexia.jpg","url":"","title":"Mastopexie","text":"La mastopexie est une intervention chirurgicale qui consiste en une élévation et un remodelage des seins.","button":"Obtenir un devis"},</v>
      </c>
    </row>
    <row r="30" spans="1:15" x14ac:dyDescent="0.3">
      <c r="A30" s="1" t="str">
        <f t="shared" si="1"/>
        <v>027</v>
      </c>
      <c r="B30" s="1" t="s">
        <v>311</v>
      </c>
      <c r="D30" s="1" t="s">
        <v>478</v>
      </c>
      <c r="E30" s="1" t="s">
        <v>533</v>
      </c>
      <c r="F30" s="1" t="s">
        <v>686</v>
      </c>
      <c r="G30" s="1" t="s">
        <v>368</v>
      </c>
      <c r="H30" t="s">
        <v>421</v>
      </c>
      <c r="I30" s="1" t="s">
        <v>687</v>
      </c>
      <c r="J30" s="1" t="s">
        <v>596</v>
      </c>
      <c r="K30" s="1" t="s">
        <v>564</v>
      </c>
      <c r="L30" s="1" t="s">
        <v>688</v>
      </c>
      <c r="M30" s="1" t="str">
        <f t="shared" si="2"/>
        <v>{"index":"027","image":"/images/medical-procedures/pexia-mamaria.jpg","url":"","title":"Breast pexy","text":"The mammary pexia is a surgical procedure designed to correct the position and improve the general appearance of the breasts.","button":"Get quote"},</v>
      </c>
      <c r="N30" s="1" t="str">
        <f t="shared" si="3"/>
        <v>{"index":"027","image":"/images/medical-procedures/pexia-mamaria.jpg","url":"","title":"Pexia mamaria","text":"La pexia mamaria es un procedimiento quirúrgico destinado a corregir la posición y mejorar el aspecto general de las mamas.","button":"Consigue una cotización"},</v>
      </c>
      <c r="O30" s="1" t="str">
        <f t="shared" si="4"/>
        <v>{"index":"027","image":"/images/medical-procedures/pexia-mamaria.jpg","url":"","title":"Pexy poitrine","text":"Le pexia mammaire est une intervention chirurgicale conçue pour corriger la position et améliorer l’aspect général des seins.","button":"Obtenir un devis"},</v>
      </c>
    </row>
    <row r="31" spans="1:15" x14ac:dyDescent="0.3">
      <c r="A31" s="1" t="str">
        <f t="shared" si="1"/>
        <v>028</v>
      </c>
      <c r="B31" s="1" t="s">
        <v>312</v>
      </c>
      <c r="D31" s="1" t="s">
        <v>479</v>
      </c>
      <c r="E31" s="1" t="s">
        <v>534</v>
      </c>
      <c r="F31" s="1" t="s">
        <v>686</v>
      </c>
      <c r="G31" s="1" t="s">
        <v>369</v>
      </c>
      <c r="H31" t="s">
        <v>422</v>
      </c>
      <c r="I31" s="1" t="s">
        <v>687</v>
      </c>
      <c r="J31" s="1" t="s">
        <v>597</v>
      </c>
      <c r="K31" s="1" t="s">
        <v>565</v>
      </c>
      <c r="L31" s="1" t="s">
        <v>688</v>
      </c>
      <c r="M31" s="1" t="str">
        <f t="shared" si="2"/>
        <v>{"index":"028","image":"/images/medical-procedures/reseccion-de-quiste-de-ovario.jpg","url":"","title":"Resection of ovarian cyst","text":"The surgery is used to confirm the diagnosis of ovarian cyst, remove a cyst that is causing symptoms and rule out ovarian cancer.","button":"Get quote"},</v>
      </c>
      <c r="N31" s="1" t="str">
        <f t="shared" si="3"/>
        <v>{"index":"028","image":"/images/medical-procedures/reseccion-de-quiste-de-ovario.jpg","url":"","title":"Resección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v>
      </c>
      <c r="O31" s="1" t="str">
        <f t="shared" si="4"/>
        <v>{"index":"028","image":"/images/medical-procedures/reseccion-de-quiste-de-ovario.jpg","url":"","title":"Résection du kyste ovarien","text":"La chirurgie sert à confirmer le diagnostic de kyste ovarien, à éliminer un kyste à l'origine des symptômes et à exclure le cancer de l'ovaire.","button":"Obtenir un devis"},</v>
      </c>
    </row>
    <row r="32" spans="1:15" x14ac:dyDescent="0.3">
      <c r="A32" s="1" t="str">
        <f t="shared" si="1"/>
        <v>029</v>
      </c>
      <c r="B32" s="1" t="s">
        <v>313</v>
      </c>
      <c r="D32" s="1" t="s">
        <v>480</v>
      </c>
      <c r="E32" s="1" t="s">
        <v>535</v>
      </c>
      <c r="F32" s="1" t="s">
        <v>686</v>
      </c>
      <c r="G32" s="1" t="s">
        <v>370</v>
      </c>
      <c r="H32" t="s">
        <v>423</v>
      </c>
      <c r="I32" s="1" t="s">
        <v>687</v>
      </c>
      <c r="J32" s="1" t="s">
        <v>598</v>
      </c>
      <c r="K32" s="1" t="s">
        <v>566</v>
      </c>
      <c r="L32" s="1" t="s">
        <v>688</v>
      </c>
      <c r="M32" s="1" t="str">
        <f t="shared" si="2"/>
        <v>{"index":"029","image":"/images/medical-procedures/cuadrantectomia-de-mama.jpg","url":"","title":"Breast quadrantectomy","text":"Surgical operation to remove the cancer and some of the tissue that surrounds it, but not the breast. Some lymph nodes under the arm may be removed to make a biopsy.","button":"Get quote"},</v>
      </c>
      <c r="N32" s="1" t="str">
        <f t="shared" si="3"/>
        <v>{"index":"029","image":"/images/medical-procedures/cuadrantectomia-de-mama.jpg","url":"","title":"Cuadrantectomía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v>
      </c>
      <c r="O32" s="1" t="str">
        <f t="shared" si="4"/>
        <v>{"index":"029","image":"/images/medical-procedures/cuadrantectomia-de-mama.jpg","url":"","title":"Quadrantectomie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v>
      </c>
    </row>
    <row r="33" spans="1:15" x14ac:dyDescent="0.3">
      <c r="A33" s="1" t="str">
        <f t="shared" si="1"/>
        <v>030</v>
      </c>
      <c r="B33" s="1" t="s">
        <v>314</v>
      </c>
      <c r="D33" s="1" t="s">
        <v>481</v>
      </c>
      <c r="E33" s="1" t="s">
        <v>536</v>
      </c>
      <c r="F33" s="1" t="s">
        <v>686</v>
      </c>
      <c r="G33" s="1" t="s">
        <v>371</v>
      </c>
      <c r="H33" t="s">
        <v>424</v>
      </c>
      <c r="I33" s="1" t="s">
        <v>687</v>
      </c>
      <c r="J33" s="1" t="s">
        <v>599</v>
      </c>
      <c r="K33" s="1" t="s">
        <v>567</v>
      </c>
      <c r="L33" s="1" t="s">
        <v>688</v>
      </c>
      <c r="M33" s="1" t="str">
        <f t="shared" si="2"/>
        <v>{"index":"030","image":"/images/medical-procedures/ooforectomia.jpg","url":"","title":"Oophorectomy","text":"An oophorectomy is a surgical procedure to remove an ovary or both.","button":"Get quote"},</v>
      </c>
      <c r="N33" s="1" t="str">
        <f t="shared" si="3"/>
        <v>{"index":"030","image":"/images/medical-procedures/ooforectomia.jpg","url":"","title":"Ooforectomía","text":"Una ooforectomía es un procedimiento quirúrgico para extirpar un ovario o ambos.","button":"Consigue una cotización"},</v>
      </c>
      <c r="O33" s="1" t="str">
        <f t="shared" si="4"/>
        <v>{"index":"030","image":"/images/medical-procedures/ooforectomia.jpg","url":"","title":"Ovariectomie","text":"Une ovariectomie est une intervention chirurgicale visant à enlever un ovaire ou les deux.","button":"Obtenir un devis"},</v>
      </c>
    </row>
    <row r="34" spans="1:15" x14ac:dyDescent="0.3">
      <c r="A34" s="1" t="str">
        <f t="shared" si="1"/>
        <v>031</v>
      </c>
      <c r="B34" s="1" t="s">
        <v>315</v>
      </c>
      <c r="D34" s="1" t="s">
        <v>482</v>
      </c>
      <c r="E34" s="1" t="s">
        <v>537</v>
      </c>
      <c r="F34" s="1" t="s">
        <v>686</v>
      </c>
      <c r="G34" s="1" t="s">
        <v>372</v>
      </c>
      <c r="H34" t="s">
        <v>425</v>
      </c>
      <c r="I34" s="1" t="s">
        <v>687</v>
      </c>
      <c r="J34" s="1" t="s">
        <v>600</v>
      </c>
      <c r="K34" s="1" t="s">
        <v>568</v>
      </c>
      <c r="L34" s="1" t="s">
        <v>688</v>
      </c>
      <c r="M34" s="1" t="str">
        <f t="shared" si="2"/>
        <v>{"index":"031","image":"/images/medical-procedures/plastia-de-ligamento-cruzado.jpg","url":"","title":"Cross ligament plasty","text":"It is a surgery to reconstruct the ligament that is in the center of the knee.","button":"Get quote"},</v>
      </c>
      <c r="N34" s="1" t="str">
        <f t="shared" si="3"/>
        <v>{"index":"031","image":"/images/medical-procedures/plastia-de-ligamento-cruzado.jpg","url":"","title":"Plastia de ligamento cruzado","text":"Es una cirugía para reconstruir el ligamento que se encuentra en el centro de la rodilla.","button":"Consigue una cotización"},</v>
      </c>
      <c r="O34" s="1" t="str">
        <f t="shared" si="4"/>
        <v>{"index":"031","image":"/images/medical-procedures/plastia-de-ligamento-cruzado.jpg","url":"","title":"Plastie ligament croisé","text":"C'est une chirurgie pour reconstruire le ligament qui se trouve au centre du genou.","button":"Obtenir un devis"},</v>
      </c>
    </row>
    <row r="35" spans="1:15" x14ac:dyDescent="0.3">
      <c r="A35" s="1" t="str">
        <f t="shared" si="1"/>
        <v>032</v>
      </c>
      <c r="B35" s="1" t="s">
        <v>316</v>
      </c>
      <c r="D35" s="1" t="s">
        <v>483</v>
      </c>
      <c r="E35" s="1" t="s">
        <v>538</v>
      </c>
      <c r="F35" s="1" t="s">
        <v>686</v>
      </c>
      <c r="G35" s="1" t="s">
        <v>373</v>
      </c>
      <c r="H35" t="s">
        <v>426</v>
      </c>
      <c r="I35" s="1" t="s">
        <v>687</v>
      </c>
      <c r="J35" s="1" t="s">
        <v>601</v>
      </c>
      <c r="K35" s="1" t="s">
        <v>569</v>
      </c>
      <c r="L35" s="1" t="s">
        <v>688</v>
      </c>
      <c r="M35" s="1" t="str">
        <f t="shared" si="2"/>
        <v>{"index":"032","image":"/images/medical-procedures/liposuccion.jpg","url":"","title":"Liposuction","text":"Liposuction is a surgical technique that is used in cosmetic surgery and that allows a remodeling of the silhouette through the extraction of fat or adipose tissue.","button":"Get quote"},</v>
      </c>
      <c r="N35" s="1" t="str">
        <f t="shared" si="3"/>
        <v>{"index":"032","image":"/images/medical-procedures/liposuccion.jpg","url":"","title":"Liposucción","text":"La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v>
      </c>
      <c r="O35" s="1" t="str">
        <f t="shared" si="4"/>
        <v>{"index":"032","image":"/images/medical-procedures/liposuccion.jpg","url":"","title":"Liposuccion","text":"La liposuccion est une technique chirurgicale utilisée en chirurgie esthétique et qui permet de remodeler la silhouette par extraction de tissu adipeux ou adipeux.","button":"Obtenir un devis"},</v>
      </c>
    </row>
    <row r="36" spans="1:15" x14ac:dyDescent="0.3">
      <c r="A36" s="1" t="str">
        <f t="shared" si="1"/>
        <v>033</v>
      </c>
      <c r="B36" s="1" t="s">
        <v>317</v>
      </c>
      <c r="D36" s="1" t="s">
        <v>484</v>
      </c>
      <c r="E36" s="1" t="s">
        <v>625</v>
      </c>
      <c r="F36" s="1" t="s">
        <v>686</v>
      </c>
      <c r="G36" s="1" t="s">
        <v>374</v>
      </c>
      <c r="H36" t="s">
        <v>427</v>
      </c>
      <c r="I36" s="1" t="s">
        <v>687</v>
      </c>
      <c r="J36" s="1" t="s">
        <v>602</v>
      </c>
      <c r="K36" s="1" t="s">
        <v>650</v>
      </c>
      <c r="L36" s="1" t="s">
        <v>688</v>
      </c>
      <c r="M36" s="1" t="str">
        <f t="shared" si="2"/>
        <v>{"index":"033","image":"/images/medical-procedures/meniscectomia.jpg","url":"","title":"Meniscectomy","text":"Minimally invasive surgery allows the meniscus lesion to be removed and stabilized","button":"Get quote"},</v>
      </c>
      <c r="N36" s="1" t="str">
        <f t="shared" si="3"/>
        <v>{"index":"033","image":"/images/medical-procedures/meniscectomia.jpg","url":"","title":"Meniscectomia","text":"Cirugía mínimamente invasiva permite remover y estabilizar la lesión del menisco","button":"Consigue una cotización"},</v>
      </c>
      <c r="O36" s="1" t="str">
        <f t="shared" si="4"/>
        <v>{"index":"033","image":"/images/medical-procedures/meniscectomia.jpg","url":"","title":"Méniscectomie","text":"La chirurgie mini-invasive permet d'éliminer et de stabiliser la lésion méniscale","button":"Obtenir un devis"},</v>
      </c>
    </row>
    <row r="37" spans="1:15" x14ac:dyDescent="0.3">
      <c r="A37" s="1" t="str">
        <f t="shared" si="1"/>
        <v>034</v>
      </c>
      <c r="B37" s="1" t="s">
        <v>318</v>
      </c>
      <c r="D37" s="1" t="s">
        <v>485</v>
      </c>
      <c r="E37" s="1" t="s">
        <v>626</v>
      </c>
      <c r="F37" s="1" t="s">
        <v>686</v>
      </c>
      <c r="G37" s="1" t="s">
        <v>375</v>
      </c>
      <c r="H37" t="s">
        <v>428</v>
      </c>
      <c r="I37" s="1" t="s">
        <v>687</v>
      </c>
      <c r="J37" s="1" t="s">
        <v>603</v>
      </c>
      <c r="K37" s="1" t="s">
        <v>651</v>
      </c>
      <c r="L37" s="1" t="s">
        <v>688</v>
      </c>
      <c r="M37" s="1" t="str">
        <f t="shared" si="2"/>
        <v>{"index":"034","image":"/images/medical-procedures/mentoplastia.jpg","url":"","title":"Mentoplasty","text":"Mentoplasty is a surgical procedure that seeks through various means to achieve an increase in chin projection.","button":"Get quote"},</v>
      </c>
      <c r="N37" s="1" t="str">
        <f t="shared" si="3"/>
        <v>{"index":"034","image":"/images/medical-procedures/mentoplastia.jpg","url":"","title":"Mentoplastía","text":"La mentoplastia es un procedimiento quirúrgico que busca mediante diversos medios lograr un aumento en la proyección del mentón.","button":"Consigue una cotización"},</v>
      </c>
      <c r="O37" s="1" t="str">
        <f t="shared" si="4"/>
        <v>{"index":"034","image":"/images/medical-procedures/mentoplastia.jpg","url":"","title":"Mentoplastie","text":"La mentoplastie est une intervention chirurgicale qui vise, par différents moyens, à augmenter la projection du menton.","button":"Obtenir un devis"},</v>
      </c>
    </row>
    <row r="38" spans="1:15" x14ac:dyDescent="0.3">
      <c r="A38" s="1" t="str">
        <f t="shared" si="1"/>
        <v>035</v>
      </c>
      <c r="B38" s="1" t="s">
        <v>319</v>
      </c>
      <c r="D38" s="1" t="s">
        <v>486</v>
      </c>
      <c r="E38" s="1" t="s">
        <v>627</v>
      </c>
      <c r="F38" s="1" t="s">
        <v>686</v>
      </c>
      <c r="G38" s="1" t="s">
        <v>376</v>
      </c>
      <c r="H38" t="s">
        <v>429</v>
      </c>
      <c r="I38" s="1" t="s">
        <v>687</v>
      </c>
      <c r="J38" s="1" t="s">
        <v>604</v>
      </c>
      <c r="K38" s="1" t="s">
        <v>652</v>
      </c>
      <c r="L38" s="1" t="s">
        <v>688</v>
      </c>
      <c r="M38" s="1" t="str">
        <f t="shared" si="2"/>
        <v>{"index":"035","image":"/images/medical-procedures/miomectomia.jpg","url":"","title":"Myomectomy","text":"Myomectomy, sometimes also fibroectomy, refers to the surgical removal of uterine leiomyomas, also known as fibroids.","button":"Get quote"},</v>
      </c>
      <c r="N38" s="1" t="str">
        <f t="shared" si="3"/>
        <v>{"index":"035","image":"/images/medical-procedures/miomectomia.jpg","url":"","title":"Miomectomía","text":"La miomectomía, a veces también la fibroectomía, se refiere a la extirpación quirúrgica de los leiomiomas uterinos, también conocidos como fibromas.","button":"Consigue una cotización"},</v>
      </c>
      <c r="O38" s="1" t="str">
        <f t="shared" si="4"/>
        <v>{"index":"035","image":"/images/medical-procedures/miomectomia.jpg","url":"","title":"Myomectomie","text":"La myomectomie, parfois aussi la fibroectomie, fait référence à l'ablation chirurgicale des léiomyomes utérins, également appelés fibromes.","button":"Obtenir un devis"},</v>
      </c>
    </row>
    <row r="39" spans="1:15" x14ac:dyDescent="0.3">
      <c r="A39" s="1" t="str">
        <f t="shared" si="1"/>
        <v>036</v>
      </c>
      <c r="B39" s="1" t="s">
        <v>320</v>
      </c>
      <c r="D39" s="1" t="s">
        <v>487</v>
      </c>
      <c r="E39" s="1" t="s">
        <v>628</v>
      </c>
      <c r="F39" s="1" t="s">
        <v>686</v>
      </c>
      <c r="G39" s="1" t="s">
        <v>377</v>
      </c>
      <c r="H39" t="s">
        <v>430</v>
      </c>
      <c r="I39" s="1" t="s">
        <v>687</v>
      </c>
      <c r="J39" s="1" t="s">
        <v>605</v>
      </c>
      <c r="K39" s="1" t="s">
        <v>653</v>
      </c>
      <c r="L39" s="1" t="s">
        <v>688</v>
      </c>
      <c r="M39" s="1" t="str">
        <f t="shared" si="2"/>
        <v>{"index":"036","image":"/images/medical-procedures/mastoidectomia.jpg","url":"","title":"Mastoidectomy","text":"A mastoidectomy is a procedure performed to remove the mastoid air cells.","button":"Get quote"},</v>
      </c>
      <c r="N39" s="1" t="str">
        <f t="shared" si="3"/>
        <v>{"index":"036","image":"/images/medical-procedures/mastoidectomia.jpg","url":"","title":"Mastoidectomía","text":"Una mastoidectomía es un procedimiento que se realiza para extraer las células aéreas mastoideas.","button":"Consigue una cotización"},</v>
      </c>
      <c r="O39" s="1" t="str">
        <f t="shared" si="4"/>
        <v>{"index":"036","image":"/images/medical-procedures/mastoidectomia.jpg","url":"","title":"Mastoïdectomie","text":"Une mastoïdectomie est une procédure réalisée pour retirer les cellules mastoïdiennes.","button":"Obtenir un devis"},</v>
      </c>
    </row>
    <row r="40" spans="1:15" x14ac:dyDescent="0.3">
      <c r="A40" s="1" t="str">
        <f t="shared" si="1"/>
        <v>037</v>
      </c>
      <c r="B40" s="1" t="s">
        <v>321</v>
      </c>
      <c r="D40" s="1" t="s">
        <v>488</v>
      </c>
      <c r="E40" s="1" t="s">
        <v>629</v>
      </c>
      <c r="F40" s="1" t="s">
        <v>686</v>
      </c>
      <c r="G40" s="1" t="s">
        <v>378</v>
      </c>
      <c r="H40" t="s">
        <v>431</v>
      </c>
      <c r="I40" s="1" t="s">
        <v>687</v>
      </c>
      <c r="J40" s="1" t="s">
        <v>606</v>
      </c>
      <c r="K40" s="1" t="s">
        <v>654</v>
      </c>
      <c r="L40" s="1" t="s">
        <v>688</v>
      </c>
      <c r="M40" s="1" t="str">
        <f t="shared" si="2"/>
        <v>{"index":"037","image":"/images/medical-procedures/microlaringoscopia.jpg","url":"","title":"Microlaryngoscopy","text":"It consists of the introduction of a metallic tube in the larynx under microscopic control.","button":"Get quote"},</v>
      </c>
      <c r="N40" s="1" t="str">
        <f t="shared" si="3"/>
        <v>{"index":"037","image":"/images/medical-procedures/microlaringoscopia.jpg","url":"","title":"Microlaringoscopía","text":"Consiste en la introducción de un tubo metálico en la laringe bajo control microscópico .","button":"Consigue una cotización"},</v>
      </c>
      <c r="O40" s="1" t="str">
        <f t="shared" si="4"/>
        <v>{"index":"037","image":"/images/medical-procedures/microlaringoscopia.jpg","url":"","title":"Microlaryngoscopie","text":"Il consiste en l'introduction d'un tube métallique dans le larynx sous contrôle microscopique.","button":"Obtenir un devis"},</v>
      </c>
    </row>
    <row r="41" spans="1:15" x14ac:dyDescent="0.3">
      <c r="A41" s="1" t="str">
        <f t="shared" si="1"/>
        <v>038</v>
      </c>
      <c r="B41" s="1" t="s">
        <v>322</v>
      </c>
      <c r="D41" s="1" t="s">
        <v>489</v>
      </c>
      <c r="E41" s="1" t="s">
        <v>630</v>
      </c>
      <c r="F41" s="1" t="s">
        <v>686</v>
      </c>
      <c r="G41" s="1" t="s">
        <v>379</v>
      </c>
      <c r="H41" t="s">
        <v>432</v>
      </c>
      <c r="I41" s="1" t="s">
        <v>687</v>
      </c>
      <c r="J41" s="1" t="s">
        <v>607</v>
      </c>
      <c r="K41" s="1" t="s">
        <v>655</v>
      </c>
      <c r="L41" s="1" t="s">
        <v>688</v>
      </c>
      <c r="M41" s="1" t="str">
        <f t="shared" si="2"/>
        <v>{"index":"038","image":"/images/medical-procedures/safenectomia-bilateral.jpg","url":"","title":"Bilateral saphenectomy","text":"Bilateral saphenectomy involves removing the saphenous vein from both legs.","button":"Get quote"},</v>
      </c>
      <c r="N41" s="1" t="str">
        <f t="shared" si="3"/>
        <v>{"index":"038","image":"/images/medical-procedures/safenectomia-bilateral.jpg","url":"","title":"Safenectomía bilateral","text":"La safenectomía bilateral consiste en quitar la vena safena de las dos piernas.","button":"Consigue una cotización"},</v>
      </c>
      <c r="O41" s="1" t="str">
        <f t="shared" si="4"/>
        <v>{"index":"038","image":"/images/medical-procedures/safenectomia-bilateral.jpg","url":"","title":"Saphénectomie bilatérale","text":"La saphénectomie bilatérale consiste à retirer la veine saphène des deux jambes.","button":"Obtenir un devis"},</v>
      </c>
    </row>
    <row r="42" spans="1:15" x14ac:dyDescent="0.3">
      <c r="A42" s="1" t="str">
        <f t="shared" si="1"/>
        <v>039</v>
      </c>
      <c r="B42" s="1" t="s">
        <v>323</v>
      </c>
      <c r="D42" s="1" t="s">
        <v>490</v>
      </c>
      <c r="E42" s="1" t="s">
        <v>631</v>
      </c>
      <c r="F42" s="1" t="s">
        <v>686</v>
      </c>
      <c r="G42" s="1" t="s">
        <v>380</v>
      </c>
      <c r="H42" t="s">
        <v>433</v>
      </c>
      <c r="I42" s="1" t="s">
        <v>687</v>
      </c>
      <c r="J42" s="1" t="s">
        <v>608</v>
      </c>
      <c r="K42" s="1" t="s">
        <v>656</v>
      </c>
      <c r="L42" s="1" t="s">
        <v>688</v>
      </c>
      <c r="M42" s="1" t="str">
        <f t="shared" si="2"/>
        <v>{"index":"039","image":"/images/medical-procedures/osteotomia.jpg","url":"","title":"Osteotomy of the femur and tibia","text":"The osteotomy consists of making a partial cut in the bone, either in the femur or in the tibia.","button":"Get quote"},</v>
      </c>
      <c r="N42" s="1" t="str">
        <f t="shared" si="3"/>
        <v>{"index":"039","image":"/images/medical-procedures/osteotomia.jpg","url":"","title":"Osteotomía de fémur y tibia","text":"La osteotomía consiste en realizar un corte parcial en el hueso, ya sea en el fémur o en la tibia.","button":"Consigue una cotización"},</v>
      </c>
      <c r="O42" s="1" t="str">
        <f t="shared" si="4"/>
        <v>{"index":"039","image":"/images/medical-procedures/osteotomia.jpg","url":"","title":"Ostéotomie du fémur et du tibia","text":"L'ostéotomie consiste à pratiquer une incision partielle dans l'os, soit dans le fémur, soit dans le tibia.","button":"Obtenir un devis"},</v>
      </c>
    </row>
    <row r="43" spans="1:15" x14ac:dyDescent="0.3">
      <c r="A43" s="1" t="str">
        <f t="shared" si="1"/>
        <v>040</v>
      </c>
      <c r="B43" s="1" t="s">
        <v>324</v>
      </c>
      <c r="D43" s="1" t="s">
        <v>491</v>
      </c>
      <c r="E43" s="1" t="s">
        <v>632</v>
      </c>
      <c r="F43" s="1" t="s">
        <v>686</v>
      </c>
      <c r="G43" s="1" t="s">
        <v>381</v>
      </c>
      <c r="H43" t="s">
        <v>434</v>
      </c>
      <c r="I43" s="1" t="s">
        <v>687</v>
      </c>
      <c r="J43" s="1" t="s">
        <v>609</v>
      </c>
      <c r="K43" s="1" t="s">
        <v>657</v>
      </c>
      <c r="L43" s="1" t="s">
        <v>688</v>
      </c>
      <c r="M43" s="1" t="str">
        <f t="shared" si="2"/>
        <v>{"index":"040","image":"/images/medical-procedures/plastia-vaginales.jpg","url":"","title":"Vaginal plasty","text":"It is a surgical procedure. This surgery tightens the front wall of the vagina.","button":"Get quote"},</v>
      </c>
      <c r="N43" s="1" t="str">
        <f t="shared" si="3"/>
        <v>{"index":"040","image":"/images/medical-procedures/plastia-vaginales.jpg","url":"","title":"Plastia vaginales","text":"Es un procedimiento quirúrgico. Esta cirugía tensa la pared frontal de la vagina.","button":"Consigue una cotización"},</v>
      </c>
      <c r="O43" s="1" t="str">
        <f t="shared" si="4"/>
        <v>{"index":"040","image":"/images/medical-procedures/plastia-vaginales.jpg","url":"","title":"Plastie vaginale","text":"C'est une intervention chirurgicale. Cette opération resserre la paroi avant du vagin.","button":"Obtenir un devis"},</v>
      </c>
    </row>
    <row r="44" spans="1:15" x14ac:dyDescent="0.3">
      <c r="A44" s="1" t="str">
        <f t="shared" si="1"/>
        <v>041</v>
      </c>
      <c r="B44" s="1" t="s">
        <v>325</v>
      </c>
      <c r="D44" s="1" t="s">
        <v>492</v>
      </c>
      <c r="E44" s="1" t="s">
        <v>633</v>
      </c>
      <c r="F44" s="1" t="s">
        <v>686</v>
      </c>
      <c r="G44" s="1" t="s">
        <v>382</v>
      </c>
      <c r="H44" t="s">
        <v>435</v>
      </c>
      <c r="I44" s="1" t="s">
        <v>687</v>
      </c>
      <c r="J44" s="1" t="s">
        <v>610</v>
      </c>
      <c r="K44" s="1" t="s">
        <v>658</v>
      </c>
      <c r="L44" s="1" t="s">
        <v>688</v>
      </c>
      <c r="M44" s="1" t="str">
        <f t="shared" si="2"/>
        <v>{"index":"041","image":"/images/medical-procedures/rinoseptumplastia.jpg","url":"","title":"Rhinoplasty","text":"Surgery to improve the shape of the nose.","button":"Get quote"},</v>
      </c>
      <c r="N44" s="1" t="str">
        <f t="shared" si="3"/>
        <v>{"index":"041","image":"/images/medical-procedures/rinoseptumplastia.jpg","url":"","title":"Rinoseptumplastía","text":"Cirugía para mejorar la forma de la nariz.","button":"Consigue una cotización"},</v>
      </c>
      <c r="O44" s="1" t="str">
        <f t="shared" si="4"/>
        <v>{"index":"041","image":"/images/medical-procedures/rinoseptumplastia.jpg","url":"","title":"Rhinoplastie","text":"Chirurgie pour améliorer la forme du nez.","button":"Obtenir un devis"},</v>
      </c>
    </row>
    <row r="45" spans="1:15" x14ac:dyDescent="0.3">
      <c r="A45" s="1" t="str">
        <f t="shared" si="1"/>
        <v>042</v>
      </c>
      <c r="B45" s="1" t="s">
        <v>326</v>
      </c>
      <c r="D45" s="1" t="s">
        <v>493</v>
      </c>
      <c r="E45" s="1" t="s">
        <v>634</v>
      </c>
      <c r="F45" s="1" t="s">
        <v>686</v>
      </c>
      <c r="G45" s="1" t="s">
        <v>383</v>
      </c>
      <c r="H45" t="s">
        <v>436</v>
      </c>
      <c r="I45" s="1" t="s">
        <v>687</v>
      </c>
      <c r="J45" s="1" t="s">
        <v>611</v>
      </c>
      <c r="K45" s="1" t="s">
        <v>659</v>
      </c>
      <c r="L45" s="1" t="s">
        <v>688</v>
      </c>
      <c r="M45" s="1" t="str">
        <f t="shared" si="2"/>
        <v>{"index":"042","image":"/images/medical-procedures/hernioplastia.jpg","url":"","title":"Hernioplasty","text":"Umbilical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v>
      </c>
      <c r="N45" s="1" t="str">
        <f t="shared" si="3"/>
        <v>{"index":"042","image":"/images/medical-procedures/hernioplastia.jpg","url":"","title":"Hernioplastía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v>
      </c>
      <c r="O45" s="1" t="str">
        <f t="shared" si="4"/>
        <v>{"index":"042","image":"/images/medical-procedures/hernioplastia.jpg","url":"","title":"Hernioplastie","text":"Hernioplastie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v>
      </c>
    </row>
    <row r="46" spans="1:15" x14ac:dyDescent="0.3">
      <c r="A46" s="1" t="str">
        <f t="shared" si="1"/>
        <v>043</v>
      </c>
      <c r="B46" s="1" t="s">
        <v>327</v>
      </c>
      <c r="D46" s="1" t="s">
        <v>494</v>
      </c>
      <c r="E46" s="1" t="s">
        <v>635</v>
      </c>
      <c r="F46" s="1" t="s">
        <v>686</v>
      </c>
      <c r="G46" s="1" t="s">
        <v>384</v>
      </c>
      <c r="H46" t="s">
        <v>437</v>
      </c>
      <c r="I46" s="1" t="s">
        <v>687</v>
      </c>
      <c r="J46" s="1" t="s">
        <v>494</v>
      </c>
      <c r="K46" s="1" t="s">
        <v>660</v>
      </c>
      <c r="L46" s="1" t="s">
        <v>688</v>
      </c>
      <c r="M46" s="1" t="str">
        <f t="shared" si="2"/>
        <v>{"index":"043","image":"/images/medical-procedures/ureterolitotripsia.jpg","url":"","title":"Ureterolitotripsia","text":"Ureteroscopy is an intervention to examine the inside of the kidney and the ureter by means of a uteroscope.","button":"Get quote"},</v>
      </c>
      <c r="N46" s="1" t="str">
        <f t="shared" si="3"/>
        <v>{"index":"043","image":"/images/medical-procedures/ureterolitotripsia.jpg","url":"","title":"Ureterolitotripsia ","text":"La ureteroscopia es una intervención para examinar el interior del riñon y el uréter por medio de un uteroscopio.","button":"Consigue una cotización"},</v>
      </c>
      <c r="O46" s="1" t="str">
        <f t="shared" si="4"/>
        <v>{"index":"043","image":"/images/medical-procedures/ureterolitotripsia.jpg","url":"","title":"Ureterolitotripsia","text":"L'urétéroscopie est une intervention consistant à examiner l'intérieur du rein et de l'uretère à l'aide d'un utéroscope.","button":"Obtenir un devis"},</v>
      </c>
    </row>
    <row r="47" spans="1:15" x14ac:dyDescent="0.3">
      <c r="A47" s="1" t="str">
        <f t="shared" si="1"/>
        <v>044</v>
      </c>
      <c r="B47" s="1" t="s">
        <v>328</v>
      </c>
      <c r="D47" s="1" t="s">
        <v>495</v>
      </c>
      <c r="E47" s="1" t="s">
        <v>636</v>
      </c>
      <c r="F47" s="1" t="s">
        <v>686</v>
      </c>
      <c r="G47" s="1" t="s">
        <v>385</v>
      </c>
      <c r="H47" t="s">
        <v>438</v>
      </c>
      <c r="I47" s="1" t="s">
        <v>687</v>
      </c>
      <c r="J47" s="1" t="s">
        <v>612</v>
      </c>
      <c r="K47" s="1" t="s">
        <v>661</v>
      </c>
      <c r="L47" s="1" t="s">
        <v>688</v>
      </c>
      <c r="M47" s="1" t="str">
        <f t="shared" si="2"/>
        <v>{"index":"044","image":"/images/medical-procedures/hemorroidectomia.jpg","url":"","title":"Hemorrhoidectomy","text":"It is known as hemorrhoidectomy to the surgical procedure of hemorrhoid removal.","button":"Get quote"},</v>
      </c>
      <c r="N47" s="1" t="str">
        <f t="shared" si="3"/>
        <v>{"index":"044","image":"/images/medical-procedures/hemorroidectomia.jpg","url":"","title":"Hemorroidectomía","text":"Se conoce como hemorroidectomia al procedimiento quirúrgico de extirpación de las hemorroides.","button":"Consigue una cotización"},</v>
      </c>
      <c r="O47" s="1" t="str">
        <f t="shared" si="4"/>
        <v>{"index":"044","image":"/images/medical-procedures/hemorroidectomia.jpg","url":"","title":"Hémorroïdectomie","text":"Il est connu sous le nom d’hémorroïdectomie lors d’une intervention chirurgicale consistant à enlever les hémorroïdes.","button":"Obtenir un devis"},</v>
      </c>
    </row>
    <row r="48" spans="1:15" x14ac:dyDescent="0.3">
      <c r="A48" s="1" t="str">
        <f t="shared" si="1"/>
        <v>045</v>
      </c>
      <c r="B48" s="1" t="s">
        <v>329</v>
      </c>
      <c r="D48" s="1" t="s">
        <v>496</v>
      </c>
      <c r="E48" s="1" t="s">
        <v>637</v>
      </c>
      <c r="F48" s="1" t="s">
        <v>686</v>
      </c>
      <c r="G48" s="1" t="s">
        <v>386</v>
      </c>
      <c r="H48" t="s">
        <v>439</v>
      </c>
      <c r="I48" s="1" t="s">
        <v>687</v>
      </c>
      <c r="J48" s="1" t="s">
        <v>613</v>
      </c>
      <c r="K48" s="1" t="s">
        <v>662</v>
      </c>
      <c r="L48" s="1" t="s">
        <v>688</v>
      </c>
      <c r="M48" s="1" t="str">
        <f t="shared" si="2"/>
        <v>{"index":"045","image":"/images/medical-procedures/histerolaparoscopia.jpg","url":"","title":"Hysteroscopy","text":"Hysteroscopy is a clinical procedure that allows a gynecologist to see the inside of the uterus through an endoscopy.","button":"Get quote"},</v>
      </c>
      <c r="N48" s="1" t="str">
        <f t="shared" si="3"/>
        <v>{"index":"045","image":"/images/medical-procedures/histerolaparoscopia.jpg","url":"","title":"Histerolaparoscopia","text":"La histeroscopia es un procedimiento clínico que le permite a un ginecólogo ver el interior del útero por medio de una endoscopia.","button":"Consigue una cotización"},</v>
      </c>
      <c r="O48" s="1" t="str">
        <f t="shared" si="4"/>
        <v>{"index":"045","image":"/images/medical-procedures/histerolaparoscopia.jpg","url":"","title":"Hystéroscopie","text":"L'hystéroscopie est une procédure clinique qui permet à un gynécologue de voir l'intérieur de l'utérus par endoscopie.","button":"Obtenir un devis"},</v>
      </c>
    </row>
    <row r="49" spans="1:15" x14ac:dyDescent="0.3">
      <c r="A49" s="1" t="str">
        <f t="shared" si="1"/>
        <v>046</v>
      </c>
      <c r="B49" s="1" t="s">
        <v>330</v>
      </c>
      <c r="D49" s="1" t="s">
        <v>497</v>
      </c>
      <c r="E49" s="1" t="s">
        <v>638</v>
      </c>
      <c r="F49" s="1" t="s">
        <v>686</v>
      </c>
      <c r="G49" s="1" t="s">
        <v>387</v>
      </c>
      <c r="H49" t="s">
        <v>440</v>
      </c>
      <c r="I49" s="1" t="s">
        <v>687</v>
      </c>
      <c r="J49" s="1" t="s">
        <v>614</v>
      </c>
      <c r="K49" s="1" t="s">
        <v>663</v>
      </c>
      <c r="L49" s="1" t="s">
        <v>688</v>
      </c>
      <c r="M49" s="1" t="str">
        <f t="shared" si="2"/>
        <v>{"index":"046","image":"/images/medical-procedures/septumplastia.jpg","url":"","title":"Septuplasty","text":"Septuplasty is surgery that is performed to correct deformities or deviations of the nasal septum, also called nasal septum.","button":"Get quote"},</v>
      </c>
      <c r="N49" s="1" t="str">
        <f t="shared" si="3"/>
        <v>{"index":"046","image":"/images/medical-procedures/septumplastia.jpg","url":"","title":"Septumplastía","text":"La septumplastia es la cirugía que se realiza para corregir las deformidades o desviaciones del tabique nasal, también llamado septum nasal.","button":"Consigue una cotización"},</v>
      </c>
      <c r="O49" s="1" t="str">
        <f t="shared" si="4"/>
        <v>{"index":"046","image":"/images/medical-procedures/septumplastia.jpg","url":"","title":"Septuplastie","text":"La septuplastie est une intervention chirurgicale visant à corriger les déformations ou déviations de la cloison nasale, également appelée septum nasal.","button":"Obtenir un devis"},</v>
      </c>
    </row>
    <row r="50" spans="1:15" x14ac:dyDescent="0.3">
      <c r="A50" s="1" t="str">
        <f t="shared" si="1"/>
        <v>047</v>
      </c>
      <c r="B50" s="1" t="s">
        <v>331</v>
      </c>
      <c r="D50" s="1" t="s">
        <v>498</v>
      </c>
      <c r="E50" s="1" t="s">
        <v>639</v>
      </c>
      <c r="F50" s="1" t="s">
        <v>686</v>
      </c>
      <c r="G50" s="1" t="s">
        <v>388</v>
      </c>
      <c r="H50" t="s">
        <v>441</v>
      </c>
      <c r="I50" s="1" t="s">
        <v>687</v>
      </c>
      <c r="J50" s="1" t="s">
        <v>615</v>
      </c>
      <c r="K50" s="1" t="s">
        <v>664</v>
      </c>
      <c r="L50" s="1" t="s">
        <v>688</v>
      </c>
      <c r="M50" s="1" t="str">
        <f t="shared" si="2"/>
        <v>{"index":"047","image":"/images/medical-procedures/orquiectomia.jpg","url":"","title":"Orchiectomy","text":"Orchiectomy is the term that is used in medicine to designate the surgical extirpation, total or partial, of one or both testicles.","button":"Get quote"},</v>
      </c>
      <c r="N50" s="1" t="str">
        <f t="shared" si="3"/>
        <v>{"index":"047","image":"/images/medical-procedures/orquiectomia.jpg","url":"","title":"Orquiectomía","text":"Orquiectomía es el término que se usa en medicina para designar la extirpación quirúrgica, total o parcial, de uno o de los dos testículos.","button":"Consigue una cotización"},</v>
      </c>
      <c r="O50" s="1" t="str">
        <f t="shared" si="4"/>
        <v>{"index":"047","image":"/images/medical-procedures/orquiectomia.jpg","url":"","title":"Orchidectomie","text":"Orchiectomie est le terme utilisé en médecine pour désigner l'extirpation chirurgicale totale ou partielle d'un ou des deux testicules.","button":"Obtenir un devis"},</v>
      </c>
    </row>
    <row r="51" spans="1:15" x14ac:dyDescent="0.3">
      <c r="A51" s="1" t="str">
        <f t="shared" si="1"/>
        <v>048</v>
      </c>
      <c r="B51" s="1" t="s">
        <v>332</v>
      </c>
      <c r="D51" s="1" t="s">
        <v>499</v>
      </c>
      <c r="E51" s="1" t="s">
        <v>640</v>
      </c>
      <c r="F51" s="1" t="s">
        <v>686</v>
      </c>
      <c r="G51" s="1" t="s">
        <v>389</v>
      </c>
      <c r="H51" t="s">
        <v>442</v>
      </c>
      <c r="I51" s="1" t="s">
        <v>687</v>
      </c>
      <c r="J51" s="1" t="s">
        <v>616</v>
      </c>
      <c r="K51" s="1" t="s">
        <v>665</v>
      </c>
      <c r="L51" s="1" t="s">
        <v>688</v>
      </c>
      <c r="M51" s="1" t="str">
        <f t="shared" si="2"/>
        <v>{"index":"048","image":"/images/medical-procedures/osteotomia-de-tibia.jpg","url":"","title":"Tibial osteotomy","text":"It is an operation designed to change the position and alignment of the leg bone.","button":"Get quote"},</v>
      </c>
      <c r="N51" s="1" t="str">
        <f t="shared" si="3"/>
        <v>{"index":"048","image":"/images/medical-procedures/osteotomia-de-tibia.jpg","url":"","title":"Osteotomía de tibia","text":"Es una operación diseñada para cambiar la posición y alineación del hueso de la pierna.","button":"Consigue una cotización"},</v>
      </c>
      <c r="O51" s="1" t="str">
        <f t="shared" si="4"/>
        <v>{"index":"048","image":"/images/medical-procedures/osteotomia-de-tibia.jpg","url":"","title":"Ostéotomie tibiale","text":"C'est une opération conçue pour changer la position et l'alignement de l'os de la jambe.","button":"Obtenir un devis"},</v>
      </c>
    </row>
    <row r="52" spans="1:15" x14ac:dyDescent="0.3">
      <c r="A52" s="1" t="str">
        <f t="shared" si="1"/>
        <v>049</v>
      </c>
      <c r="B52" s="1" t="s">
        <v>333</v>
      </c>
      <c r="D52" s="1" t="s">
        <v>500</v>
      </c>
      <c r="E52" s="1" t="s">
        <v>641</v>
      </c>
      <c r="F52" s="1" t="s">
        <v>686</v>
      </c>
      <c r="G52" s="1" t="s">
        <v>390</v>
      </c>
      <c r="H52" t="s">
        <v>443</v>
      </c>
      <c r="I52" s="1" t="s">
        <v>687</v>
      </c>
      <c r="J52" s="1" t="s">
        <v>617</v>
      </c>
      <c r="K52" s="1" t="s">
        <v>666</v>
      </c>
      <c r="L52" s="1" t="s">
        <v>688</v>
      </c>
      <c r="M52" s="1" t="str">
        <f t="shared" si="2"/>
        <v>{"index":"049","image":"/images/medical-procedures/otoplastia.jpg","url":"","title":"Otoplasty","text":"Otoplasty is a surgery in which the deformities of the ear are resolved.","button":"Get quote"},</v>
      </c>
      <c r="N52" s="1" t="str">
        <f t="shared" si="3"/>
        <v>{"index":"049","image":"/images/medical-procedures/otoplastia.jpg","url":"","title":"Otoplastía","text":"La otoplastia es una cirugía en la cual se resuelven las deformidades de la oreja.","button":"Consigue una cotización"},</v>
      </c>
      <c r="O52" s="1" t="str">
        <f t="shared" si="4"/>
        <v>{"index":"049","image":"/images/medical-procedures/otoplastia.jpg","url":"","title":"Otoplastie","text":"L'otoplastie est une intervention chirurgicale dans laquelle les déformations de l'oreille sont résolues.","button":"Obtenir un devis"},</v>
      </c>
    </row>
    <row r="53" spans="1:15" x14ac:dyDescent="0.3">
      <c r="A53" s="1" t="str">
        <f t="shared" si="1"/>
        <v>050</v>
      </c>
      <c r="B53" s="1" t="s">
        <v>334</v>
      </c>
      <c r="D53" s="1" t="s">
        <v>501</v>
      </c>
      <c r="E53" s="1" t="s">
        <v>642</v>
      </c>
      <c r="F53" s="1" t="s">
        <v>686</v>
      </c>
      <c r="G53" s="1" t="s">
        <v>391</v>
      </c>
      <c r="H53" t="s">
        <v>444</v>
      </c>
      <c r="I53" s="1" t="s">
        <v>687</v>
      </c>
      <c r="J53" s="1" t="s">
        <v>618</v>
      </c>
      <c r="K53" s="1" t="s">
        <v>667</v>
      </c>
      <c r="L53" s="1" t="s">
        <v>688</v>
      </c>
      <c r="M53" s="1" t="str">
        <f t="shared" si="2"/>
        <v>{"index":"050","image":"/images/medical-procedures/palatoplastia.jpg","url":"","title":"Palatoplasty","text":"Palatoplasty is a surgical procedure used to correct or reconstruct the palate in a person with cleft palate.","button":"Get quote"},</v>
      </c>
      <c r="N53" s="1" t="str">
        <f t="shared" si="3"/>
        <v>{"index":"050","image":"/images/medical-procedures/palatoplastia.jpg","url":"","title":"Palatoplastía","text":"La palatoplastia es un procedimiento quirúrgico que se usa para corregir o reconstruir el paladar en una persona con paladar hendido.","button":"Consigue una cotización"},</v>
      </c>
      <c r="O53" s="1" t="str">
        <f t="shared" si="4"/>
        <v>{"index":"050","image":"/images/medical-procedures/palatoplastia.jpg","url":"","title":"Palatoplastie","text":"La palatoplastie est une intervention chirurgicale utilisée pour corriger ou reconstruire le palais chez une personne souffrant de fente palatine.","button":"Obtenir un devis"},</v>
      </c>
    </row>
    <row r="54" spans="1:15" x14ac:dyDescent="0.3">
      <c r="A54" s="1" t="str">
        <f t="shared" si="1"/>
        <v>051</v>
      </c>
      <c r="B54" s="1" t="s">
        <v>335</v>
      </c>
      <c r="D54" s="1" t="s">
        <v>492</v>
      </c>
      <c r="E54" s="1" t="s">
        <v>643</v>
      </c>
      <c r="F54" s="1" t="s">
        <v>686</v>
      </c>
      <c r="G54" s="1" t="s">
        <v>392</v>
      </c>
      <c r="H54" t="s">
        <v>445</v>
      </c>
      <c r="I54" s="1" t="s">
        <v>687</v>
      </c>
      <c r="J54" s="1" t="s">
        <v>610</v>
      </c>
      <c r="K54" s="1" t="s">
        <v>668</v>
      </c>
      <c r="L54" s="1" t="s">
        <v>688</v>
      </c>
      <c r="M54" s="1" t="str">
        <f t="shared" si="2"/>
        <v>{"index":"051","image":"/images/medical-procedures/rinoplastia.jpg","url":"","title":"Rhinoplasty","text":"Rhinoplasty is a surgical procedure in which the aesthetic problems of the nose, such as the osseous hump, the bone protruding from the back of the nose, are mainly solved.","button":"Get quote"},</v>
      </c>
      <c r="N54" s="1" t="str">
        <f t="shared" si="3"/>
        <v>{"index":"051","image":"/images/medical-procedures/rinoplastia.jpg","url":"","title":"Rinoplastía","text":"La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v>
      </c>
      <c r="O54" s="1" t="str">
        <f t="shared" si="4"/>
        <v>{"index":"051","image":"/images/medical-procedures/rinoplastia.jpg","url":"","title":"Rhinoplastie","text":"La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v>
      </c>
    </row>
    <row r="55" spans="1:15" x14ac:dyDescent="0.3">
      <c r="A55" s="1" t="str">
        <f t="shared" si="1"/>
        <v>052</v>
      </c>
      <c r="B55" s="1" t="s">
        <v>336</v>
      </c>
      <c r="D55" s="1" t="s">
        <v>502</v>
      </c>
      <c r="E55" s="1" t="s">
        <v>644</v>
      </c>
      <c r="F55" s="1" t="s">
        <v>686</v>
      </c>
      <c r="G55" s="1" t="s">
        <v>393</v>
      </c>
      <c r="H55" t="s">
        <v>446</v>
      </c>
      <c r="I55" s="1" t="s">
        <v>687</v>
      </c>
      <c r="J55" s="1" t="s">
        <v>619</v>
      </c>
      <c r="K55" s="1" t="s">
        <v>669</v>
      </c>
      <c r="L55" s="1" t="s">
        <v>688</v>
      </c>
      <c r="M55" s="1" t="str">
        <f t="shared" si="2"/>
        <v>{"index":"052","image":"/images/medical-procedures/adenoamigdalectomia.jpg","url":"","title":"Adenoamigdalectomy","text":"The adenoamigdalectomía is the intervention that is made to extirpate the tonsils and the adenoideas vegetations.","button":"Get quote"},</v>
      </c>
      <c r="N55" s="1" t="str">
        <f t="shared" si="3"/>
        <v>{"index":"052","image":"/images/medical-procedures/adenoamigdalectomia.jpg","url":"","title":"Adenoamigdalectomía","text":"La adenoamigdalectomía es la intervención que se realiza para extirpar las amígdalas y las vegetaciones adenoideas.","button":"Consigue una cotización"},</v>
      </c>
      <c r="O55" s="1" t="str">
        <f t="shared" si="4"/>
        <v>{"index":"052","image":"/images/medical-procedures/adenoamigdalectomia.jpg","url":"","title":"Adénoamigdalectomie","text":"L'adenoamigdalectomía est l'intervention qui consiste à extirper les amygdales et les végétations adénoïdiennes.","button":"Obtenir un devis"},</v>
      </c>
    </row>
    <row r="56" spans="1:15" x14ac:dyDescent="0.3">
      <c r="A56" s="1" t="str">
        <f t="shared" si="1"/>
        <v>053</v>
      </c>
      <c r="B56" s="1" t="s">
        <v>337</v>
      </c>
      <c r="D56" s="1" t="s">
        <v>503</v>
      </c>
      <c r="E56" s="1" t="s">
        <v>645</v>
      </c>
      <c r="F56" s="1" t="s">
        <v>686</v>
      </c>
      <c r="G56" s="1" t="s">
        <v>394</v>
      </c>
      <c r="H56" t="s">
        <v>447</v>
      </c>
      <c r="I56" s="1" t="s">
        <v>687</v>
      </c>
      <c r="J56" s="1" t="s">
        <v>620</v>
      </c>
      <c r="K56" s="1" t="s">
        <v>670</v>
      </c>
      <c r="L56" s="1" t="s">
        <v>688</v>
      </c>
      <c r="M56" s="1" t="str">
        <f t="shared" si="2"/>
        <v>{"index":"053","image":"/images/medical-procedures/safenectomia.jpg","url":"","title":"Safenectomy","text":"Surgical removal of the saphenous vein. It is usually used as a surgical treatment for varicose veins and for obtaining venous grafts in coronary artery interventions.","button":"Get quote"},</v>
      </c>
      <c r="N56" s="1" t="str">
        <f t="shared" si="3"/>
        <v>{"index":"053","image":"/images/medical-procedures/safenectomia.jpg","url":"","title":"Safenectomía","text":"Extracción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v>
      </c>
      <c r="O56" s="1" t="str">
        <f t="shared" si="4"/>
        <v>{"index":"053","image":"/images/medical-procedures/safenectomia.jpg","url":"","title":"Safénectomie","text":"Ablation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v>
      </c>
    </row>
    <row r="57" spans="1:15" x14ac:dyDescent="0.3">
      <c r="A57" s="1" t="str">
        <f t="shared" si="1"/>
        <v>054</v>
      </c>
      <c r="B57" s="1" t="s">
        <v>338</v>
      </c>
      <c r="D57" s="1" t="s">
        <v>504</v>
      </c>
      <c r="E57" s="1" t="s">
        <v>646</v>
      </c>
      <c r="F57" s="1" t="s">
        <v>686</v>
      </c>
      <c r="G57" s="1" t="s">
        <v>395</v>
      </c>
      <c r="H57" t="s">
        <v>448</v>
      </c>
      <c r="I57" s="1" t="s">
        <v>687</v>
      </c>
      <c r="J57" s="1" t="s">
        <v>621</v>
      </c>
      <c r="K57" s="1" t="s">
        <v>671</v>
      </c>
      <c r="L57" s="1" t="s">
        <v>688</v>
      </c>
      <c r="M57" s="1" t="str">
        <f t="shared" si="2"/>
        <v>{"index":"054","image":"/images/medical-procedures/amigdalectomia.jpg","url":"","title":"Tonsillectomy","text":"Tonsillectomy involves the surgical removal of the tonsils. This surgical intervention is carried out by the otolaryngologist.","button":"Get quote"},</v>
      </c>
      <c r="N57" s="1" t="str">
        <f t="shared" si="3"/>
        <v>{"index":"054","image":"/images/medical-procedures/amigdalectomia.jpg","url":"","title":"Amigdalectomía","text":"La amigdalectomía consiste en la extirpación quirúrgica de las amígdalas. Esta intervención quirúrgica la lleva a cabo el otorrinolaringólogo.","button":"Consigue una cotización"},</v>
      </c>
      <c r="O57" s="1" t="str">
        <f t="shared" si="4"/>
        <v>{"index":"054","image":"/images/medical-procedures/amigdalectomia.jpg","url":"","title":"Amygdalectomie","text":"L'amygdalectomie implique l'ablation chirurgicale des amygdales. Cette intervention chirurgicale est réalisée par l'oto-rhino-laryngologiste.","button":"Obtenir un devis"},</v>
      </c>
    </row>
    <row r="58" spans="1:15" x14ac:dyDescent="0.3">
      <c r="A58" s="1" t="str">
        <f t="shared" si="1"/>
        <v>055</v>
      </c>
      <c r="B58" s="1" t="s">
        <v>339</v>
      </c>
      <c r="D58" s="1" t="s">
        <v>505</v>
      </c>
      <c r="E58" s="1" t="s">
        <v>647</v>
      </c>
      <c r="F58" s="1" t="s">
        <v>686</v>
      </c>
      <c r="G58" s="1" t="s">
        <v>396</v>
      </c>
      <c r="H58" t="s">
        <v>449</v>
      </c>
      <c r="I58" s="1" t="s">
        <v>687</v>
      </c>
      <c r="J58" s="1" t="s">
        <v>622</v>
      </c>
      <c r="K58" s="1" t="s">
        <v>672</v>
      </c>
      <c r="L58" s="1" t="s">
        <v>688</v>
      </c>
      <c r="M58" s="1" t="str">
        <f t="shared" si="2"/>
        <v>{"index":"055","image":"/images/medical-procedures/varicocelectomia.jpg","url":"","title":"Varicocelectomy","text":"The varicocelectomy is the surgical intervention that allows to alleviate the problems caused by the varicocele.","button":"Get quote"},</v>
      </c>
      <c r="N58" s="1" t="str">
        <f t="shared" si="3"/>
        <v>{"index":"055","image":"/images/medical-procedures/varicocelectomia.jpg","url":"","title":"Varicocelectomía","text":"La varicocelectomía es la intervención quirúrgica que permite aliviar los problemas causados por el varicocele.","button":"Consigue una cotización"},</v>
      </c>
      <c r="O58" s="1" t="str">
        <f t="shared" si="4"/>
        <v>{"index":"055","image":"/images/medical-procedures/varicocelectomia.jpg","url":"","title":"Varicocélectomie","text":"La varicocélectomie est l'intervention chirurgicale qui permet d'atténuer les problèmes causés par la varicocèle.","button":"Obtenir un devis"},</v>
      </c>
    </row>
    <row r="59" spans="1:15" x14ac:dyDescent="0.3">
      <c r="A59" s="1" t="str">
        <f t="shared" si="1"/>
        <v>056</v>
      </c>
      <c r="B59" s="1" t="s">
        <v>340</v>
      </c>
      <c r="D59" s="1" t="s">
        <v>506</v>
      </c>
      <c r="E59" s="1" t="s">
        <v>648</v>
      </c>
      <c r="F59" s="1" t="s">
        <v>686</v>
      </c>
      <c r="G59" s="1" t="s">
        <v>397</v>
      </c>
      <c r="H59" t="s">
        <v>450</v>
      </c>
      <c r="I59" s="1" t="s">
        <v>687</v>
      </c>
      <c r="J59" s="1" t="s">
        <v>623</v>
      </c>
      <c r="K59" s="1" t="s">
        <v>673</v>
      </c>
      <c r="L59" s="1" t="s">
        <v>688</v>
      </c>
      <c r="M59" s="1" t="str">
        <f t="shared" si="2"/>
        <v>{"index":"056","image":"/images/medical-procedures/hidrocelectomia.jpg","url":"","title":"Hydrocelectomy","text":"A hydrocele is a type of swelling of the scrotum that occurs when fluid accumulates in the thin lining around the testicle.","button":"Get quote"},</v>
      </c>
      <c r="N59" s="1" t="str">
        <f t="shared" si="3"/>
        <v>{"index":"056","image":"/images/medical-procedures/hidrocelectomia.jpg","url":"","title":"Hidrocelectomía","text":"Un hidrocele es un tipo de inflamación del escroto que ocurre cuando se acumula líquido en el recubrimiento delgado que rodea el testículo.","button":"Consigue una cotización"},</v>
      </c>
      <c r="O59" s="1" t="str">
        <f t="shared" si="4"/>
        <v>{"index":"056","image":"/images/medical-procedures/hidrocelectomia.jpg","url":"","title":"Hydrocélectomie","text":"Une hydrocèle est un type de gonflement du scrotum qui se produit lorsque le liquide s’accumule dans la fine membrane entourant le testicule.","button":"Obtenir un devis"},</v>
      </c>
    </row>
    <row r="60" spans="1:15" x14ac:dyDescent="0.3">
      <c r="A60" s="1" t="str">
        <f t="shared" si="1"/>
        <v>057</v>
      </c>
      <c r="B60" s="1" t="s">
        <v>341</v>
      </c>
      <c r="D60" s="1" t="s">
        <v>507</v>
      </c>
      <c r="E60" s="1" t="s">
        <v>649</v>
      </c>
      <c r="F60" s="1" t="s">
        <v>686</v>
      </c>
      <c r="G60" s="1" t="s">
        <v>398</v>
      </c>
      <c r="H60" t="s">
        <v>451</v>
      </c>
      <c r="I60" s="1" t="s">
        <v>687</v>
      </c>
      <c r="J60" s="1" t="s">
        <v>624</v>
      </c>
      <c r="K60" s="1" t="s">
        <v>674</v>
      </c>
      <c r="L60" s="1" t="s">
        <v>688</v>
      </c>
      <c r="M60" s="1" t="str">
        <f t="shared" si="2"/>
        <v>{"index":"057","image":"/images/medical-procedures/reseccion-de-fibroadenoma-mamario.jpg","url":"","title":"Resection of fibroadenoma mammary","text":"The removal of a breast tumor is surgery to remove a tumor that may be breast cancer.","button":"Get quote"}</v>
      </c>
      <c r="N60" s="1" t="str">
        <f t="shared" si="3"/>
        <v>{"index":"057","image":"/images/medical-procedures/reseccion-de-fibroadenoma-mamario.jpg","url":"","title":"Resección de fibroadenoma mamario","text":"La extirpación de un tumor mamario es la cirugía para extirpar un tumor que puede ser cáncer de mama.","button":"Consigue una cotización"}</v>
      </c>
      <c r="O60" s="1" t="str">
        <f t="shared" si="4"/>
        <v>{"index":"057","image":"/images/medical-procedures/reseccion-de-fibroadenoma-mamario.jpg","url":"","title":"Résection de fibroadénome mammaire","text":"Le retrait d'une tumeur du sein est une intervention chirurgicale visant à retirer une tumeur pouvant être un cancer du sein.","button":"Obtenir un devis"}</v>
      </c>
    </row>
  </sheetData>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GeneratePages</vt:lpstr>
      <vt:lpstr>privacy-policy</vt:lpstr>
      <vt:lpstr>404</vt:lpstr>
      <vt:lpstr>_index</vt:lpstr>
      <vt:lpstr>about</vt:lpstr>
      <vt:lpstr>medical-procedures</vt:lpstr>
      <vt:lpstr>members</vt:lpstr>
      <vt:lpstr>packages</vt:lpstr>
      <vt:lpstr>contact</vt:lpstr>
      <vt:lpstr>sign-in</vt:lpstr>
      <vt:lpstr>verify-email</vt:lpstr>
      <vt:lpstr>MainSlider</vt:lpstr>
      <vt:lpstr>MainHighlights</vt:lpstr>
      <vt:lpstr>WhyUs</vt:lpstr>
      <vt:lpstr>MembersList</vt:lpstr>
      <vt:lpstr>MembersList (2)</vt:lpstr>
      <vt:lpstr>MedicalSpecialities</vt:lpstr>
      <vt:lpstr>Procedures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Venkata Satya Soujanya Gadi</dc:creator>
  <cp:lastModifiedBy>Venkata Satya Soujanya Gadi</cp:lastModifiedBy>
  <dcterms:created xsi:type="dcterms:W3CDTF">2019-07-03T01:39:54Z</dcterms:created>
  <dcterms:modified xsi:type="dcterms:W3CDTF">2021-10-05T04:31:55Z</dcterms:modified>
</cp:coreProperties>
</file>