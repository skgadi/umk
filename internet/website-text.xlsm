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AE681663-C630-41C8-AF82-2AC3EEF81EC2}" xr6:coauthVersionLast="45" xr6:coauthVersionMax="45" xr10:uidLastSave="{00000000-0000-0000-0000-000000000000}"/>
  <bookViews>
    <workbookView xWindow="-108" yWindow="-108" windowWidth="23256" windowHeight="12576" activeTab="1" xr2:uid="{8467AF14-AB62-4EB9-86FA-B8B9AA9C4E04}"/>
  </bookViews>
  <sheets>
    <sheet name="GeneratePages" sheetId="2" r:id="rId1"/>
    <sheet name="_index" sheetId="3" r:id="rId2"/>
    <sheet name="about" sheetId="10" r:id="rId3"/>
    <sheet name="medical-procedures" sheetId="11" r:id="rId4"/>
    <sheet name="members" sheetId="13" r:id="rId5"/>
    <sheet name="packages" sheetId="14" r:id="rId6"/>
    <sheet name="contact" sheetId="15" r:id="rId7"/>
    <sheet name="sign-in" sheetId="18" r:id="rId8"/>
    <sheet name="verify-email" sheetId="19" r:id="rId9"/>
    <sheet name="MainSlider" sheetId="1" r:id="rId10"/>
    <sheet name="MainHighlights" sheetId="5" r:id="rId11"/>
    <sheet name="WhyUs" sheetId="6" r:id="rId12"/>
    <sheet name="MembersList" sheetId="8" r:id="rId13"/>
    <sheet name="MembersList (2)" sheetId="17" r:id="rId14"/>
    <sheet name="MedicalSpecialities" sheetId="9" r:id="rId15"/>
    <sheet name="Procedures" sheetId="12" r:id="rId1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3" i="3" l="1"/>
  <c r="F23" i="3"/>
  <c r="E24" i="3"/>
  <c r="F24" i="3"/>
  <c r="E25" i="3"/>
  <c r="F25" i="3"/>
  <c r="E26" i="3"/>
  <c r="F26" i="3"/>
  <c r="E27" i="3"/>
  <c r="F27" i="3"/>
  <c r="F22" i="3"/>
  <c r="E22" i="3"/>
  <c r="F28" i="3"/>
  <c r="E21" i="3"/>
  <c r="F21" i="3" s="1"/>
  <c r="F19" i="3"/>
  <c r="F13" i="3"/>
  <c r="E19" i="3"/>
  <c r="E13" i="3"/>
  <c r="E29" i="3"/>
  <c r="F29" i="3"/>
  <c r="E30" i="3"/>
  <c r="F30" i="3"/>
  <c r="E31" i="3"/>
  <c r="F31" i="3"/>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54" i="3"/>
  <c r="F54" i="3"/>
  <c r="E55" i="3"/>
  <c r="F55" i="3"/>
  <c r="E56" i="3"/>
  <c r="F56" i="3"/>
  <c r="E57" i="3"/>
  <c r="F57" i="3"/>
  <c r="E58" i="3"/>
  <c r="F58" i="3"/>
  <c r="E59" i="3"/>
  <c r="F59" i="3"/>
  <c r="E60" i="3"/>
  <c r="F60" i="3"/>
  <c r="E61" i="3"/>
  <c r="F61" i="3"/>
  <c r="E62" i="3"/>
  <c r="F62" i="3"/>
  <c r="C53" i="3" l="1"/>
  <c r="E16" i="18"/>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C10" i="3"/>
  <c r="C11" i="3"/>
  <c r="C9" i="3"/>
  <c r="C12" i="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E1" i="3" s="1"/>
  <c r="N4" i="1"/>
  <c r="N2" i="1" s="1"/>
  <c r="M4" i="1"/>
  <c r="O4" i="1"/>
  <c r="O2" i="1" s="1"/>
  <c r="G12" i="3"/>
  <c r="F12" i="3"/>
  <c r="G9" i="3"/>
  <c r="F9" i="3"/>
  <c r="G11" i="3"/>
  <c r="F11" i="3"/>
  <c r="F1" i="3" l="1"/>
  <c r="G1" i="3"/>
</calcChain>
</file>

<file path=xl/sharedStrings.xml><?xml version="1.0" encoding="utf-8"?>
<sst xmlns="http://schemas.openxmlformats.org/spreadsheetml/2006/main" count="1539" uniqueCount="914">
  <si>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</si>
  <si>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</si>
  <si>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</si>
  <si>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</si>
  <si>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</si>
  <si>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</si>
  <si>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</si>
  <si>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</si>
  <si>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</si>
  <si>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</si>
  <si>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</si>
  <si>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</si>
  <si>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</si>
  <si>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</si>
  <si>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</si>
  <si>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</si>
  <si>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</si>
  <si>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</si>
  <si>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</si>
  <si>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</si>
  <si>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</si>
  <si>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</si>
  <si>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</si>
  <si>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</si>
  <si>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</si>
  <si>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</si>
  <si>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paquetes</t>
  </si>
  <si>
    <t>Contamos solo con los mejores y más calificados médicos de la región Lagunera en México.</t>
  </si>
  <si>
    <t>We have only the best and most qualified doctors in the Lagunera region in Mexico.</t>
  </si>
  <si>
    <t>Laguna Medical Center</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</si>
  <si>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</si>
  <si>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</si>
  <si>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</si>
  <si>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</si>
  <si>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</si>
  <si>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</si>
  <si>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</si>
  <si>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</si>
  <si>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</si>
  <si>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</si>
  <si>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</si>
  <si>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</si>
  <si>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</si>
  <si>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</si>
  <si>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</si>
  <si>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</si>
  <si>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</si>
  <si>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</si>
  <si>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</si>
  <si>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</si>
  <si>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</si>
  <si>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</si>
  <si>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</si>
  <si>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</si>
  <si>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</si>
  <si>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</si>
  <si>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</si>
  <si>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</si>
  <si>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</si>
  <si>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</si>
  <si>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</si>
  <si>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</si>
  <si>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</si>
  <si>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</si>
  <si>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</si>
  <si>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</si>
  <si>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</si>
  <si>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</si>
  <si>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</si>
  <si>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</si>
  <si>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</si>
  <si>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</si>
  <si>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</si>
  <si>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</si>
  <si>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</si>
  <si>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Entre a nuestra plataforma para crear su perfil personalizado en el cual podrá conocer nuestros precios, pedir información sobre alguna cirugía, dar seguimiento a su tratamiento o ponerse en contacto con alguien de nuestro equipo para que lo apoye.</t>
  </si>
  <si>
    <t>Text_002</t>
  </si>
  <si>
    <t>Ir a la plataforma</t>
  </si>
  <si>
    <t>Button_002</t>
  </si>
  <si>
    <t>Especialidades médicas</t>
  </si>
  <si>
    <t>Estas son las especialidades médicas que forman parte de Laguna Medical Center.</t>
  </si>
  <si>
    <t>Head_003</t>
  </si>
  <si>
    <t>Text_003</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</si>
  <si>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</si>
  <si>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</si>
  <si>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</si>
  <si>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</si>
  <si>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Enter our platform to create your personalized profile in which you can know our prices, ask for information about any surgery, follow up on your treatment or contact someone from our team to support it.</t>
  </si>
  <si>
    <t>Go to the platform</t>
  </si>
  <si>
    <t>Medical specialties</t>
  </si>
  <si>
    <t>These are the medical specialties that are part of Laguna Medical Center.</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</si>
  <si>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</si>
  <si>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</si>
  <si>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</si>
  <si>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</si>
  <si>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</si>
  <si>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</si>
  <si>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</si>
  <si>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</si>
  <si>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</si>
  <si>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</si>
  <si>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</si>
  <si>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</si>
  <si>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</si>
  <si>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</si>
  <si>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</si>
  <si>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</si>
  <si>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</si>
  <si>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</si>
  <si>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</si>
  <si>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</si>
  <si>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</si>
  <si>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</si>
  <si>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</si>
  <si>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</si>
  <si>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</si>
  <si>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</si>
  <si>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</si>
  <si>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</si>
  <si>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</si>
  <si>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</si>
  <si>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</si>
  <si>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</si>
  <si>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</si>
  <si>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</si>
  <si>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</si>
  <si>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</si>
  <si>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</si>
  <si>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</si>
  <si>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</si>
  <si>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</si>
  <si>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</si>
  <si>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</si>
  <si>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</si>
  <si>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</si>
  <si>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</si>
  <si>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</si>
  <si>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</si>
  <si>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</si>
  <si>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</si>
  <si>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</si>
  <si>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</si>
  <si>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</si>
  <si>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</si>
  <si>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</si>
  <si>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</si>
  <si>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</si>
  <si>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</si>
  <si>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</si>
  <si>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</si>
  <si>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</si>
  <si>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</si>
  <si>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</si>
  <si>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</si>
  <si>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</si>
  <si>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</si>
  <si>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</si>
  <si>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</si>
  <si>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</si>
  <si>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</si>
  <si>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</si>
  <si>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</si>
  <si>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</si>
  <si>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</si>
  <si>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</si>
  <si>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</si>
  <si>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</si>
  <si>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</si>
  <si>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</si>
  <si>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</si>
  <si>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</si>
  <si>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</si>
  <si>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</si>
  <si>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</si>
  <si>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</si>
  <si>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</si>
  <si>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</si>
  <si>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</si>
  <si>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</si>
  <si>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</si>
  <si>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</si>
  <si>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</si>
  <si>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</si>
  <si>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</si>
  <si>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</si>
  <si>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</si>
  <si>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</si>
  <si>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</si>
  <si>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</si>
  <si>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</si>
  <si>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</si>
  <si>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</si>
  <si>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</si>
  <si>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</si>
  <si>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</si>
  <si>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</si>
  <si>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</si>
  <si>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</si>
  <si>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</si>
  <si>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</si>
  <si>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</si>
  <si>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</si>
  <si>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</si>
  <si>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</si>
  <si>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</si>
  <si>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</si>
  <si>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</si>
  <si>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</si>
  <si>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</si>
  <si>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</si>
  <si>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</si>
  <si>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</si>
  <si>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</si>
  <si>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</si>
  <si>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</si>
  <si>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</si>
  <si>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</si>
  <si>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</si>
  <si>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</si>
  <si>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</si>
  <si>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</si>
  <si>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</si>
  <si>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</si>
  <si>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</si>
  <si>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</si>
  <si>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</si>
  <si>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</si>
  <si>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</si>
  <si>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</si>
  <si>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</si>
  <si>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</si>
  <si>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</si>
  <si>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</si>
  <si>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</si>
  <si>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</si>
  <si>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</si>
  <si>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</si>
  <si>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</si>
  <si>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</si>
  <si>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</si>
  <si>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</si>
  <si>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</si>
  <si>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</si>
  <si>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</si>
  <si>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</si>
  <si>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</si>
  <si>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</si>
  <si>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</si>
  <si>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</si>
  <si>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</si>
  <si>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</si>
  <si>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</si>
  <si>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</si>
  <si>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</si>
  <si>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</si>
  <si>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</si>
  <si>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</si>
  <si>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</si>
  <si>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</si>
  <si>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</si>
  <si>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</si>
  <si>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</si>
  <si>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</si>
  <si>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</si>
  <si>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</si>
  <si>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</si>
  <si>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</si>
  <si>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</si>
  <si>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</si>
  <si>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</si>
  <si>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</si>
  <si>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</si>
  <si>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</si>
  <si>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</si>
  <si>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</si>
  <si>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LastHead</t>
  </si>
  <si>
    <t>LastText</t>
  </si>
  <si>
    <t>Ready to Visit?</t>
  </si>
  <si>
    <t>Listo para visitar?</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</si>
  <si>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</si>
  <si>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</si>
  <si>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</si>
  <si>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</si>
  <si>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</si>
  <si>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</si>
  <si>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</si>
  <si>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</si>
  <si>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</si>
  <si>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</si>
  <si>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</si>
  <si>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</si>
  <si>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</si>
  <si>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</si>
  <si>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</si>
  <si>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</si>
  <si>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</si>
  <si>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</si>
  <si>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</si>
  <si>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</si>
  <si>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</si>
  <si>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</si>
  <si>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</si>
  <si>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</si>
  <si>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</si>
  <si>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</si>
  <si>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</si>
  <si>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</si>
  <si>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</si>
  <si>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</si>
  <si>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</si>
  <si>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</si>
  <si>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</si>
  <si>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</si>
  <si>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</si>
  <si>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</si>
  <si>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</si>
  <si>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</si>
  <si>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</si>
  <si>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</si>
  <si>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</si>
  <si>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</si>
  <si>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</si>
  <si>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</si>
  <si>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</si>
  <si>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</si>
  <si>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</si>
  <si>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</si>
  <si>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</si>
  <si>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</si>
  <si>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</si>
  <si>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</si>
  <si>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</si>
  <si>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</si>
  <si>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</si>
  <si>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</si>
  <si>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</si>
  <si>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</si>
  <si>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</si>
  <si>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</si>
  <si>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</si>
  <si>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</si>
  <si>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</si>
  <si>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</si>
  <si>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</si>
  <si>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</si>
  <si>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</si>
  <si>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</si>
  <si>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</si>
  <si>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</si>
  <si>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</si>
  <si>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</si>
  <si>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</si>
  <si>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</si>
  <si>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</si>
  <si>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</si>
  <si>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</si>
  <si>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</si>
  <si>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</si>
  <si>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</si>
  <si>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</si>
  <si>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</si>
  <si>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</si>
  <si>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</si>
  <si>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</si>
  <si>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</si>
  <si>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</si>
  <si>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</si>
  <si>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</si>
  <si>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</si>
  <si>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</si>
  <si>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</si>
  <si>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</si>
  <si>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</si>
  <si>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</si>
  <si>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</si>
  <si>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</si>
  <si>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</si>
  <si>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</si>
  <si>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</si>
  <si>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</si>
  <si>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</si>
  <si>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</si>
  <si>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</si>
  <si>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</si>
  <si>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</si>
  <si>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</si>
  <si>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</si>
  <si>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</si>
  <si>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</si>
  <si>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</si>
  <si>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</si>
  <si>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</si>
  <si>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</si>
  <si>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</si>
  <si>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</si>
  <si>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</si>
  <si>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</si>
  <si>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</si>
  <si>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</si>
  <si>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</si>
  <si>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</si>
  <si>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</si>
  <si>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</si>
  <si>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</si>
  <si>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</si>
  <si>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</si>
  <si>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</si>
  <si>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</si>
  <si>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</si>
  <si>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</si>
  <si>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</si>
  <si>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</si>
  <si>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</si>
  <si>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</si>
  <si>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</si>
  <si>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</si>
  <si>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</si>
  <si>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</si>
  <si>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</si>
  <si>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</si>
  <si>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</si>
  <si>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</si>
  <si>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</si>
  <si>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</si>
  <si>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</si>
  <si>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</si>
  <si>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</si>
  <si>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</si>
  <si>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</si>
  <si>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</si>
  <si>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</si>
  <si>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</si>
  <si>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</si>
  <si>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</si>
  <si>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</si>
  <si>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</si>
  <si>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</si>
  <si>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</si>
  <si>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</si>
  <si>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</si>
  <si>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</si>
  <si>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</si>
  <si>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</si>
  <si>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</si>
  <si>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</si>
  <si>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</si>
  <si>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</si>
  <si>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</si>
  <si>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</si>
  <si>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</si>
  <si>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</si>
  <si>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</si>
  <si>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</si>
  <si>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</si>
  <si>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</si>
  <si>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</si>
  <si>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</si>
  <si>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</si>
  <si>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</si>
  <si>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</si>
  <si>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</si>
  <si>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</si>
  <si>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</si>
  <si>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</si>
  <si>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</si>
  <si>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</si>
  <si>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</si>
  <si>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</si>
  <si>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</si>
  <si>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</si>
  <si>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</si>
  <si>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</si>
  <si>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</si>
  <si>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</si>
  <si>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</si>
  <si>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</si>
  <si>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</si>
  <si>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</si>
  <si>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</si>
  <si>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</si>
  <si>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</si>
  <si>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</si>
  <si>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</si>
  <si>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</si>
  <si>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</si>
  <si>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</si>
  <si>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</si>
  <si>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</si>
  <si>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</si>
  <si>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</si>
  <si>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</si>
  <si>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</si>
  <si>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</si>
  <si>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</si>
  <si>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</si>
  <si>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</si>
  <si>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</si>
  <si>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</si>
  <si>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</si>
  <si>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</si>
  <si>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</si>
  <si>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</si>
  <si>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</si>
  <si>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</si>
  <si>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</si>
  <si>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</si>
  <si>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</si>
  <si>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</si>
  <si>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</si>
  <si>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</si>
  <si>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</si>
  <si>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</si>
  <si>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</si>
  <si>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</si>
  <si>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</si>
  <si>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</si>
  <si>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</si>
  <si>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</si>
  <si>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</si>
  <si>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</si>
  <si>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</si>
  <si>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</si>
  <si>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</si>
  <si>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</si>
  <si>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</si>
  <si>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</si>
  <si>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</si>
  <si>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</si>
  <si>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</si>
  <si>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</si>
  <si>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</si>
  <si>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</si>
  <si>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</si>
  <si>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</si>
  <si>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</si>
  <si>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</si>
  <si>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</si>
  <si>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</si>
  <si>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</si>
  <si>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</si>
  <si>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</si>
  <si>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</si>
  <si>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</si>
  <si>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</si>
  <si>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</si>
  <si>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</si>
  <si>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</si>
  <si>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</si>
  <si>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</si>
  <si>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</si>
  <si>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</si>
  <si>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</si>
  <si>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</si>
  <si>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</si>
  <si>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</si>
  <si>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</si>
  <si>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</si>
  <si>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</si>
  <si>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</si>
  <si>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</si>
  <si>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</si>
  <si>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</si>
  <si>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</si>
  <si>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</si>
  <si>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</si>
  <si>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</si>
  <si>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</si>
  <si>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</si>
  <si>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</si>
  <si>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</si>
  <si>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</si>
  <si>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</si>
  <si>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</si>
  <si>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</si>
  <si>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</si>
  <si>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</si>
  <si>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</si>
  <si>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</si>
  <si>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</si>
  <si>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</si>
  <si>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</si>
  <si>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</si>
  <si>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</si>
  <si>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</si>
  <si>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</si>
  <si>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</si>
  <si>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</si>
  <si>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</si>
  <si>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</si>
  <si>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</si>
  <si>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</si>
  <si>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</si>
  <si>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</si>
  <si>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</si>
  <si>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</si>
  <si>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</si>
  <si>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</si>
  <si>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</si>
  <si>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</si>
  <si>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</si>
  <si>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</si>
  <si>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</si>
  <si>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</si>
  <si>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</si>
  <si>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</si>
  <si>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</si>
  <si>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</si>
  <si>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</si>
  <si>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</si>
  <si>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</si>
  <si>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</si>
  <si>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</si>
  <si>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</si>
  <si>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</si>
  <si>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</si>
  <si>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</si>
  <si>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</si>
  <si>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</si>
  <si>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</si>
  <si>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</si>
  <si>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</si>
  <si>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</si>
  <si>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</si>
  <si>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</si>
  <si>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</si>
  <si>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</si>
  <si>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</si>
  <si>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</si>
  <si>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</si>
  <si>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</si>
  <si>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</si>
  <si>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</si>
  <si>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</si>
  <si>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</si>
  <si>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</si>
  <si>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</si>
  <si>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</si>
  <si>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</si>
  <si>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</si>
  <si>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</si>
  <si>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</si>
  <si>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</si>
  <si>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</si>
  <si>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</si>
  <si>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</si>
  <si>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</si>
  <si>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</si>
  <si>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</si>
  <si>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</si>
  <si>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</si>
  <si>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</si>
  <si>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</si>
  <si>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</si>
  <si>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</si>
  <si>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</si>
  <si>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</si>
  <si>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</si>
  <si>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</si>
  <si>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</si>
  <si>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</si>
  <si>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</si>
  <si>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</si>
  <si>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</si>
  <si>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</si>
  <si>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</si>
  <si>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</si>
  <si>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</si>
  <si>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</si>
  <si>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</si>
  <si>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</si>
  <si>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</si>
  <si>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</si>
  <si>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</si>
  <si>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</si>
  <si>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</si>
  <si>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</si>
  <si>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</si>
  <si>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</si>
  <si>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</si>
  <si>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</si>
  <si>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</si>
  <si>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</si>
  <si>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</si>
  <si>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</si>
  <si>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</si>
  <si>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</si>
  <si>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</si>
  <si>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</si>
  <si>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</si>
  <si>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</si>
  <si>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</si>
  <si>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</si>
  <si>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</si>
  <si>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</si>
  <si>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</si>
  <si>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</si>
  <si>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</si>
  <si>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</si>
  <si>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</si>
  <si>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</si>
  <si>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</si>
  <si>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</si>
  <si>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</si>
  <si>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</si>
  <si>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</si>
  <si>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</si>
  <si>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</si>
  <si>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</si>
  <si>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</si>
  <si>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</si>
  <si>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</si>
  <si>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</si>
  <si>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</si>
  <si>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</si>
  <si>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</si>
  <si>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</si>
  <si>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</si>
  <si>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</si>
  <si>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</si>
  <si>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</si>
  <si>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</si>
  <si>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</si>
  <si>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</si>
  <si>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</si>
  <si>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</si>
  <si>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</si>
  <si>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</si>
  <si>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</si>
  <si>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</si>
  <si>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</si>
  <si>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</si>
  <si>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</si>
  <si>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</si>
  <si>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</si>
  <si>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</si>
  <si>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</si>
  <si>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</si>
  <si>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</si>
  <si>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</si>
  <si>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</si>
  <si>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</si>
  <si>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</si>
  <si>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</si>
  <si>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</si>
  <si>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</si>
  <si>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</si>
  <si>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</si>
  <si>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</si>
  <si>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</si>
  <si>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</si>
  <si>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</si>
  <si>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Start your session on our platform to proceed</t>
  </si>
  <si>
    <t>Comienza tu sesión en nuestra plataforma para proceder.</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</si>
  <si>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</si>
  <si>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</si>
  <si>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</si>
  <si>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</si>
  <si>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</si>
  <si>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</si>
  <si>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</si>
  <si>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</si>
  <si>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</si>
  <si>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</si>
  <si>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</si>
  <si>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</si>
  <si>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</si>
  <si>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</si>
  <si>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</si>
  <si>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</si>
  <si>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</si>
  <si>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</si>
  <si>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</si>
  <si>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</si>
  <si>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</si>
  <si>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</si>
  <si>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</si>
  <si>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</si>
  <si>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</si>
  <si>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</si>
  <si>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</si>
  <si>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</si>
  <si>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</si>
  <si>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</si>
  <si>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</si>
  <si>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</si>
  <si>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</si>
  <si>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</si>
  <si>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</si>
  <si>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</si>
  <si>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</si>
  <si>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</si>
  <si>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</si>
  <si>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</si>
  <si>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</si>
  <si>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</si>
  <si>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</si>
  <si>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</si>
  <si>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</si>
  <si>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</si>
  <si>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</si>
  <si>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</si>
  <si>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</si>
  <si>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</si>
  <si>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</si>
  <si>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</si>
  <si>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</si>
  <si>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</si>
  <si>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</si>
  <si>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</si>
  <si>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</si>
  <si>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</si>
  <si>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</si>
  <si>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</si>
  <si>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</si>
  <si>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</si>
  <si>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</si>
  <si>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</si>
  <si>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</si>
  <si>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</si>
  <si>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</si>
  <si>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</si>
  <si>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Location and contact</t>
  </si>
  <si>
    <t>Phone</t>
  </si>
  <si>
    <t>phone</t>
  </si>
  <si>
    <t>Ubicación y contacto</t>
  </si>
  <si>
    <t>Teléfono</t>
  </si>
  <si>
    <t>locandcont</t>
  </si>
  <si>
    <t>platform_message</t>
  </si>
  <si>
    <t>platform_quotations</t>
  </si>
  <si>
    <t>platform_treatments</t>
  </si>
  <si>
    <t>platform_payments</t>
  </si>
  <si>
    <t>Messages</t>
  </si>
  <si>
    <t>Quotations</t>
  </si>
  <si>
    <t>Payments</t>
  </si>
  <si>
    <t>Mensajes</t>
  </si>
  <si>
    <t>Cotizaciones</t>
  </si>
  <si>
    <t>Pagos</t>
  </si>
  <si>
    <t>Procedures &amp; Treatments</t>
  </si>
  <si>
    <t>Procedimientos y tratamientos</t>
  </si>
  <si>
    <t>Latest news</t>
  </si>
  <si>
    <t>News &amp; Press Releases</t>
  </si>
  <si>
    <t>Health Care Professional News</t>
  </si>
  <si>
    <t>Events &amp; Conferences</t>
  </si>
  <si>
    <t>news_000</t>
  </si>
  <si>
    <t>news_001</t>
  </si>
  <si>
    <t>news_002</t>
  </si>
  <si>
    <t>about_000</t>
  </si>
  <si>
    <t>news_003</t>
  </si>
  <si>
    <t>About</t>
  </si>
  <si>
    <t>Careers</t>
  </si>
  <si>
    <t>Medical facilities</t>
  </si>
  <si>
    <t>Boarding and dining</t>
  </si>
  <si>
    <t>about_001</t>
  </si>
  <si>
    <t>about_002</t>
  </si>
  <si>
    <t>about_003</t>
  </si>
  <si>
    <t>about_004</t>
  </si>
  <si>
    <t>about_005</t>
  </si>
  <si>
    <t>Últimas noticias</t>
  </si>
  <si>
    <t>Noticias y comunicados de prensa</t>
  </si>
  <si>
    <t>Noticias de profesionales de la salud</t>
  </si>
  <si>
    <t>Eventos y Conferencias</t>
  </si>
  <si>
    <t>Acerca de</t>
  </si>
  <si>
    <t>Nuestra historia</t>
  </si>
  <si>
    <t>Instalaciones medicas</t>
  </si>
  <si>
    <t>Embarque y comida</t>
  </si>
  <si>
    <t>Carreras profesionales</t>
  </si>
  <si>
    <t>Our history</t>
  </si>
  <si>
    <t>copy</t>
  </si>
  <si>
    <t>Designed &amp; Developed by</t>
  </si>
  <si>
    <t>designedby</t>
  </si>
  <si>
    <t>Diseñado y desarrollado por</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</si>
  <si>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</si>
  <si>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</si>
  <si>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</si>
  <si>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</si>
  <si>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</si>
  <si>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</si>
  <si>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</si>
  <si>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</si>
  <si>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</si>
  <si>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</si>
  <si>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</si>
  <si>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</si>
  <si>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</si>
  <si>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</si>
  <si>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</si>
  <si>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</si>
  <si>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nav_home</t>
  </si>
  <si>
    <t>nav_features</t>
  </si>
  <si>
    <t>nav_work</t>
  </si>
  <si>
    <t>nav_pricing</t>
  </si>
  <si>
    <t>nav_clients</t>
  </si>
  <si>
    <t>nav_contact</t>
  </si>
  <si>
    <t>Home</t>
  </si>
  <si>
    <t>Features</t>
  </si>
  <si>
    <t>Clients</t>
  </si>
  <si>
    <t>Pricing</t>
  </si>
  <si>
    <t>Contact</t>
  </si>
  <si>
    <t>Work</t>
  </si>
  <si>
    <t>Hogar</t>
  </si>
  <si>
    <t>Trabajo</t>
  </si>
  <si>
    <t>Caracteristicas</t>
  </si>
  <si>
    <t>Clientes</t>
  </si>
  <si>
    <t>Precios</t>
  </si>
  <si>
    <t>Contacto</t>
  </si>
  <si>
    <t>{"Local":true, "URL":"w3css/w3-theme-teal.css"},</t>
  </si>
  <si>
    <t>{"Local":true, "URL":"fa/css/all.min.css"}</t>
  </si>
  <si>
    <t>{"Local":true, "URL":"../css/w3css-ext.min.css"},</t>
  </si>
  <si>
    <t>{"Local":true, "URL":"../css/index.min.css"},</t>
  </si>
  <si>
    <t>{"Local":true, "URL":"../css/fonts/u57c.min.css"},</t>
  </si>
  <si>
    <t>{"Local":true, "URL":"jquery/jquery.slim.min.js"},</t>
  </si>
  <si>
    <t>{"Local":true, "URL":"../script-index.min.js"}</t>
  </si>
  <si>
    <t>Anchors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</si>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</sst>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6">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6" sqref="P16"/>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62"/>
  <sheetViews>
    <sheetView tabSelected="1" topLeftCell="C7" workbookViewId="0">
      <selection activeCell="E22" sqref="E22:F27"/>
    </sheetView>
  </sheetViews>
  <sheetFormatPr defaultRowHeight="14.4" x14ac:dyDescent="0.3"/>
  <cols>
    <col min="1" max="1" width="25.109375" customWidth="1"/>
  </cols>
  <sheetData>
    <row r="1" spans="1:7" x14ac:dyDescent="0.3">
      <c r="A1" t="s">
        <v>3</v>
      </c>
      <c r="B1" t="s">
        <v>0</v>
      </c>
      <c r="C1" t="s">
        <v>1</v>
      </c>
      <c r="D1" t="s">
        <v>2</v>
      </c>
      <c r="E1" t="str">
        <f ca="1">"{"&amp;MainSlider!M2&amp;MainHighlights!M2&amp;WhyUs!M2&amp;MembersList!M2&amp;MedicalSpecialities!M2&amp;_xlfn.CONCAT(E2:E511)&amp;"}"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system.","button":""}],"title":"Uyamak","description":"We have only the best and most qualified doctors in the Lagunera region in Mexico.","keywords":["Medical tourism","laguna","torreon","mexico","packages"],"author":"Suresh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"URL":"jquery/jquery.slim.min.js"},{"Local":true, "URL":"../script-index.min.js"}],"Anchors":[{"id":"nav_home","value":"Home"},{"id":"nav_work","value":"Work"},{"id":"nav_features","value":"Features"},{"id":"nav_clients","value":"Clients"},{"id":"nav_pricing","value":"Pricing"},{"id":"nav_contact","value":"Contact"}],"Text_002":"Enter our platform to create your personalized profile in which you can know our prices, ask for information about any surgery, follow up on your treatment or contact someone from our team to support it.","Button_002":"Go to the platform","Head_003":"Medical specialties","Text_003":"These are the medical specialties that are part of Laguna Medical Center.","LastHead":"Ready to Visit?","LastText":"Start your session on our platform to proceed","locandcont":"Location and contact","email":"Email","phone":"Phone","platform":"Platform","platform_message":"Messages","platform_quotations":"Quotations","platform_treatments":"Procedures &amp; Treatments","platform_payments":"Payments","news_000":"Latest news","news_001":"News &amp; Press Releases","news_002":"Health Care Professional News","news_003":"Events &amp; Conferences","about_000":"About","about_001":"Our history","about_002":"Members","about_003":"Medical facilities","about_004":"Boarding and dining","about_005":"Careers","copy":"Laguna Medical Center","designedby":"Designed &amp; Developed by"}</v>
      </c>
      <c r="F1" t="str">
        <f ca="1">"{"&amp;MainSlider!N2&amp;MainHighlights!N2&amp;WhyUs!N2&amp;MembersList!N2&amp;MedicalSpecialities!N2&amp;_xlfn.CONCAT(F2:F511)&amp;"}"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masculino.","button":""}],"title":"Uyamak","description":"Contamos solo con los mejores y más calificados médicos de la región Lagunera en México.","keywords":["Turismo médico","laguna","torreon","mexico","paquetes"],"author":"Suresh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"URL":"jquery/jquery.slim.min.js"},{"Local":true, "URL":"../script-index.min.js"}],"Anchors":[{"id":"nav_home","value":"Hogar"},{"id":"nav_work","value":"Trabajo"},{"id":"nav_features","value":"Caracteristicas"},{"id":"nav_clients","value":"Clientes"},{"id":"nav_pricing","value":"Precios"},{"id":"nav_contact","value":"Contacto"}],"Text_002":"Entre a nuestra plataforma para crear su perfil personalizado en el cual podrá conocer nuestros precios, pedir información sobre alguna cirugía, dar seguimiento a su tratamiento o ponerse en contacto con alguien de nuestro equipo para que lo apoye.","Button_002":"Ir a la plataforma","Head_003":"Especialidades médicas","Text_003":"Estas son las especialidades médicas que forman parte de Laguna Medical Center.","LastHead":"Listo para visitar?","LastText":"Comienza tu sesión en nuestra plataforma para proceder.","locandcont":"Ubicación y contacto","email":"Correo electrónico","phone":"Teléfono","platform":"Plataforma","platform_message":"Mensajes","platform_quotations":"Cotizaciones","platform_treatments":"Procedimientos y tratamientos","platform_payments":"Pagos","news_000":"Últimas noticias","news_001":"Noticias y comunicados de prensa","news_002":"Noticias de profesionales de la salud","news_003":"Eventos y Conferencias","about_000":"Acerca de","about_001":"Nuestra historia","about_002":"Miembros","about_003":"Instalaciones medicas","about_004":"Embarque y comida","about_005":"Carreras profesionales","copy":"Laguna Medical Center","designedby":"Diseñado y desarrollado por"}</v>
      </c>
      <c r="G1" t="str">
        <f ca="1">"{"&amp;MainSlider!O2&amp;MainHighlights!O2&amp;WhyUs!O2&amp;MembersList!O2&amp;MedicalSpecialities!O2&amp;_xlfn.CONCAT(G2:G511)&amp;"}"</f>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title":"","description":"","keywords":["","","","",""],"author":"","publisher":"","image":"","twitter_creator":"","Text_002":"","Button_002":"","Head_003":"","Text_003":"","LastHead":"","LastText":"","locandcont":"","email":"","phone":"","platform":"","platform_message":"","platform_quotations":"","platform_treatments":"","platform_payments":"","news_000":"","news_001":"","news_002":"","news_003":"","about_000":"","about_001":"","about_002":"","about_003":"","about_004":"","about_005":"","copy":"","designedby":""}</v>
      </c>
    </row>
    <row r="2" spans="1:7" x14ac:dyDescent="0.3">
      <c r="A2" t="s">
        <v>7</v>
      </c>
      <c r="B2" t="s">
        <v>883</v>
      </c>
      <c r="C2" t="s">
        <v>883</v>
      </c>
      <c r="E2" t="str">
        <f t="shared" ref="E2:G3" si="0">CHAR(34)&amp;$A2&amp;CHAR(34)&amp;":"&amp;CHAR(34)&amp;B2&amp;CHAR(34)&amp;","</f>
        <v>"title":"Uyamak",</v>
      </c>
      <c r="F2" t="str">
        <f t="shared" si="0"/>
        <v>"title":"Uyamak",</v>
      </c>
      <c r="G2" t="str">
        <f t="shared" si="0"/>
        <v>"title":"",</v>
      </c>
    </row>
    <row r="3" spans="1:7" x14ac:dyDescent="0.3">
      <c r="A3" t="s">
        <v>9</v>
      </c>
      <c r="B3" t="s">
        <v>28</v>
      </c>
      <c r="C3" t="s">
        <v>27</v>
      </c>
      <c r="E3" t="str">
        <f t="shared" si="0"/>
        <v>"description":"We have only the best and most qualified doctors in the Lagunera region in Mexico.",</v>
      </c>
      <c r="F3" t="str">
        <f t="shared" si="0"/>
        <v>"description":"Contamos solo con los mejores y más calificados médicos de la región Lagunera en México.",</v>
      </c>
      <c r="G3" t="str">
        <f t="shared" si="0"/>
        <v>"description":"",</v>
      </c>
    </row>
    <row r="4" spans="1:7" x14ac:dyDescent="0.3">
      <c r="A4" t="s">
        <v>10</v>
      </c>
      <c r="B4" t="s">
        <v>14</v>
      </c>
      <c r="C4" t="s">
        <v>25</v>
      </c>
      <c r="E4" t="str">
        <f>CHAR(34)&amp;$A4&amp;CHAR(34)&amp;":["&amp;CHAR(34)&amp;B4&amp;CHAR(34)&amp;","</f>
        <v>"keywords":["Medical tourism",</v>
      </c>
      <c r="F4" t="str">
        <f>CHAR(34)&amp;$A4&amp;CHAR(34)&amp;":["&amp;CHAR(34)&amp;C4&amp;CHAR(34)&amp;","</f>
        <v>"keywords":["Turismo médico",</v>
      </c>
      <c r="G4" t="str">
        <f>CHAR(34)&amp;$A4&amp;CHAR(34)&amp;":["&amp;CHAR(34)&amp;D4&amp;CHAR(34)&amp;","</f>
        <v>"keywords":["",</v>
      </c>
    </row>
    <row r="5" spans="1:7" x14ac:dyDescent="0.3">
      <c r="A5" t="s">
        <v>10</v>
      </c>
      <c r="B5" t="s">
        <v>16</v>
      </c>
      <c r="C5" t="s">
        <v>16</v>
      </c>
      <c r="E5" t="str">
        <f>CHAR(34)&amp;B5&amp;CHAR(34)&amp;","</f>
        <v>"laguna",</v>
      </c>
      <c r="F5" t="str">
        <f>CHAR(34)&amp;C5&amp;CHAR(34)&amp;","</f>
        <v>"laguna",</v>
      </c>
      <c r="G5" t="str">
        <f>CHAR(34)&amp;D5&amp;CHAR(34)&amp;","</f>
        <v>"",</v>
      </c>
    </row>
    <row r="6" spans="1:7" x14ac:dyDescent="0.3">
      <c r="A6" t="s">
        <v>10</v>
      </c>
      <c r="B6" t="s">
        <v>15</v>
      </c>
      <c r="C6" t="s">
        <v>15</v>
      </c>
      <c r="E6" t="str">
        <f t="shared" ref="E6:G7" si="1">CHAR(34)&amp;B6&amp;CHAR(34)&amp;","</f>
        <v>"torreon",</v>
      </c>
      <c r="F6" t="str">
        <f t="shared" si="1"/>
        <v>"torreon",</v>
      </c>
      <c r="G6" t="str">
        <f t="shared" si="1"/>
        <v>"",</v>
      </c>
    </row>
    <row r="7" spans="1:7" x14ac:dyDescent="0.3">
      <c r="A7" t="s">
        <v>10</v>
      </c>
      <c r="B7" t="s">
        <v>17</v>
      </c>
      <c r="C7" t="s">
        <v>17</v>
      </c>
      <c r="E7" t="str">
        <f t="shared" si="1"/>
        <v>"mexico",</v>
      </c>
      <c r="F7" t="str">
        <f t="shared" si="1"/>
        <v>"mexico",</v>
      </c>
      <c r="G7" t="str">
        <f t="shared" si="1"/>
        <v>"",</v>
      </c>
    </row>
    <row r="8" spans="1:7" x14ac:dyDescent="0.3">
      <c r="A8" t="s">
        <v>10</v>
      </c>
      <c r="B8" t="s">
        <v>18</v>
      </c>
      <c r="C8" t="s">
        <v>26</v>
      </c>
      <c r="E8" t="str">
        <f>CHAR(34)&amp;B8&amp;CHAR(34)&amp;"],"</f>
        <v>"packages"],</v>
      </c>
      <c r="F8" t="str">
        <f>CHAR(34)&amp;C8&amp;CHAR(34)&amp;"],"</f>
        <v>"paquetes"],</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5" si="2">IF(ISBLANK($A9),"",CHAR(34)&amp;$A9&amp;CHAR(34)&amp;":"&amp;CHAR(34)&amp;C9&amp;CHAR(34)&amp;IF(ISBLANK($A10),"",","))</f>
        <v>"author":"Suresh Kumar Gadi",</v>
      </c>
      <c r="G9" t="str">
        <f t="shared" si="2"/>
        <v>"author":"",</v>
      </c>
    </row>
    <row r="10" spans="1:7" x14ac:dyDescent="0.3">
      <c r="A10" t="s">
        <v>12</v>
      </c>
      <c r="B10" s="3" t="s">
        <v>20</v>
      </c>
      <c r="C10" t="str">
        <f t="shared" ref="C10" si="3">IF(ISBLANK(B10),"",B10)</f>
        <v>https://plus.google.com/+SureshKumarGadi/posts</v>
      </c>
      <c r="E10" t="str">
        <f t="shared" ref="E10:G62" si="4">IF(ISBLANK($A10),"",CHAR(34)&amp;$A10&amp;CHAR(34)&amp;":"&amp;CHAR(34)&amp;B10&amp;CHAR(34)&amp;IF(ISBLANK($A11),"",","))</f>
        <v>"publisher":"https://plus.google.com/+SureshKumarGadi/posts",</v>
      </c>
      <c r="F10" t="str">
        <f t="shared" si="2"/>
        <v>"publisher":"https://plus.google.com/+SureshKumarGadi/posts",</v>
      </c>
      <c r="G10" t="str">
        <f t="shared" si="2"/>
        <v>"publisher":"",</v>
      </c>
    </row>
    <row r="11" spans="1:7" x14ac:dyDescent="0.3">
      <c r="A11" t="s">
        <v>5</v>
      </c>
      <c r="B11" s="3" t="s">
        <v>21</v>
      </c>
      <c r="C11" t="str">
        <f t="shared" ref="C11" si="5">IF(ISBLANK(B11),"",B11)</f>
        <v>https://lagunamedicalcenter.com/images/logo.jpg</v>
      </c>
      <c r="E11" t="str">
        <f t="shared" si="4"/>
        <v>"image":"https://lagunamedicalcenter.com/images/logo.jpg",</v>
      </c>
      <c r="F11" t="str">
        <f t="shared" si="2"/>
        <v>"image":"https://lagunamedicalcenter.com/images/logo.jpg",</v>
      </c>
      <c r="G11" t="str">
        <f t="shared" si="2"/>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884</v>
      </c>
      <c r="B13" s="4" t="s">
        <v>885</v>
      </c>
      <c r="C13" s="4"/>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884</v>
      </c>
      <c r="B14" s="4" t="s">
        <v>905</v>
      </c>
      <c r="C14" s="4"/>
    </row>
    <row r="15" spans="1:7" x14ac:dyDescent="0.3">
      <c r="A15" t="s">
        <v>884</v>
      </c>
      <c r="B15" s="4" t="s">
        <v>907</v>
      </c>
      <c r="C15" s="4"/>
    </row>
    <row r="16" spans="1:7" x14ac:dyDescent="0.3">
      <c r="A16" t="s">
        <v>884</v>
      </c>
      <c r="B16" s="4" t="s">
        <v>909</v>
      </c>
      <c r="C16" s="4"/>
    </row>
    <row r="17" spans="1:7" x14ac:dyDescent="0.3">
      <c r="A17" t="s">
        <v>884</v>
      </c>
      <c r="B17" s="4" t="s">
        <v>908</v>
      </c>
      <c r="C17" s="4"/>
    </row>
    <row r="18" spans="1:7" x14ac:dyDescent="0.3">
      <c r="A18" t="s">
        <v>884</v>
      </c>
      <c r="B18" s="4" t="s">
        <v>906</v>
      </c>
      <c r="C18" s="4"/>
    </row>
    <row r="19" spans="1:7" x14ac:dyDescent="0.3">
      <c r="A19" t="s">
        <v>886</v>
      </c>
      <c r="B19" s="4" t="s">
        <v>910</v>
      </c>
      <c r="E19" t="str">
        <f>IF(ISBLANK($A19),"",CHAR(34)&amp;$A19&amp;CHAR(34)&amp;":"&amp;"["&amp;_xlfn.CONCAT($B$19:$B$20)&amp;"],")</f>
        <v>"JSPlugInEnd":[{"Local":true, "URL":"jquery/jquery.slim.min.js"},{"Local":true, "URL":"../script-index.min.js"}],</v>
      </c>
      <c r="F19" t="str">
        <f>E19</f>
        <v>"JSPlugInEnd":[{"Local":true, "URL":"jquery/jquery.slim.min.js"},{"Local":true, "URL":"../script-index.min.js"}],</v>
      </c>
    </row>
    <row r="20" spans="1:7" x14ac:dyDescent="0.3">
      <c r="A20" t="s">
        <v>886</v>
      </c>
      <c r="B20" s="4" t="s">
        <v>911</v>
      </c>
    </row>
    <row r="21" spans="1:7" x14ac:dyDescent="0.3">
      <c r="A21" t="s">
        <v>912</v>
      </c>
      <c r="B21" s="4"/>
      <c r="E21" t="str">
        <f>CHAR(34)&amp;A21&amp;CHAR(34)&amp;":"&amp;"["</f>
        <v>"Anchors":[</v>
      </c>
      <c r="F21" t="str">
        <f>E21</f>
        <v>"Anchors":[</v>
      </c>
    </row>
    <row r="22" spans="1:7" x14ac:dyDescent="0.3">
      <c r="A22" t="s">
        <v>887</v>
      </c>
      <c r="B22" s="4" t="s">
        <v>893</v>
      </c>
      <c r="C22" t="s">
        <v>899</v>
      </c>
      <c r="E22" t="str">
        <f>"{"&amp;CHAR(34)&amp;"id"&amp;CHAR(34)&amp;":"&amp;CHAR(34)&amp;$A22&amp;CHAR(34)&amp;","&amp;CHAR(34)&amp;"value"&amp;CHAR(34)&amp;":"&amp;CHAR(34)&amp;B22&amp;CHAR(34)&amp;"}"&amp;IF(ISBLANK(A23),"",",")</f>
        <v>{"id":"nav_home","value":"Home"},</v>
      </c>
      <c r="F22" t="str">
        <f>"{"&amp;CHAR(34)&amp;"id"&amp;CHAR(34)&amp;":"&amp;CHAR(34)&amp;$A22&amp;CHAR(34)&amp;","&amp;CHAR(34)&amp;"value"&amp;CHAR(34)&amp;":"&amp;CHAR(34)&amp;C22&amp;CHAR(34)&amp;"}"&amp;IF(ISBLANK(B23),"",",")</f>
        <v>{"id":"nav_home","value":"Hogar"},</v>
      </c>
    </row>
    <row r="23" spans="1:7" x14ac:dyDescent="0.3">
      <c r="A23" t="s">
        <v>889</v>
      </c>
      <c r="B23" s="4" t="s">
        <v>898</v>
      </c>
      <c r="C23" t="s">
        <v>900</v>
      </c>
      <c r="E23" t="str">
        <f t="shared" ref="E23:E27" si="6">"{"&amp;CHAR(34)&amp;"id"&amp;CHAR(34)&amp;":"&amp;CHAR(34)&amp;$A23&amp;CHAR(34)&amp;","&amp;CHAR(34)&amp;"value"&amp;CHAR(34)&amp;":"&amp;CHAR(34)&amp;B23&amp;CHAR(34)&amp;"}"&amp;IF(ISBLANK(A24),"",",")</f>
        <v>{"id":"nav_work","value":"Work"},</v>
      </c>
      <c r="F23" t="str">
        <f t="shared" ref="F23:F27" si="7">"{"&amp;CHAR(34)&amp;"id"&amp;CHAR(34)&amp;":"&amp;CHAR(34)&amp;$A23&amp;CHAR(34)&amp;","&amp;CHAR(34)&amp;"value"&amp;CHAR(34)&amp;":"&amp;CHAR(34)&amp;C23&amp;CHAR(34)&amp;"}"&amp;IF(ISBLANK(B24),"",",")</f>
        <v>{"id":"nav_work","value":"Trabajo"},</v>
      </c>
    </row>
    <row r="24" spans="1:7" x14ac:dyDescent="0.3">
      <c r="A24" t="s">
        <v>888</v>
      </c>
      <c r="B24" s="4" t="s">
        <v>894</v>
      </c>
      <c r="C24" t="s">
        <v>901</v>
      </c>
      <c r="E24" t="str">
        <f t="shared" si="6"/>
        <v>{"id":"nav_features","value":"Features"},</v>
      </c>
      <c r="F24" t="str">
        <f t="shared" si="7"/>
        <v>{"id":"nav_features","value":"Caracteristicas"},</v>
      </c>
    </row>
    <row r="25" spans="1:7" x14ac:dyDescent="0.3">
      <c r="A25" t="s">
        <v>891</v>
      </c>
      <c r="B25" s="4" t="s">
        <v>895</v>
      </c>
      <c r="C25" t="s">
        <v>902</v>
      </c>
      <c r="E25" t="str">
        <f t="shared" si="6"/>
        <v>{"id":"nav_clients","value":"Clients"},</v>
      </c>
      <c r="F25" t="str">
        <f t="shared" si="7"/>
        <v>{"id":"nav_clients","value":"Clientes"},</v>
      </c>
    </row>
    <row r="26" spans="1:7" x14ac:dyDescent="0.3">
      <c r="A26" t="s">
        <v>890</v>
      </c>
      <c r="B26" s="4" t="s">
        <v>896</v>
      </c>
      <c r="C26" t="s">
        <v>903</v>
      </c>
      <c r="E26" t="str">
        <f t="shared" si="6"/>
        <v>{"id":"nav_pricing","value":"Pricing"},</v>
      </c>
      <c r="F26" t="str">
        <f t="shared" si="7"/>
        <v>{"id":"nav_pricing","value":"Precios"},</v>
      </c>
    </row>
    <row r="27" spans="1:7" x14ac:dyDescent="0.3">
      <c r="A27" t="s">
        <v>892</v>
      </c>
      <c r="B27" s="4" t="s">
        <v>897</v>
      </c>
      <c r="C27" t="s">
        <v>904</v>
      </c>
      <c r="E27" t="str">
        <f t="shared" si="6"/>
        <v>{"id":"nav_contact","value":"Contact"}</v>
      </c>
      <c r="F27" t="str">
        <f t="shared" si="7"/>
        <v>{"id":"nav_contact","value":"Contacto"}</v>
      </c>
    </row>
    <row r="28" spans="1:7" x14ac:dyDescent="0.3">
      <c r="B28" s="4"/>
      <c r="E28" t="s">
        <v>913</v>
      </c>
      <c r="F28" t="str">
        <f>E28</f>
        <v>],</v>
      </c>
    </row>
    <row r="29" spans="1:7" x14ac:dyDescent="0.3">
      <c r="A29" t="s">
        <v>76</v>
      </c>
      <c r="B29" t="s">
        <v>87</v>
      </c>
      <c r="C29" t="s">
        <v>75</v>
      </c>
      <c r="E29" t="str">
        <f t="shared" ref="E29:E62" si="8">IF(ISBLANK($A29),"",CHAR(34)&amp;$A29&amp;CHAR(34)&amp;":"&amp;CHAR(34)&amp;B29&amp;CHAR(34)&amp;IF(ISBLANK($A30),"",","))</f>
        <v>"Text_002":"Enter our platform to create your personalized profile in which you can know our prices, ask for information about any surgery, follow up on your treatment or contact someone from our team to support it.",</v>
      </c>
      <c r="F29" t="str">
        <f t="shared" ref="F29:F62" si="9">IF(ISBLANK($A29),"",CHAR(34)&amp;$A29&amp;CHAR(34)&amp;":"&amp;CHAR(34)&amp;C29&amp;CHAR(34)&amp;IF(ISBLANK($A30),"",","))</f>
        <v>"Text_002":"Entre a nuestra plataforma para crear su perfil personalizado en el cual podrá conocer nuestros precios, pedir información sobre alguna cirugía, dar seguimiento a su tratamiento o ponerse en contacto con alguien de nuestro equipo para que lo apoye.",</v>
      </c>
      <c r="G29" t="str">
        <f t="shared" si="2"/>
        <v>"Text_002":"",</v>
      </c>
    </row>
    <row r="30" spans="1:7" x14ac:dyDescent="0.3">
      <c r="A30" t="s">
        <v>78</v>
      </c>
      <c r="B30" t="s">
        <v>88</v>
      </c>
      <c r="C30" t="s">
        <v>77</v>
      </c>
      <c r="E30" t="str">
        <f t="shared" si="8"/>
        <v>"Button_002":"Go to the platform",</v>
      </c>
      <c r="F30" t="str">
        <f t="shared" si="9"/>
        <v>"Button_002":"Ir a la plataforma",</v>
      </c>
      <c r="G30" t="str">
        <f t="shared" si="2"/>
        <v>"Button_002":"",</v>
      </c>
    </row>
    <row r="31" spans="1:7" x14ac:dyDescent="0.3">
      <c r="A31" t="s">
        <v>81</v>
      </c>
      <c r="B31" t="s">
        <v>89</v>
      </c>
      <c r="C31" t="s">
        <v>79</v>
      </c>
      <c r="E31" t="str">
        <f t="shared" si="8"/>
        <v>"Head_003":"Medical specialties",</v>
      </c>
      <c r="F31" t="str">
        <f t="shared" si="9"/>
        <v>"Head_003":"Especialidades médicas",</v>
      </c>
      <c r="G31" t="str">
        <f t="shared" si="2"/>
        <v>"Head_003":"",</v>
      </c>
    </row>
    <row r="32" spans="1:7" x14ac:dyDescent="0.3">
      <c r="A32" t="s">
        <v>82</v>
      </c>
      <c r="B32" t="s">
        <v>90</v>
      </c>
      <c r="C32" t="s">
        <v>80</v>
      </c>
      <c r="E32" t="str">
        <f t="shared" si="8"/>
        <v>"Text_003":"These are the medical specialties that are part of Laguna Medical Center.",</v>
      </c>
      <c r="F32" t="str">
        <f t="shared" si="9"/>
        <v>"Text_003":"Estas son las especialidades médicas que forman parte de Laguna Medical Center.",</v>
      </c>
      <c r="G32" t="str">
        <f t="shared" si="2"/>
        <v>"Text_003":"",</v>
      </c>
    </row>
    <row r="33" spans="1:7" x14ac:dyDescent="0.3">
      <c r="A33" t="s">
        <v>275</v>
      </c>
      <c r="B33" t="s">
        <v>277</v>
      </c>
      <c r="C33" t="s">
        <v>278</v>
      </c>
      <c r="E33" t="str">
        <f t="shared" si="8"/>
        <v>"LastHead":"Ready to Visit?",</v>
      </c>
      <c r="F33" t="str">
        <f t="shared" si="9"/>
        <v>"LastHead":"Listo para visitar?",</v>
      </c>
      <c r="G33" t="str">
        <f t="shared" si="2"/>
        <v>"LastHead":"",</v>
      </c>
    </row>
    <row r="34" spans="1:7" x14ac:dyDescent="0.3">
      <c r="A34" t="s">
        <v>276</v>
      </c>
      <c r="B34" t="s">
        <v>751</v>
      </c>
      <c r="C34" t="s">
        <v>752</v>
      </c>
      <c r="E34" t="str">
        <f t="shared" si="8"/>
        <v>"LastText":"Start your session on our platform to proceed",</v>
      </c>
      <c r="F34" t="str">
        <f t="shared" si="9"/>
        <v>"LastText":"Comienza tu sesión en nuestra plataforma para proceder.",</v>
      </c>
      <c r="G34" t="str">
        <f t="shared" si="2"/>
        <v>"LastText":"",</v>
      </c>
    </row>
    <row r="35" spans="1:7" x14ac:dyDescent="0.3">
      <c r="A35" t="s">
        <v>826</v>
      </c>
      <c r="B35" t="s">
        <v>821</v>
      </c>
      <c r="C35" t="s">
        <v>824</v>
      </c>
      <c r="E35" t="str">
        <f t="shared" si="8"/>
        <v>"locandcont":"Location and contact",</v>
      </c>
      <c r="F35" t="str">
        <f t="shared" si="9"/>
        <v>"locandcont":"Ubicación y contacto",</v>
      </c>
      <c r="G35" t="str">
        <f t="shared" si="2"/>
        <v>"locandcont":"",</v>
      </c>
    </row>
    <row r="36" spans="1:7" x14ac:dyDescent="0.3">
      <c r="A36" t="s">
        <v>719</v>
      </c>
      <c r="B36" t="s">
        <v>747</v>
      </c>
      <c r="C36" t="s">
        <v>731</v>
      </c>
      <c r="E36" t="str">
        <f t="shared" si="8"/>
        <v>"email":"Email",</v>
      </c>
      <c r="F36" t="str">
        <f t="shared" si="9"/>
        <v>"email":"Correo electrónico",</v>
      </c>
      <c r="G36" t="str">
        <f t="shared" si="4"/>
        <v>"email":"",</v>
      </c>
    </row>
    <row r="37" spans="1:7" x14ac:dyDescent="0.3">
      <c r="A37" t="s">
        <v>823</v>
      </c>
      <c r="B37" t="s">
        <v>822</v>
      </c>
      <c r="C37" t="s">
        <v>825</v>
      </c>
      <c r="E37" t="str">
        <f t="shared" si="8"/>
        <v>"phone":"Phone",</v>
      </c>
      <c r="F37" t="str">
        <f t="shared" si="9"/>
        <v>"phone":"Teléfono",</v>
      </c>
      <c r="G37" t="str">
        <f t="shared" si="4"/>
        <v>"phone":"",</v>
      </c>
    </row>
    <row r="38" spans="1:7" x14ac:dyDescent="0.3">
      <c r="A38" t="s">
        <v>791</v>
      </c>
      <c r="B38" t="s">
        <v>59</v>
      </c>
      <c r="C38" t="s">
        <v>49</v>
      </c>
      <c r="E38" t="str">
        <f t="shared" si="8"/>
        <v>"platform":"Platform",</v>
      </c>
      <c r="F38" t="str">
        <f t="shared" si="9"/>
        <v>"platform":"Plataforma",</v>
      </c>
      <c r="G38" t="str">
        <f t="shared" si="4"/>
        <v>"platform":"",</v>
      </c>
    </row>
    <row r="39" spans="1:7" x14ac:dyDescent="0.3">
      <c r="A39" t="s">
        <v>827</v>
      </c>
      <c r="B39" t="s">
        <v>831</v>
      </c>
      <c r="C39" t="s">
        <v>834</v>
      </c>
      <c r="E39" t="str">
        <f t="shared" si="8"/>
        <v>"platform_message":"Messages",</v>
      </c>
      <c r="F39" t="str">
        <f t="shared" si="9"/>
        <v>"platform_message":"Mensajes",</v>
      </c>
      <c r="G39" t="str">
        <f t="shared" si="4"/>
        <v>"platform_message":"",</v>
      </c>
    </row>
    <row r="40" spans="1:7" x14ac:dyDescent="0.3">
      <c r="A40" t="s">
        <v>828</v>
      </c>
      <c r="B40" t="s">
        <v>832</v>
      </c>
      <c r="C40" t="s">
        <v>835</v>
      </c>
      <c r="E40" t="str">
        <f t="shared" si="8"/>
        <v>"platform_quotations":"Quotations",</v>
      </c>
      <c r="F40" t="str">
        <f t="shared" si="9"/>
        <v>"platform_quotations":"Cotizaciones",</v>
      </c>
      <c r="G40" t="str">
        <f t="shared" si="4"/>
        <v>"platform_quotations":"",</v>
      </c>
    </row>
    <row r="41" spans="1:7" x14ac:dyDescent="0.3">
      <c r="A41" t="s">
        <v>829</v>
      </c>
      <c r="B41" t="s">
        <v>837</v>
      </c>
      <c r="C41" t="s">
        <v>838</v>
      </c>
      <c r="E41" t="str">
        <f t="shared" si="8"/>
        <v>"platform_treatments":"Procedures &amp; Treatments",</v>
      </c>
      <c r="F41" t="str">
        <f t="shared" si="9"/>
        <v>"platform_treatments":"Procedimientos y tratamientos",</v>
      </c>
      <c r="G41" t="str">
        <f t="shared" si="4"/>
        <v>"platform_treatments":"",</v>
      </c>
    </row>
    <row r="42" spans="1:7" x14ac:dyDescent="0.3">
      <c r="A42" t="s">
        <v>830</v>
      </c>
      <c r="B42" t="s">
        <v>833</v>
      </c>
      <c r="C42" t="s">
        <v>836</v>
      </c>
      <c r="E42" t="str">
        <f t="shared" si="8"/>
        <v>"platform_payments":"Payments",</v>
      </c>
      <c r="F42" t="str">
        <f t="shared" si="9"/>
        <v>"platform_payments":"Pagos",</v>
      </c>
      <c r="G42" t="str">
        <f t="shared" si="4"/>
        <v>"platform_payments":"",</v>
      </c>
    </row>
    <row r="43" spans="1:7" x14ac:dyDescent="0.3">
      <c r="A43" t="s">
        <v>843</v>
      </c>
      <c r="B43" t="s">
        <v>839</v>
      </c>
      <c r="C43" t="s">
        <v>857</v>
      </c>
      <c r="E43" t="str">
        <f t="shared" si="8"/>
        <v>"news_000":"Latest news",</v>
      </c>
      <c r="F43" t="str">
        <f t="shared" si="9"/>
        <v>"news_000":"Últimas noticias",</v>
      </c>
      <c r="G43" t="str">
        <f t="shared" si="4"/>
        <v>"news_000":"",</v>
      </c>
    </row>
    <row r="44" spans="1:7" x14ac:dyDescent="0.3">
      <c r="A44" t="s">
        <v>844</v>
      </c>
      <c r="B44" t="s">
        <v>840</v>
      </c>
      <c r="C44" t="s">
        <v>858</v>
      </c>
      <c r="E44" t="str">
        <f t="shared" si="8"/>
        <v>"news_001":"News &amp; Press Releases",</v>
      </c>
      <c r="F44" t="str">
        <f t="shared" si="9"/>
        <v>"news_001":"Noticias y comunicados de prensa",</v>
      </c>
      <c r="G44" t="str">
        <f t="shared" si="4"/>
        <v>"news_001":"",</v>
      </c>
    </row>
    <row r="45" spans="1:7" x14ac:dyDescent="0.3">
      <c r="A45" t="s">
        <v>845</v>
      </c>
      <c r="B45" t="s">
        <v>841</v>
      </c>
      <c r="C45" t="s">
        <v>859</v>
      </c>
      <c r="E45" t="str">
        <f t="shared" si="8"/>
        <v>"news_002":"Health Care Professional News",</v>
      </c>
      <c r="F45" t="str">
        <f t="shared" si="9"/>
        <v>"news_002":"Noticias de profesionales de la salud",</v>
      </c>
      <c r="G45" t="str">
        <f t="shared" si="4"/>
        <v>"news_002":"",</v>
      </c>
    </row>
    <row r="46" spans="1:7" x14ac:dyDescent="0.3">
      <c r="A46" t="s">
        <v>847</v>
      </c>
      <c r="B46" t="s">
        <v>842</v>
      </c>
      <c r="C46" t="s">
        <v>860</v>
      </c>
      <c r="E46" t="str">
        <f t="shared" si="8"/>
        <v>"news_003":"Events &amp; Conferences",</v>
      </c>
      <c r="F46" t="str">
        <f t="shared" si="9"/>
        <v>"news_003":"Eventos y Conferencias",</v>
      </c>
      <c r="G46" t="str">
        <f t="shared" si="4"/>
        <v>"news_003":"",</v>
      </c>
    </row>
    <row r="47" spans="1:7" x14ac:dyDescent="0.3">
      <c r="A47" t="s">
        <v>846</v>
      </c>
      <c r="B47" t="s">
        <v>848</v>
      </c>
      <c r="C47" t="s">
        <v>861</v>
      </c>
      <c r="E47" t="str">
        <f t="shared" si="8"/>
        <v>"about_000":"About",</v>
      </c>
      <c r="F47" t="str">
        <f t="shared" si="9"/>
        <v>"about_000":"Acerca de",</v>
      </c>
      <c r="G47" t="str">
        <f t="shared" si="4"/>
        <v>"about_000":"",</v>
      </c>
    </row>
    <row r="48" spans="1:7" x14ac:dyDescent="0.3">
      <c r="A48" t="s">
        <v>852</v>
      </c>
      <c r="B48" t="s">
        <v>866</v>
      </c>
      <c r="C48" t="s">
        <v>862</v>
      </c>
      <c r="E48" t="str">
        <f t="shared" si="8"/>
        <v>"about_001":"Our history",</v>
      </c>
      <c r="F48" t="str">
        <f t="shared" si="9"/>
        <v>"about_001":"Nuestra historia",</v>
      </c>
      <c r="G48" t="str">
        <f t="shared" si="4"/>
        <v>"about_001":"",</v>
      </c>
    </row>
    <row r="49" spans="1:7" x14ac:dyDescent="0.3">
      <c r="A49" t="s">
        <v>853</v>
      </c>
      <c r="B49" t="s">
        <v>100</v>
      </c>
      <c r="C49" t="s">
        <v>94</v>
      </c>
      <c r="E49" t="str">
        <f t="shared" si="8"/>
        <v>"about_002":"Members",</v>
      </c>
      <c r="F49" t="str">
        <f t="shared" si="9"/>
        <v>"about_002":"Miembros",</v>
      </c>
      <c r="G49" t="str">
        <f t="shared" si="4"/>
        <v>"about_002":"",</v>
      </c>
    </row>
    <row r="50" spans="1:7" x14ac:dyDescent="0.3">
      <c r="A50" t="s">
        <v>854</v>
      </c>
      <c r="B50" t="s">
        <v>850</v>
      </c>
      <c r="C50" t="s">
        <v>863</v>
      </c>
      <c r="E50" t="str">
        <f t="shared" si="8"/>
        <v>"about_003":"Medical facilities",</v>
      </c>
      <c r="F50" t="str">
        <f t="shared" si="9"/>
        <v>"about_003":"Instalaciones medicas",</v>
      </c>
      <c r="G50" t="str">
        <f t="shared" si="4"/>
        <v>"about_003":"",</v>
      </c>
    </row>
    <row r="51" spans="1:7" x14ac:dyDescent="0.3">
      <c r="A51" t="s">
        <v>855</v>
      </c>
      <c r="B51" t="s">
        <v>851</v>
      </c>
      <c r="C51" t="s">
        <v>864</v>
      </c>
      <c r="E51" t="str">
        <f t="shared" si="8"/>
        <v>"about_004":"Boarding and dining",</v>
      </c>
      <c r="F51" t="str">
        <f t="shared" si="9"/>
        <v>"about_004":"Embarque y comida",</v>
      </c>
      <c r="G51" t="str">
        <f t="shared" si="4"/>
        <v>"about_004":"",</v>
      </c>
    </row>
    <row r="52" spans="1:7" x14ac:dyDescent="0.3">
      <c r="A52" t="s">
        <v>856</v>
      </c>
      <c r="B52" t="s">
        <v>849</v>
      </c>
      <c r="C52" t="s">
        <v>865</v>
      </c>
      <c r="E52" t="str">
        <f t="shared" si="8"/>
        <v>"about_005":"Careers",</v>
      </c>
      <c r="F52" t="str">
        <f t="shared" si="9"/>
        <v>"about_005":"Carreras profesionales",</v>
      </c>
      <c r="G52" t="str">
        <f t="shared" si="4"/>
        <v>"about_005":"",</v>
      </c>
    </row>
    <row r="53" spans="1:7" x14ac:dyDescent="0.3">
      <c r="A53" t="s">
        <v>867</v>
      </c>
      <c r="B53" t="s">
        <v>29</v>
      </c>
      <c r="C53" t="str">
        <f>B53</f>
        <v>Laguna Medical Center</v>
      </c>
      <c r="E53" t="str">
        <f t="shared" si="8"/>
        <v>"copy":"Laguna Medical Center",</v>
      </c>
      <c r="F53" t="str">
        <f t="shared" si="9"/>
        <v>"copy":"Laguna Medical Center",</v>
      </c>
      <c r="G53" t="str">
        <f t="shared" si="4"/>
        <v>"copy":"",</v>
      </c>
    </row>
    <row r="54" spans="1:7" x14ac:dyDescent="0.3">
      <c r="A54" t="s">
        <v>869</v>
      </c>
      <c r="B54" t="s">
        <v>868</v>
      </c>
      <c r="C54" t="s">
        <v>870</v>
      </c>
      <c r="E54" t="str">
        <f t="shared" si="8"/>
        <v>"designedby":"Designed &amp; Developed by"</v>
      </c>
      <c r="F54" t="str">
        <f t="shared" si="9"/>
        <v>"designedby":"Diseñado y desarrollado por"</v>
      </c>
      <c r="G54" t="str">
        <f t="shared" si="4"/>
        <v>"designedby":""</v>
      </c>
    </row>
    <row r="55" spans="1:7" x14ac:dyDescent="0.3">
      <c r="E55" t="str">
        <f t="shared" si="8"/>
        <v/>
      </c>
      <c r="F55" t="str">
        <f t="shared" si="9"/>
        <v/>
      </c>
      <c r="G55" t="str">
        <f t="shared" si="4"/>
        <v/>
      </c>
    </row>
    <row r="56" spans="1:7" x14ac:dyDescent="0.3">
      <c r="E56" t="str">
        <f t="shared" si="8"/>
        <v/>
      </c>
      <c r="F56" t="str">
        <f t="shared" si="9"/>
        <v/>
      </c>
      <c r="G56" t="str">
        <f t="shared" si="4"/>
        <v/>
      </c>
    </row>
    <row r="57" spans="1:7" x14ac:dyDescent="0.3">
      <c r="E57" t="str">
        <f t="shared" si="8"/>
        <v/>
      </c>
      <c r="F57" t="str">
        <f t="shared" si="9"/>
        <v/>
      </c>
      <c r="G57" t="str">
        <f t="shared" si="4"/>
        <v/>
      </c>
    </row>
    <row r="58" spans="1:7" x14ac:dyDescent="0.3">
      <c r="E58" t="str">
        <f t="shared" si="8"/>
        <v/>
      </c>
      <c r="F58" t="str">
        <f t="shared" si="9"/>
        <v/>
      </c>
      <c r="G58" t="str">
        <f t="shared" si="4"/>
        <v/>
      </c>
    </row>
    <row r="59" spans="1:7" x14ac:dyDescent="0.3">
      <c r="E59" t="str">
        <f t="shared" si="8"/>
        <v/>
      </c>
      <c r="F59" t="str">
        <f t="shared" si="9"/>
        <v/>
      </c>
      <c r="G59" t="str">
        <f t="shared" si="4"/>
        <v/>
      </c>
    </row>
    <row r="60" spans="1:7" x14ac:dyDescent="0.3">
      <c r="E60" t="str">
        <f t="shared" si="8"/>
        <v/>
      </c>
      <c r="F60" t="str">
        <f t="shared" si="9"/>
        <v/>
      </c>
      <c r="G60" t="str">
        <f t="shared" si="4"/>
        <v/>
      </c>
    </row>
    <row r="61" spans="1:7" x14ac:dyDescent="0.3">
      <c r="E61" t="str">
        <f t="shared" si="8"/>
        <v/>
      </c>
      <c r="F61" t="str">
        <f t="shared" si="9"/>
        <v/>
      </c>
      <c r="G61" t="str">
        <f t="shared" si="4"/>
        <v/>
      </c>
    </row>
    <row r="62" spans="1:7" x14ac:dyDescent="0.3">
      <c r="E62" t="str">
        <f t="shared" si="8"/>
        <v/>
      </c>
      <c r="F62" t="str">
        <f t="shared" si="9"/>
        <v/>
      </c>
      <c r="G62" t="str">
        <f t="shared" si="4"/>
        <v/>
      </c>
    </row>
  </sheetData>
  <phoneticPr fontId="2" type="noConversion"/>
  <hyperlinks>
    <hyperlink ref="B10" r:id="rId1" xr:uid="{758A1FEE-469D-4FD1-91D0-6AFA48E34B45}"/>
    <hyperlink ref="B11" r:id="rId2" xr:uid="{224A8B7F-8144-4374-82F2-D4750A5DD0D8}"/>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286</v>
      </c>
      <c r="C2" t="s">
        <v>285</v>
      </c>
      <c r="D2" t="s">
        <v>284</v>
      </c>
      <c r="E2" t="str">
        <f t="shared" ref="E2:G3" si="0">CHAR(34)&amp;$A2&amp;CHAR(34)&amp;":"&amp;CHAR(34)&amp;B2&amp;CHAR(34)&amp;","</f>
        <v>"title":"About us",</v>
      </c>
      <c r="F2" t="str">
        <f t="shared" si="0"/>
        <v>"title":"Sobre nosotros",</v>
      </c>
      <c r="G2" t="str">
        <f t="shared" si="0"/>
        <v>"title":"À propos de nous",</v>
      </c>
    </row>
    <row r="3" spans="1:7" x14ac:dyDescent="0.3">
      <c r="A3" t="s">
        <v>9</v>
      </c>
      <c r="B3" t="s">
        <v>287</v>
      </c>
      <c r="C3" t="s">
        <v>283</v>
      </c>
      <c r="D3" t="s">
        <v>288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280</v>
      </c>
      <c r="C8" t="s">
        <v>281</v>
      </c>
      <c r="D8" t="s">
        <v>282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279</v>
      </c>
      <c r="B13" t="s">
        <v>280</v>
      </c>
      <c r="C13" t="str">
        <f t="shared" si="7"/>
        <v>about</v>
      </c>
      <c r="D13" t="str">
        <f t="shared" si="7"/>
        <v>about</v>
      </c>
      <c r="E13" t="str">
        <f t="shared" si="4"/>
        <v>"layout":"about",</v>
      </c>
      <c r="F13" t="str">
        <f t="shared" si="5"/>
        <v>"layout":"about",</v>
      </c>
      <c r="G13" t="str">
        <f t="shared" si="6"/>
        <v>"layout":"about",</v>
      </c>
    </row>
    <row r="14" spans="1:7" x14ac:dyDescent="0.3">
      <c r="A14" t="s">
        <v>299</v>
      </c>
      <c r="B14" t="s">
        <v>300</v>
      </c>
      <c r="C14" t="str">
        <f t="shared" si="7"/>
        <v>static</v>
      </c>
      <c r="D14" t="str">
        <f t="shared" si="7"/>
        <v>static</v>
      </c>
      <c r="E14" t="str">
        <f t="shared" si="4"/>
        <v>"type":"static",</v>
      </c>
      <c r="F14" t="str">
        <f t="shared" si="5"/>
        <v>"type":"static",</v>
      </c>
      <c r="G14" t="str">
        <f t="shared" si="6"/>
        <v>"type":"static",</v>
      </c>
    </row>
    <row r="15" spans="1:7" x14ac:dyDescent="0.3">
      <c r="A15" t="s">
        <v>289</v>
      </c>
      <c r="B15" t="s">
        <v>297</v>
      </c>
      <c r="C15" t="s">
        <v>290</v>
      </c>
      <c r="D15" t="s">
        <v>295</v>
      </c>
      <c r="E15" t="str">
        <f t="shared" si="4"/>
        <v>"head_000":"History of the Cluster",</v>
      </c>
      <c r="F15" t="str">
        <f t="shared" si="5"/>
        <v>"head_000":"Historia del Clúster",</v>
      </c>
      <c r="G15" t="str">
        <f t="shared" si="6"/>
        <v>"head_000":"Histoire du cluster",</v>
      </c>
    </row>
    <row r="16" spans="1:7" x14ac:dyDescent="0.3">
      <c r="A16" t="s">
        <v>291</v>
      </c>
      <c r="B16" t="s">
        <v>298</v>
      </c>
      <c r="C16" t="s">
        <v>292</v>
      </c>
      <c r="D16" t="s">
        <v>296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293</v>
      </c>
      <c r="B17" t="s">
        <v>294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301</v>
      </c>
      <c r="B18" t="s">
        <v>85</v>
      </c>
      <c r="C18" t="s">
        <v>73</v>
      </c>
      <c r="D18" t="s">
        <v>83</v>
      </c>
      <c r="E18" t="str">
        <f t="shared" si="4"/>
        <v>"head_001":"Our members",</v>
      </c>
      <c r="F18" t="str">
        <f t="shared" si="5"/>
        <v>"head_001":"Nuestros miembros",</v>
      </c>
      <c r="G18" t="str">
        <f t="shared" si="6"/>
        <v>"head_001":"Nos membres",</v>
      </c>
    </row>
    <row r="19" spans="1:7" x14ac:dyDescent="0.3">
      <c r="A19" t="s">
        <v>302</v>
      </c>
      <c r="B19" t="s">
        <v>86</v>
      </c>
      <c r="C19" t="s">
        <v>74</v>
      </c>
      <c r="D19" t="s">
        <v>84</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99</v>
      </c>
      <c r="C2" t="s">
        <v>92</v>
      </c>
      <c r="D2" t="s">
        <v>101</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696</v>
      </c>
      <c r="C3" t="s">
        <v>303</v>
      </c>
      <c r="D3" t="s">
        <v>695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99</v>
      </c>
      <c r="C8" t="s">
        <v>92</v>
      </c>
      <c r="D8" t="s">
        <v>92</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697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100</v>
      </c>
      <c r="C2" t="s">
        <v>94</v>
      </c>
      <c r="D2" t="s">
        <v>102</v>
      </c>
      <c r="E2" t="str">
        <f t="shared" ref="E2:G3" si="0">CHAR(34)&amp;$A2&amp;CHAR(34)&amp;":"&amp;CHAR(34)&amp;B2&amp;CHAR(34)&amp;","</f>
        <v>"title":"Members",</v>
      </c>
      <c r="F2" t="str">
        <f t="shared" si="0"/>
        <v>"title":"Miembros",</v>
      </c>
      <c r="G2" t="str">
        <f t="shared" si="0"/>
        <v>"title":"Les membres",</v>
      </c>
    </row>
    <row r="3" spans="1:7" x14ac:dyDescent="0.3">
      <c r="A3" t="s">
        <v>9</v>
      </c>
      <c r="B3" t="s">
        <v>775</v>
      </c>
      <c r="C3" t="s">
        <v>773</v>
      </c>
      <c r="D3" t="s">
        <v>774</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704</v>
      </c>
      <c r="C13" t="str">
        <f t="shared" si="5"/>
        <v>members</v>
      </c>
      <c r="D13" t="str">
        <f t="shared" si="5"/>
        <v>members</v>
      </c>
      <c r="E13" t="str">
        <f t="shared" si="4"/>
        <v>"layout":"members",</v>
      </c>
      <c r="F13" t="str">
        <f t="shared" si="2"/>
        <v>"layout":"members",</v>
      </c>
      <c r="G13" t="str">
        <f t="shared" si="2"/>
        <v>"layout":"members",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705</v>
      </c>
      <c r="C2" t="s">
        <v>95</v>
      </c>
      <c r="D2" t="s">
        <v>103</v>
      </c>
      <c r="E2" t="str">
        <f t="shared" ref="E2:G3" si="0">CHAR(34)&amp;$A2&amp;CHAR(34)&amp;":"&amp;CHAR(34)&amp;B2&amp;CHAR(34)&amp;","</f>
        <v>"title":"Packages",</v>
      </c>
      <c r="F2" t="str">
        <f t="shared" si="0"/>
        <v>"title":"Paquetes",</v>
      </c>
      <c r="G2" t="str">
        <f t="shared" si="0"/>
        <v>"title":"Forfaits",</v>
      </c>
    </row>
    <row r="3" spans="1:7" x14ac:dyDescent="0.3">
      <c r="A3" t="s">
        <v>9</v>
      </c>
      <c r="B3" t="s">
        <v>777</v>
      </c>
      <c r="C3" t="s">
        <v>776</v>
      </c>
      <c r="D3" t="s">
        <v>778</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712</v>
      </c>
      <c r="C2" t="s">
        <v>709</v>
      </c>
      <c r="D2" t="s">
        <v>713</v>
      </c>
      <c r="E2" t="str">
        <f t="shared" ref="E2:G3" si="1">CHAR(34)&amp;$A2&amp;CHAR(34)&amp;":"&amp;CHAR(34)&amp;B2&amp;CHAR(34)&amp;","</f>
        <v>"title":"Contact us",</v>
      </c>
      <c r="F2" t="str">
        <f t="shared" si="1"/>
        <v>"title":"Contáctenos",</v>
      </c>
      <c r="G2" t="str">
        <f t="shared" si="1"/>
        <v>"title":"Nous contacter",</v>
      </c>
    </row>
    <row r="3" spans="1:7" x14ac:dyDescent="0.3">
      <c r="A3" t="s">
        <v>9</v>
      </c>
      <c r="B3" t="s">
        <v>711</v>
      </c>
      <c r="C3" t="s">
        <v>710</v>
      </c>
      <c r="D3" t="s">
        <v>714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279</v>
      </c>
      <c r="B13" t="s">
        <v>715</v>
      </c>
      <c r="C13" t="str">
        <f t="shared" si="6"/>
        <v>contact</v>
      </c>
      <c r="D13" t="str">
        <f t="shared" si="6"/>
        <v>contact</v>
      </c>
      <c r="E13" t="str">
        <f t="shared" si="5"/>
        <v>"layout":"contact",</v>
      </c>
      <c r="F13" t="str">
        <f t="shared" si="3"/>
        <v>"layout":"contact",</v>
      </c>
      <c r="G13" t="str">
        <f t="shared" si="3"/>
        <v>"layout":"contact",</v>
      </c>
    </row>
    <row r="14" spans="1:7" x14ac:dyDescent="0.3">
      <c r="A14" t="s">
        <v>299</v>
      </c>
      <c r="B14" t="s">
        <v>300</v>
      </c>
      <c r="C14" t="str">
        <f t="shared" si="6"/>
        <v>static</v>
      </c>
      <c r="D14" t="str">
        <f t="shared" si="6"/>
        <v>static</v>
      </c>
      <c r="E14" t="str">
        <f t="shared" si="5"/>
        <v>"type":"static",</v>
      </c>
      <c r="F14" t="str">
        <f t="shared" si="3"/>
        <v>"type":"static",</v>
      </c>
      <c r="G14" t="str">
        <f t="shared" si="3"/>
        <v>"type":"static",</v>
      </c>
    </row>
    <row r="15" spans="1:7" x14ac:dyDescent="0.3">
      <c r="A15" t="s">
        <v>716</v>
      </c>
      <c r="B15" t="s">
        <v>742</v>
      </c>
      <c r="C15" t="s">
        <v>726</v>
      </c>
      <c r="D15" t="s">
        <v>741</v>
      </c>
      <c r="E15" t="str">
        <f t="shared" si="5"/>
        <v>"a_head":"Address",</v>
      </c>
      <c r="F15" t="str">
        <f t="shared" si="3"/>
        <v>"a_head":"Dirección",</v>
      </c>
      <c r="G15" t="str">
        <f t="shared" si="3"/>
        <v>"a_head":"Adresse",</v>
      </c>
    </row>
    <row r="16" spans="1:7" x14ac:dyDescent="0.3">
      <c r="A16" t="s">
        <v>717</v>
      </c>
      <c r="B16" t="s">
        <v>750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718</v>
      </c>
      <c r="B17" t="s">
        <v>743</v>
      </c>
      <c r="C17" t="s">
        <v>727</v>
      </c>
      <c r="D17" t="s">
        <v>734</v>
      </c>
      <c r="E17" t="str">
        <f t="shared" si="5"/>
        <v>"e_head":"Send us an email",</v>
      </c>
      <c r="F17" t="str">
        <f t="shared" si="3"/>
        <v>"e_head":"Envíenos un email",</v>
      </c>
      <c r="G17" t="str">
        <f t="shared" si="3"/>
        <v>"e_head":"Envoyez nous un email",</v>
      </c>
    </row>
    <row r="18" spans="1:7" x14ac:dyDescent="0.3">
      <c r="A18" t="s">
        <v>719</v>
      </c>
      <c r="B18" t="s">
        <v>772</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720</v>
      </c>
      <c r="B19" t="s">
        <v>744</v>
      </c>
      <c r="C19" t="s">
        <v>728</v>
      </c>
      <c r="D19" t="s">
        <v>735</v>
      </c>
      <c r="E19" t="str">
        <f t="shared" si="5"/>
        <v>"c_head":"Call us",</v>
      </c>
      <c r="F19" t="str">
        <f t="shared" si="3"/>
        <v>"c_head":"Llámanos",</v>
      </c>
      <c r="G19" t="str">
        <f t="shared" si="3"/>
        <v>"c_head":"Appelez nous",</v>
      </c>
    </row>
    <row r="20" spans="1:7" x14ac:dyDescent="0.3">
      <c r="A20" t="s">
        <v>721</v>
      </c>
      <c r="B20" t="s">
        <v>745</v>
      </c>
      <c r="C20" t="s">
        <v>729</v>
      </c>
      <c r="D20" t="s">
        <v>736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722</v>
      </c>
      <c r="B21" t="s">
        <v>746</v>
      </c>
      <c r="C21" t="s">
        <v>730</v>
      </c>
      <c r="D21" t="s">
        <v>737</v>
      </c>
      <c r="E21" t="str">
        <f t="shared" si="5"/>
        <v>"f_name":"Full name",</v>
      </c>
      <c r="F21" t="str">
        <f t="shared" si="3"/>
        <v>"f_name":"Nombre completo",</v>
      </c>
      <c r="G21" t="str">
        <f t="shared" si="3"/>
        <v>"f_name":"Nom complet",</v>
      </c>
    </row>
    <row r="22" spans="1:7" x14ac:dyDescent="0.3">
      <c r="A22" t="s">
        <v>723</v>
      </c>
      <c r="B22" t="s">
        <v>747</v>
      </c>
      <c r="C22" t="s">
        <v>731</v>
      </c>
      <c r="D22" t="s">
        <v>738</v>
      </c>
      <c r="E22" t="str">
        <f t="shared" si="5"/>
        <v>"s_email":"Email",</v>
      </c>
      <c r="F22" t="str">
        <f t="shared" si="3"/>
        <v>"s_email":"Correo electrónico",</v>
      </c>
      <c r="G22" t="str">
        <f t="shared" si="3"/>
        <v>"s_email":"Courrier électronique",</v>
      </c>
    </row>
    <row r="23" spans="1:7" x14ac:dyDescent="0.3">
      <c r="A23" t="s">
        <v>724</v>
      </c>
      <c r="B23" t="s">
        <v>748</v>
      </c>
      <c r="C23" t="s">
        <v>732</v>
      </c>
      <c r="D23" t="s">
        <v>739</v>
      </c>
      <c r="E23" t="str">
        <f t="shared" si="5"/>
        <v>"message":"Write a message",</v>
      </c>
      <c r="F23" t="str">
        <f t="shared" si="3"/>
        <v>"message":"Escribe un mensaje",</v>
      </c>
      <c r="G23" t="str">
        <f t="shared" si="3"/>
        <v>"message":"Écrire un message",</v>
      </c>
    </row>
    <row r="24" spans="1:7" x14ac:dyDescent="0.3">
      <c r="A24" t="s">
        <v>725</v>
      </c>
      <c r="B24" t="s">
        <v>749</v>
      </c>
      <c r="C24" t="s">
        <v>733</v>
      </c>
      <c r="D24" t="s">
        <v>740</v>
      </c>
      <c r="E24" t="str">
        <f t="shared" si="5"/>
        <v>"s_message":"Send Message",</v>
      </c>
      <c r="F24" t="str">
        <f t="shared" si="3"/>
        <v>"s_message":"Enviar mensaje",</v>
      </c>
      <c r="G24" t="str">
        <f t="shared" si="3"/>
        <v>"s_message":"Envoyer un message",</v>
      </c>
    </row>
    <row r="25" spans="1:7" x14ac:dyDescent="0.3">
      <c r="A25" t="s">
        <v>871</v>
      </c>
      <c r="B25" t="s">
        <v>872</v>
      </c>
      <c r="C25" t="s">
        <v>874</v>
      </c>
      <c r="D25" t="s">
        <v>873</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875</v>
      </c>
      <c r="B26" t="s">
        <v>878</v>
      </c>
      <c r="C26" t="s">
        <v>877</v>
      </c>
      <c r="D26" t="s">
        <v>876</v>
      </c>
      <c r="E26" t="str">
        <f t="shared" si="5"/>
        <v>"errorMessage":"is an invalid value.",</v>
      </c>
      <c r="F26" t="str">
        <f t="shared" si="5"/>
        <v>"errorMessage":"es un valor no válido",</v>
      </c>
      <c r="G26" t="str">
        <f t="shared" si="5"/>
        <v>"errorMessage":"est une valeur invalide",</v>
      </c>
    </row>
    <row r="27" spans="1:7" x14ac:dyDescent="0.3">
      <c r="A27" t="s">
        <v>879</v>
      </c>
      <c r="B27" t="s">
        <v>880</v>
      </c>
      <c r="C27" t="s">
        <v>881</v>
      </c>
      <c r="D27" t="s">
        <v>882</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784</v>
      </c>
      <c r="C2" t="s">
        <v>785</v>
      </c>
      <c r="D2" t="s">
        <v>786</v>
      </c>
      <c r="E2" t="str">
        <f t="shared" ref="E2:G3" si="0">CHAR(34)&amp;$A2&amp;CHAR(34)&amp;":"&amp;CHAR(34)&amp;B2&amp;CHAR(34)&amp;","</f>
        <v>"title":"Sign in",</v>
      </c>
      <c r="F2" t="str">
        <f t="shared" si="0"/>
        <v>"title":"Inicia sesión",</v>
      </c>
      <c r="G2" t="str">
        <f t="shared" si="0"/>
        <v>"title":"Connectez-vous",</v>
      </c>
    </row>
    <row r="3" spans="1:7" x14ac:dyDescent="0.3">
      <c r="A3" t="s">
        <v>9</v>
      </c>
      <c r="B3" t="s">
        <v>787</v>
      </c>
      <c r="C3" t="s">
        <v>788</v>
      </c>
      <c r="D3" t="s">
        <v>789</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790</v>
      </c>
      <c r="C13" t="str">
        <f t="shared" si="3"/>
        <v>sign-in</v>
      </c>
      <c r="D13" t="str">
        <f t="shared" si="3"/>
        <v>sign-in</v>
      </c>
      <c r="E13" t="str">
        <f t="shared" si="4"/>
        <v>"layout":"sign-in",</v>
      </c>
      <c r="F13" t="str">
        <f t="shared" si="2"/>
        <v>"layout":"sign-in",</v>
      </c>
      <c r="G13" t="str">
        <f t="shared" si="2"/>
        <v>"layout":"sign-in",</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792</v>
      </c>
      <c r="C15" t="s">
        <v>793</v>
      </c>
      <c r="D15" t="s">
        <v>794</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798</v>
      </c>
      <c r="B16" t="s">
        <v>799</v>
      </c>
      <c r="C16" t="s">
        <v>800</v>
      </c>
      <c r="D16" t="s">
        <v>801</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817</v>
      </c>
      <c r="B17" t="s">
        <v>818</v>
      </c>
      <c r="C17" t="s">
        <v>819</v>
      </c>
      <c r="D17" t="s">
        <v>820</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795</v>
      </c>
      <c r="C2" t="s">
        <v>796</v>
      </c>
      <c r="D2" t="s">
        <v>797</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802</v>
      </c>
      <c r="C3" t="s">
        <v>803</v>
      </c>
      <c r="D3" t="s">
        <v>804</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816</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805</v>
      </c>
      <c r="C15" t="s">
        <v>807</v>
      </c>
      <c r="D15" t="s">
        <v>806</v>
      </c>
      <c r="E15" t="str">
        <f t="shared" si="4"/>
        <v>"head_000":"Your unverified email is:",</v>
      </c>
      <c r="F15" t="str">
        <f t="shared" si="2"/>
        <v>"head_000":"Su correo electrónico no verificado es:",</v>
      </c>
      <c r="G15" t="str">
        <f t="shared" si="2"/>
        <v>"head_000":"Votre email non vérifié est:",</v>
      </c>
    </row>
    <row r="16" spans="1:7" x14ac:dyDescent="0.3">
      <c r="A16" t="s">
        <v>798</v>
      </c>
      <c r="B16" t="s">
        <v>799</v>
      </c>
      <c r="C16" t="s">
        <v>800</v>
      </c>
      <c r="D16" t="s">
        <v>801</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817</v>
      </c>
      <c r="B17" t="s">
        <v>818</v>
      </c>
      <c r="C17" t="s">
        <v>819</v>
      </c>
      <c r="D17" t="s">
        <v>820</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810</v>
      </c>
      <c r="B18" t="s">
        <v>808</v>
      </c>
      <c r="C18" t="s">
        <v>812</v>
      </c>
      <c r="D18" t="s">
        <v>813</v>
      </c>
      <c r="E18" t="str">
        <f t="shared" si="5"/>
        <v>"Button_000":"Send verification email",</v>
      </c>
      <c r="F18" t="str">
        <f t="shared" si="6"/>
        <v>"Button_000":"Envia un correo electronico de verificación",</v>
      </c>
      <c r="G18" t="str">
        <f t="shared" si="7"/>
        <v>"Button_000":"Envoyer email de vérification",</v>
      </c>
    </row>
    <row r="19" spans="1:7" x14ac:dyDescent="0.3">
      <c r="A19" t="s">
        <v>811</v>
      </c>
      <c r="B19" t="s">
        <v>809</v>
      </c>
      <c r="C19" t="s">
        <v>815</v>
      </c>
      <c r="D19" t="s">
        <v>814</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254</v>
      </c>
      <c r="D3" s="1" t="s">
        <v>31</v>
      </c>
      <c r="E3" s="1" t="s">
        <v>39</v>
      </c>
      <c r="G3" s="1" t="s">
        <v>37</v>
      </c>
      <c r="H3" s="1" t="s">
        <v>32</v>
      </c>
      <c r="J3" s="1" t="s">
        <v>35</v>
      </c>
      <c r="K3" s="1" t="s">
        <v>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254</v>
      </c>
      <c r="D4" s="1" t="s">
        <v>34</v>
      </c>
      <c r="E4" s="1" t="s">
        <v>40</v>
      </c>
      <c r="G4" s="1" t="s">
        <v>38</v>
      </c>
      <c r="H4" s="1" t="s">
        <v>33</v>
      </c>
      <c r="J4" s="1" t="s">
        <v>36</v>
      </c>
      <c r="K4" s="1" t="s">
        <v>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43</v>
      </c>
      <c r="C3" s="1" t="s">
        <v>46</v>
      </c>
      <c r="D3" s="1" t="s">
        <v>58</v>
      </c>
      <c r="E3" s="1" t="s">
        <v>61</v>
      </c>
      <c r="F3" s="1" t="s">
        <v>57</v>
      </c>
      <c r="G3" s="1" t="s">
        <v>48</v>
      </c>
      <c r="H3" s="1" t="s">
        <v>51</v>
      </c>
      <c r="I3" s="1" t="s">
        <v>55</v>
      </c>
      <c r="J3" s="1" t="s">
        <v>69</v>
      </c>
      <c r="K3" s="1" t="s">
        <v>64</v>
      </c>
      <c r="L3" s="1" t="s">
        <v>67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44</v>
      </c>
      <c r="C4" s="1" t="s">
        <v>72</v>
      </c>
      <c r="D4" s="1" t="s">
        <v>59</v>
      </c>
      <c r="E4" s="1" t="s">
        <v>62</v>
      </c>
      <c r="F4" s="1" t="s">
        <v>56</v>
      </c>
      <c r="G4" s="1" t="s">
        <v>49</v>
      </c>
      <c r="H4" s="1" t="s">
        <v>52</v>
      </c>
      <c r="I4" s="1" t="s">
        <v>54</v>
      </c>
      <c r="J4" s="1" t="s">
        <v>70</v>
      </c>
      <c r="K4" s="1" t="s">
        <v>65</v>
      </c>
      <c r="L4" s="1" t="s">
        <v>68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45</v>
      </c>
      <c r="C5" s="1" t="s">
        <v>47</v>
      </c>
      <c r="D5" s="1" t="s">
        <v>60</v>
      </c>
      <c r="E5" s="1" t="s">
        <v>63</v>
      </c>
      <c r="F5" s="1" t="s">
        <v>57</v>
      </c>
      <c r="G5" s="1" t="s">
        <v>50</v>
      </c>
      <c r="H5" s="1" t="s">
        <v>53</v>
      </c>
      <c r="I5" s="1" t="s">
        <v>55</v>
      </c>
      <c r="J5" s="1" t="s">
        <v>71</v>
      </c>
      <c r="K5" s="1" t="s">
        <v>66</v>
      </c>
      <c r="L5" s="1" t="s">
        <v>67</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44</v>
      </c>
      <c r="C3" s="1" t="s">
        <v>46</v>
      </c>
      <c r="D3" s="1" t="s">
        <v>99</v>
      </c>
      <c r="E3" s="1" t="s">
        <v>108</v>
      </c>
      <c r="F3" s="1" t="s">
        <v>112</v>
      </c>
      <c r="G3" s="1" t="s">
        <v>92</v>
      </c>
      <c r="H3" s="1" t="s">
        <v>93</v>
      </c>
      <c r="I3" s="1" t="s">
        <v>98</v>
      </c>
      <c r="J3" s="1" t="s">
        <v>101</v>
      </c>
      <c r="K3" s="1" t="s">
        <v>104</v>
      </c>
      <c r="L3" s="1" t="s">
        <v>113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45</v>
      </c>
      <c r="C4" s="1" t="s">
        <v>47</v>
      </c>
      <c r="D4" s="1" t="s">
        <v>100</v>
      </c>
      <c r="E4" s="1" t="s">
        <v>109</v>
      </c>
      <c r="F4" s="1" t="s">
        <v>112</v>
      </c>
      <c r="G4" s="1" t="s">
        <v>94</v>
      </c>
      <c r="H4" s="1" t="s">
        <v>93</v>
      </c>
      <c r="I4" s="1" t="s">
        <v>54</v>
      </c>
      <c r="J4" s="1" t="s">
        <v>102</v>
      </c>
      <c r="K4" s="1" t="s">
        <v>105</v>
      </c>
      <c r="L4" s="1" t="s">
        <v>113</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43</v>
      </c>
      <c r="C5" s="1" t="s">
        <v>97</v>
      </c>
      <c r="D5" s="1" t="s">
        <v>18</v>
      </c>
      <c r="E5" s="1" t="s">
        <v>110</v>
      </c>
      <c r="F5" s="1" t="s">
        <v>112</v>
      </c>
      <c r="G5" s="1" t="s">
        <v>95</v>
      </c>
      <c r="H5" s="1" t="s">
        <v>93</v>
      </c>
      <c r="I5" s="1" t="s">
        <v>98</v>
      </c>
      <c r="J5" s="1" t="s">
        <v>103</v>
      </c>
      <c r="K5" s="1" t="s">
        <v>106</v>
      </c>
      <c r="L5" s="1" t="s">
        <v>113</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91</v>
      </c>
      <c r="C6" s="1" t="s">
        <v>72</v>
      </c>
      <c r="D6" s="1" t="s">
        <v>59</v>
      </c>
      <c r="E6" s="1" t="s">
        <v>111</v>
      </c>
      <c r="F6" s="1" t="s">
        <v>56</v>
      </c>
      <c r="G6" s="1" t="s">
        <v>49</v>
      </c>
      <c r="H6" s="1" t="s">
        <v>96</v>
      </c>
      <c r="I6" s="1" t="s">
        <v>54</v>
      </c>
      <c r="J6" s="1" t="s">
        <v>70</v>
      </c>
      <c r="K6" s="1" t="s">
        <v>107</v>
      </c>
      <c r="L6" s="1" t="s">
        <v>68</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753</v>
      </c>
      <c r="C3" s="1" t="s">
        <v>123</v>
      </c>
      <c r="D3" s="1" t="s">
        <v>754</v>
      </c>
      <c r="G3" s="1" t="s">
        <v>754</v>
      </c>
      <c r="J3" s="1" t="s">
        <v>763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753</v>
      </c>
      <c r="C4" s="1" t="s">
        <v>124</v>
      </c>
      <c r="D4" s="1" t="s">
        <v>755</v>
      </c>
      <c r="G4" s="1" t="s">
        <v>755</v>
      </c>
      <c r="J4" s="1" t="s">
        <v>764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753</v>
      </c>
      <c r="C5" s="1" t="s">
        <v>125</v>
      </c>
      <c r="D5" s="1" t="s">
        <v>756</v>
      </c>
      <c r="G5" s="1" t="s">
        <v>756</v>
      </c>
      <c r="J5" s="1" t="s">
        <v>765</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753</v>
      </c>
      <c r="C6" s="1" t="s">
        <v>126</v>
      </c>
      <c r="D6" s="1" t="s">
        <v>757</v>
      </c>
      <c r="G6" s="1" t="s">
        <v>757</v>
      </c>
      <c r="J6" s="1" t="s">
        <v>766</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753</v>
      </c>
      <c r="C7" s="1" t="s">
        <v>127</v>
      </c>
      <c r="D7" s="1" t="s">
        <v>758</v>
      </c>
      <c r="G7" s="1" t="s">
        <v>758</v>
      </c>
      <c r="J7" s="1" t="s">
        <v>767</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753</v>
      </c>
      <c r="C8" s="1" t="s">
        <v>128</v>
      </c>
      <c r="D8" s="1" t="s">
        <v>759</v>
      </c>
      <c r="G8" s="1" t="s">
        <v>759</v>
      </c>
      <c r="J8" s="1" t="s">
        <v>768</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753</v>
      </c>
      <c r="C9" s="1" t="s">
        <v>129</v>
      </c>
      <c r="D9" s="1" t="s">
        <v>760</v>
      </c>
      <c r="G9" s="1" t="s">
        <v>760</v>
      </c>
      <c r="J9" s="1" t="s">
        <v>769</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753</v>
      </c>
      <c r="C10" s="1" t="s">
        <v>130</v>
      </c>
      <c r="D10" s="1" t="s">
        <v>761</v>
      </c>
      <c r="G10" s="1" t="s">
        <v>761</v>
      </c>
      <c r="J10" s="1" t="s">
        <v>770</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753</v>
      </c>
      <c r="C11" s="1" t="s">
        <v>131</v>
      </c>
      <c r="D11" s="1" t="s">
        <v>762</v>
      </c>
      <c r="G11" s="1" t="s">
        <v>762</v>
      </c>
      <c r="J11" s="1" t="s">
        <v>771</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114</v>
      </c>
      <c r="C3" s="1" t="s">
        <v>123</v>
      </c>
      <c r="D3" s="1" t="s">
        <v>132</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115</v>
      </c>
      <c r="C4" s="1" t="s">
        <v>124</v>
      </c>
      <c r="D4" s="1" t="s">
        <v>133</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116</v>
      </c>
      <c r="C5" s="1" t="s">
        <v>125</v>
      </c>
      <c r="D5" s="1" t="s">
        <v>134</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117</v>
      </c>
      <c r="C6" s="1" t="s">
        <v>126</v>
      </c>
      <c r="D6" s="1" t="s">
        <v>135</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118</v>
      </c>
      <c r="C7" s="1" t="s">
        <v>127</v>
      </c>
      <c r="D7" s="1" t="s">
        <v>136</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119</v>
      </c>
      <c r="C8" s="1" t="s">
        <v>128</v>
      </c>
      <c r="D8" s="1" t="s">
        <v>137</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120</v>
      </c>
      <c r="C9" s="1" t="s">
        <v>129</v>
      </c>
      <c r="D9" s="1" t="s">
        <v>138</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121</v>
      </c>
      <c r="C10" s="1" t="s">
        <v>130</v>
      </c>
      <c r="D10" s="1" t="s">
        <v>139</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122</v>
      </c>
      <c r="C11" s="1" t="s">
        <v>131</v>
      </c>
      <c r="D11" s="1" t="s">
        <v>140</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256</v>
      </c>
      <c r="D3" s="1" t="s">
        <v>198</v>
      </c>
      <c r="E3" t="s">
        <v>217</v>
      </c>
      <c r="G3" s="1" t="s">
        <v>160</v>
      </c>
      <c r="H3" t="s">
        <v>141</v>
      </c>
      <c r="J3" s="1" t="s">
        <v>179</v>
      </c>
      <c r="K3" s="1" t="s">
        <v>236</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257</v>
      </c>
      <c r="D4" s="1" t="s">
        <v>199</v>
      </c>
      <c r="E4" s="5" t="s">
        <v>218</v>
      </c>
      <c r="G4" s="1" t="s">
        <v>161</v>
      </c>
      <c r="H4" s="5" t="s">
        <v>142</v>
      </c>
      <c r="J4" s="1" t="s">
        <v>180</v>
      </c>
      <c r="K4" s="1" t="s">
        <v>237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258</v>
      </c>
      <c r="D5" s="1" t="s">
        <v>200</v>
      </c>
      <c r="E5" t="s">
        <v>219</v>
      </c>
      <c r="G5" s="1" t="s">
        <v>162</v>
      </c>
      <c r="H5" t="s">
        <v>143</v>
      </c>
      <c r="J5" s="1" t="s">
        <v>181</v>
      </c>
      <c r="K5" s="1" t="s">
        <v>238</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259</v>
      </c>
      <c r="D6" s="1" t="s">
        <v>201</v>
      </c>
      <c r="E6" t="s">
        <v>220</v>
      </c>
      <c r="G6" s="1" t="s">
        <v>163</v>
      </c>
      <c r="H6" t="s">
        <v>144</v>
      </c>
      <c r="J6" s="1" t="s">
        <v>182</v>
      </c>
      <c r="K6" s="1" t="s">
        <v>239</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260</v>
      </c>
      <c r="D7" s="1" t="s">
        <v>202</v>
      </c>
      <c r="E7" t="s">
        <v>221</v>
      </c>
      <c r="G7" s="1" t="s">
        <v>164</v>
      </c>
      <c r="H7" t="s">
        <v>145</v>
      </c>
      <c r="J7" s="1" t="s">
        <v>183</v>
      </c>
      <c r="K7" s="1" t="s">
        <v>240</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261</v>
      </c>
      <c r="D8" s="1" t="s">
        <v>203</v>
      </c>
      <c r="E8" t="s">
        <v>222</v>
      </c>
      <c r="G8" s="1" t="s">
        <v>165</v>
      </c>
      <c r="H8" t="s">
        <v>146</v>
      </c>
      <c r="J8" s="1" t="s">
        <v>184</v>
      </c>
      <c r="K8" s="1" t="s">
        <v>255</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262</v>
      </c>
      <c r="D9" s="1" t="s">
        <v>204</v>
      </c>
      <c r="E9" s="5" t="s">
        <v>223</v>
      </c>
      <c r="G9" s="1" t="s">
        <v>166</v>
      </c>
      <c r="H9" s="5" t="s">
        <v>147</v>
      </c>
      <c r="J9" s="1" t="s">
        <v>185</v>
      </c>
      <c r="K9" s="1" t="s">
        <v>241</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263</v>
      </c>
      <c r="D10" s="1" t="s">
        <v>205</v>
      </c>
      <c r="E10" s="5" t="s">
        <v>224</v>
      </c>
      <c r="G10" s="1" t="s">
        <v>167</v>
      </c>
      <c r="H10" s="5" t="s">
        <v>148</v>
      </c>
      <c r="J10" s="1" t="s">
        <v>186</v>
      </c>
      <c r="K10" s="1" t="s">
        <v>242</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264</v>
      </c>
      <c r="D11" s="1" t="s">
        <v>206</v>
      </c>
      <c r="E11" s="5" t="s">
        <v>225</v>
      </c>
      <c r="G11" s="1" t="s">
        <v>168</v>
      </c>
      <c r="H11" s="5" t="s">
        <v>149</v>
      </c>
      <c r="J11" s="1" t="s">
        <v>187</v>
      </c>
      <c r="K11" s="1" t="s">
        <v>243</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265</v>
      </c>
      <c r="D12" s="1" t="s">
        <v>207</v>
      </c>
      <c r="E12" s="5" t="s">
        <v>226</v>
      </c>
      <c r="G12" s="1" t="s">
        <v>169</v>
      </c>
      <c r="H12" s="5" t="s">
        <v>150</v>
      </c>
      <c r="J12" s="1" t="s">
        <v>188</v>
      </c>
      <c r="K12" s="1" t="s">
        <v>244</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266</v>
      </c>
      <c r="D13" s="1" t="s">
        <v>208</v>
      </c>
      <c r="E13" s="5" t="s">
        <v>227</v>
      </c>
      <c r="G13" s="1" t="s">
        <v>170</v>
      </c>
      <c r="H13" s="5" t="s">
        <v>151</v>
      </c>
      <c r="J13" s="1" t="s">
        <v>189</v>
      </c>
      <c r="K13" s="1" t="s">
        <v>245</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267</v>
      </c>
      <c r="D14" s="1" t="s">
        <v>209</v>
      </c>
      <c r="E14" t="s">
        <v>228</v>
      </c>
      <c r="G14" s="1" t="s">
        <v>171</v>
      </c>
      <c r="H14" t="s">
        <v>152</v>
      </c>
      <c r="J14" s="1" t="s">
        <v>190</v>
      </c>
      <c r="K14" s="1" t="s">
        <v>246</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268</v>
      </c>
      <c r="D15" s="1" t="s">
        <v>210</v>
      </c>
      <c r="E15" s="5" t="s">
        <v>229</v>
      </c>
      <c r="G15" s="1" t="s">
        <v>172</v>
      </c>
      <c r="H15" s="5" t="s">
        <v>153</v>
      </c>
      <c r="J15" s="1" t="s">
        <v>191</v>
      </c>
      <c r="K15" s="1" t="s">
        <v>247</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269</v>
      </c>
      <c r="D16" s="1" t="s">
        <v>211</v>
      </c>
      <c r="E16" t="s">
        <v>230</v>
      </c>
      <c r="G16" s="1" t="s">
        <v>173</v>
      </c>
      <c r="H16" t="s">
        <v>154</v>
      </c>
      <c r="J16" s="1" t="s">
        <v>192</v>
      </c>
      <c r="K16" s="1" t="s">
        <v>248</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270</v>
      </c>
      <c r="D17" s="1" t="s">
        <v>212</v>
      </c>
      <c r="E17" s="5" t="s">
        <v>231</v>
      </c>
      <c r="G17" s="1" t="s">
        <v>174</v>
      </c>
      <c r="H17" s="5" t="s">
        <v>155</v>
      </c>
      <c r="J17" s="1" t="s">
        <v>193</v>
      </c>
      <c r="K17" s="1" t="s">
        <v>249</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271</v>
      </c>
      <c r="D18" s="1" t="s">
        <v>213</v>
      </c>
      <c r="E18" s="5" t="s">
        <v>232</v>
      </c>
      <c r="G18" s="1" t="s">
        <v>175</v>
      </c>
      <c r="H18" s="5" t="s">
        <v>156</v>
      </c>
      <c r="J18" s="1" t="s">
        <v>194</v>
      </c>
      <c r="K18" s="1" t="s">
        <v>250</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272</v>
      </c>
      <c r="D19" s="1" t="s">
        <v>214</v>
      </c>
      <c r="E19" s="5" t="s">
        <v>233</v>
      </c>
      <c r="G19" s="1" t="s">
        <v>176</v>
      </c>
      <c r="H19" s="5" t="s">
        <v>157</v>
      </c>
      <c r="J19" s="1" t="s">
        <v>195</v>
      </c>
      <c r="K19" s="1" t="s">
        <v>251</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273</v>
      </c>
      <c r="D20" s="1" t="s">
        <v>215</v>
      </c>
      <c r="E20" s="5" t="s">
        <v>234</v>
      </c>
      <c r="G20" s="1" t="s">
        <v>177</v>
      </c>
      <c r="H20" s="5" t="s">
        <v>158</v>
      </c>
      <c r="J20" s="1" t="s">
        <v>196</v>
      </c>
      <c r="K20" s="1" t="s">
        <v>252</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274</v>
      </c>
      <c r="D21" s="1" t="s">
        <v>216</v>
      </c>
      <c r="E21" s="5" t="s">
        <v>235</v>
      </c>
      <c r="G21" s="1" t="s">
        <v>178</v>
      </c>
      <c r="H21" s="5" t="s">
        <v>159</v>
      </c>
      <c r="J21" s="1" t="s">
        <v>197</v>
      </c>
      <c r="K21" s="1" t="s">
        <v>253</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304</v>
      </c>
      <c r="D3" s="1" t="s">
        <v>472</v>
      </c>
      <c r="E3" t="s">
        <v>528</v>
      </c>
      <c r="F3" s="1" t="s">
        <v>706</v>
      </c>
      <c r="G3" s="1" t="s">
        <v>362</v>
      </c>
      <c r="H3" t="s">
        <v>419</v>
      </c>
      <c r="I3" s="1" t="s">
        <v>707</v>
      </c>
      <c r="J3" s="1" t="s">
        <v>590</v>
      </c>
      <c r="K3" s="1" t="s">
        <v>559</v>
      </c>
      <c r="L3" s="1" t="s">
        <v>708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305</v>
      </c>
      <c r="D4" s="1" t="s">
        <v>473</v>
      </c>
      <c r="E4" s="5" t="s">
        <v>529</v>
      </c>
      <c r="F4" s="1" t="s">
        <v>706</v>
      </c>
      <c r="G4" s="1" t="s">
        <v>363</v>
      </c>
      <c r="H4" t="s">
        <v>420</v>
      </c>
      <c r="I4" s="1" t="s">
        <v>707</v>
      </c>
      <c r="J4" s="1" t="s">
        <v>591</v>
      </c>
      <c r="K4" s="1" t="s">
        <v>560</v>
      </c>
      <c r="L4" s="1" t="s">
        <v>708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306</v>
      </c>
      <c r="D5" s="1" t="s">
        <v>474</v>
      </c>
      <c r="E5" t="s">
        <v>530</v>
      </c>
      <c r="F5" s="1" t="s">
        <v>706</v>
      </c>
      <c r="G5" s="1" t="s">
        <v>364</v>
      </c>
      <c r="H5" t="s">
        <v>421</v>
      </c>
      <c r="I5" s="1" t="s">
        <v>707</v>
      </c>
      <c r="J5" s="1" t="s">
        <v>592</v>
      </c>
      <c r="K5" s="1" t="s">
        <v>561</v>
      </c>
      <c r="L5" s="1" t="s">
        <v>708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307</v>
      </c>
      <c r="D6" s="1" t="s">
        <v>475</v>
      </c>
      <c r="E6" t="s">
        <v>531</v>
      </c>
      <c r="F6" s="1" t="s">
        <v>706</v>
      </c>
      <c r="G6" s="1" t="s">
        <v>365</v>
      </c>
      <c r="H6" t="s">
        <v>422</v>
      </c>
      <c r="I6" s="1" t="s">
        <v>707</v>
      </c>
      <c r="J6" s="1" t="s">
        <v>593</v>
      </c>
      <c r="K6" s="1" t="s">
        <v>562</v>
      </c>
      <c r="L6" s="1" t="s">
        <v>708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308</v>
      </c>
      <c r="D7" s="1" t="s">
        <v>476</v>
      </c>
      <c r="E7" t="s">
        <v>783</v>
      </c>
      <c r="F7" s="1" t="s">
        <v>706</v>
      </c>
      <c r="G7" s="1" t="s">
        <v>779</v>
      </c>
      <c r="H7" t="s">
        <v>781</v>
      </c>
      <c r="I7" s="1" t="s">
        <v>707</v>
      </c>
      <c r="J7" s="1" t="s">
        <v>780</v>
      </c>
      <c r="K7" s="1" t="s">
        <v>782</v>
      </c>
      <c r="L7" s="1" t="s">
        <v>708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309</v>
      </c>
      <c r="D8" s="1" t="s">
        <v>477</v>
      </c>
      <c r="E8" t="s">
        <v>532</v>
      </c>
      <c r="F8" s="1" t="s">
        <v>706</v>
      </c>
      <c r="G8" s="1" t="s">
        <v>366</v>
      </c>
      <c r="H8" t="s">
        <v>701</v>
      </c>
      <c r="I8" s="1" t="s">
        <v>707</v>
      </c>
      <c r="J8" s="1" t="s">
        <v>594</v>
      </c>
      <c r="K8" s="1" t="s">
        <v>563</v>
      </c>
      <c r="L8" s="1" t="s">
        <v>708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310</v>
      </c>
      <c r="D9" s="1" t="s">
        <v>478</v>
      </c>
      <c r="E9" s="5" t="s">
        <v>533</v>
      </c>
      <c r="F9" s="1" t="s">
        <v>706</v>
      </c>
      <c r="G9" s="1" t="s">
        <v>367</v>
      </c>
      <c r="H9" t="s">
        <v>423</v>
      </c>
      <c r="I9" s="1" t="s">
        <v>707</v>
      </c>
      <c r="J9" s="1" t="s">
        <v>595</v>
      </c>
      <c r="K9" s="1" t="s">
        <v>564</v>
      </c>
      <c r="L9" s="1" t="s">
        <v>708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311</v>
      </c>
      <c r="D10" s="1" t="s">
        <v>479</v>
      </c>
      <c r="E10" s="5" t="s">
        <v>534</v>
      </c>
      <c r="F10" s="1" t="s">
        <v>706</v>
      </c>
      <c r="G10" s="1" t="s">
        <v>368</v>
      </c>
      <c r="H10" t="s">
        <v>424</v>
      </c>
      <c r="I10" s="1" t="s">
        <v>707</v>
      </c>
      <c r="J10" s="1" t="s">
        <v>596</v>
      </c>
      <c r="K10" s="1" t="s">
        <v>565</v>
      </c>
      <c r="L10" s="1" t="s">
        <v>708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312</v>
      </c>
      <c r="D11" s="1" t="s">
        <v>369</v>
      </c>
      <c r="E11" s="5" t="s">
        <v>535</v>
      </c>
      <c r="F11" s="1" t="s">
        <v>706</v>
      </c>
      <c r="G11" s="1" t="s">
        <v>369</v>
      </c>
      <c r="H11" t="s">
        <v>425</v>
      </c>
      <c r="I11" s="1" t="s">
        <v>707</v>
      </c>
      <c r="J11" s="1" t="s">
        <v>597</v>
      </c>
      <c r="K11" s="1" t="s">
        <v>566</v>
      </c>
      <c r="L11" s="1" t="s">
        <v>708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313</v>
      </c>
      <c r="D12" s="1" t="s">
        <v>480</v>
      </c>
      <c r="E12" s="5" t="s">
        <v>536</v>
      </c>
      <c r="F12" s="1" t="s">
        <v>706</v>
      </c>
      <c r="G12" s="1" t="s">
        <v>370</v>
      </c>
      <c r="H12" t="s">
        <v>426</v>
      </c>
      <c r="I12" s="1" t="s">
        <v>707</v>
      </c>
      <c r="J12" s="1" t="s">
        <v>598</v>
      </c>
      <c r="K12" s="1" t="s">
        <v>567</v>
      </c>
      <c r="L12" s="1" t="s">
        <v>708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314</v>
      </c>
      <c r="D13" s="1" t="s">
        <v>481</v>
      </c>
      <c r="E13" s="5" t="s">
        <v>700</v>
      </c>
      <c r="F13" s="1" t="s">
        <v>706</v>
      </c>
      <c r="G13" s="1" t="s">
        <v>371</v>
      </c>
      <c r="H13" t="s">
        <v>699</v>
      </c>
      <c r="I13" s="1" t="s">
        <v>707</v>
      </c>
      <c r="J13" s="1" t="s">
        <v>599</v>
      </c>
      <c r="K13" s="1" t="s">
        <v>698</v>
      </c>
      <c r="L13" s="1" t="s">
        <v>708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315</v>
      </c>
      <c r="D14" s="1" t="s">
        <v>482</v>
      </c>
      <c r="E14" t="s">
        <v>537</v>
      </c>
      <c r="F14" s="1" t="s">
        <v>706</v>
      </c>
      <c r="G14" s="1" t="s">
        <v>372</v>
      </c>
      <c r="H14" t="s">
        <v>427</v>
      </c>
      <c r="I14" s="1" t="s">
        <v>707</v>
      </c>
      <c r="J14" s="1" t="s">
        <v>600</v>
      </c>
      <c r="K14" s="1" t="s">
        <v>568</v>
      </c>
      <c r="L14" s="1" t="s">
        <v>708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316</v>
      </c>
      <c r="D15" s="1" t="s">
        <v>483</v>
      </c>
      <c r="E15" s="5" t="s">
        <v>538</v>
      </c>
      <c r="F15" s="1" t="s">
        <v>706</v>
      </c>
      <c r="G15" s="1" t="s">
        <v>373</v>
      </c>
      <c r="H15" t="s">
        <v>428</v>
      </c>
      <c r="I15" s="1" t="s">
        <v>707</v>
      </c>
      <c r="J15" s="1" t="s">
        <v>601</v>
      </c>
      <c r="K15" s="1" t="s">
        <v>569</v>
      </c>
      <c r="L15" s="1" t="s">
        <v>708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317</v>
      </c>
      <c r="D16" s="1" t="s">
        <v>484</v>
      </c>
      <c r="E16" t="s">
        <v>539</v>
      </c>
      <c r="F16" s="1" t="s">
        <v>706</v>
      </c>
      <c r="G16" s="1" t="s">
        <v>374</v>
      </c>
      <c r="H16" t="s">
        <v>429</v>
      </c>
      <c r="I16" s="1" t="s">
        <v>707</v>
      </c>
      <c r="J16" s="1" t="s">
        <v>602</v>
      </c>
      <c r="K16" s="1" t="s">
        <v>570</v>
      </c>
      <c r="L16" s="1" t="s">
        <v>708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318</v>
      </c>
      <c r="D17" s="1" t="s">
        <v>485</v>
      </c>
      <c r="E17" s="5" t="s">
        <v>540</v>
      </c>
      <c r="F17" s="1" t="s">
        <v>706</v>
      </c>
      <c r="G17" s="1" t="s">
        <v>375</v>
      </c>
      <c r="H17" t="s">
        <v>430</v>
      </c>
      <c r="I17" s="1" t="s">
        <v>707</v>
      </c>
      <c r="J17" s="1" t="s">
        <v>603</v>
      </c>
      <c r="K17" s="1" t="s">
        <v>571</v>
      </c>
      <c r="L17" s="1" t="s">
        <v>708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319</v>
      </c>
      <c r="D18" s="1" t="s">
        <v>486</v>
      </c>
      <c r="E18" s="5" t="s">
        <v>541</v>
      </c>
      <c r="F18" s="1" t="s">
        <v>706</v>
      </c>
      <c r="G18" s="1" t="s">
        <v>376</v>
      </c>
      <c r="H18" t="s">
        <v>431</v>
      </c>
      <c r="I18" s="1" t="s">
        <v>707</v>
      </c>
      <c r="J18" s="1" t="s">
        <v>604</v>
      </c>
      <c r="K18" s="1" t="s">
        <v>572</v>
      </c>
      <c r="L18" s="1" t="s">
        <v>708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320</v>
      </c>
      <c r="D19" s="1" t="s">
        <v>487</v>
      </c>
      <c r="E19" s="5" t="s">
        <v>542</v>
      </c>
      <c r="F19" s="1" t="s">
        <v>706</v>
      </c>
      <c r="G19" s="1" t="s">
        <v>377</v>
      </c>
      <c r="H19" t="s">
        <v>432</v>
      </c>
      <c r="I19" s="1" t="s">
        <v>707</v>
      </c>
      <c r="J19" s="1" t="s">
        <v>605</v>
      </c>
      <c r="K19" s="1" t="s">
        <v>573</v>
      </c>
      <c r="L19" s="1" t="s">
        <v>708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321</v>
      </c>
      <c r="D20" s="1" t="s">
        <v>488</v>
      </c>
      <c r="E20" s="5" t="s">
        <v>543</v>
      </c>
      <c r="F20" s="1" t="s">
        <v>706</v>
      </c>
      <c r="G20" s="1" t="s">
        <v>378</v>
      </c>
      <c r="H20" t="s">
        <v>433</v>
      </c>
      <c r="I20" s="1" t="s">
        <v>707</v>
      </c>
      <c r="J20" s="1" t="s">
        <v>606</v>
      </c>
      <c r="K20" s="1" t="s">
        <v>574</v>
      </c>
      <c r="L20" s="1" t="s">
        <v>708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322</v>
      </c>
      <c r="D21" s="1" t="s">
        <v>489</v>
      </c>
      <c r="E21" s="5" t="s">
        <v>544</v>
      </c>
      <c r="F21" s="1" t="s">
        <v>706</v>
      </c>
      <c r="G21" s="1" t="s">
        <v>379</v>
      </c>
      <c r="H21" t="s">
        <v>434</v>
      </c>
      <c r="I21" s="1" t="s">
        <v>707</v>
      </c>
      <c r="J21" s="1" t="s">
        <v>607</v>
      </c>
      <c r="K21" s="1" t="s">
        <v>575</v>
      </c>
      <c r="L21" s="1" t="s">
        <v>708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323</v>
      </c>
      <c r="D22" s="1" t="s">
        <v>490</v>
      </c>
      <c r="E22" s="1" t="s">
        <v>545</v>
      </c>
      <c r="F22" s="1" t="s">
        <v>706</v>
      </c>
      <c r="G22" s="1" t="s">
        <v>380</v>
      </c>
      <c r="H22" t="s">
        <v>702</v>
      </c>
      <c r="I22" s="1" t="s">
        <v>707</v>
      </c>
      <c r="J22" s="1" t="s">
        <v>608</v>
      </c>
      <c r="K22" s="1" t="s">
        <v>576</v>
      </c>
      <c r="L22" s="1" t="s">
        <v>708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324</v>
      </c>
      <c r="D23" s="1" t="s">
        <v>491</v>
      </c>
      <c r="E23" s="1" t="s">
        <v>546</v>
      </c>
      <c r="F23" s="1" t="s">
        <v>706</v>
      </c>
      <c r="G23" s="1" t="s">
        <v>381</v>
      </c>
      <c r="H23" t="s">
        <v>703</v>
      </c>
      <c r="I23" s="1" t="s">
        <v>707</v>
      </c>
      <c r="J23" s="1" t="s">
        <v>609</v>
      </c>
      <c r="K23" s="1" t="s">
        <v>577</v>
      </c>
      <c r="L23" s="1" t="s">
        <v>708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325</v>
      </c>
      <c r="D24" s="1" t="s">
        <v>492</v>
      </c>
      <c r="E24" s="1" t="s">
        <v>547</v>
      </c>
      <c r="F24" s="1" t="s">
        <v>706</v>
      </c>
      <c r="G24" s="1" t="s">
        <v>382</v>
      </c>
      <c r="H24" t="s">
        <v>435</v>
      </c>
      <c r="I24" s="1" t="s">
        <v>707</v>
      </c>
      <c r="J24" s="1" t="s">
        <v>610</v>
      </c>
      <c r="K24" s="1" t="s">
        <v>578</v>
      </c>
      <c r="L24" s="1" t="s">
        <v>708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326</v>
      </c>
      <c r="D25" s="1" t="s">
        <v>493</v>
      </c>
      <c r="E25" s="1" t="s">
        <v>548</v>
      </c>
      <c r="F25" s="1" t="s">
        <v>706</v>
      </c>
      <c r="G25" s="1" t="s">
        <v>383</v>
      </c>
      <c r="H25" t="s">
        <v>436</v>
      </c>
      <c r="I25" s="1" t="s">
        <v>707</v>
      </c>
      <c r="J25" s="1" t="s">
        <v>611</v>
      </c>
      <c r="K25" s="1" t="s">
        <v>579</v>
      </c>
      <c r="L25" s="1" t="s">
        <v>708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327</v>
      </c>
      <c r="D26" s="1" t="s">
        <v>494</v>
      </c>
      <c r="E26" s="1" t="s">
        <v>549</v>
      </c>
      <c r="F26" s="1" t="s">
        <v>706</v>
      </c>
      <c r="G26" s="1" t="s">
        <v>384</v>
      </c>
      <c r="H26" t="s">
        <v>437</v>
      </c>
      <c r="I26" s="1" t="s">
        <v>707</v>
      </c>
      <c r="J26" s="1" t="s">
        <v>612</v>
      </c>
      <c r="K26" s="1" t="s">
        <v>580</v>
      </c>
      <c r="L26" s="1" t="s">
        <v>708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328</v>
      </c>
      <c r="D27" s="1" t="s">
        <v>495</v>
      </c>
      <c r="E27" s="1" t="s">
        <v>550</v>
      </c>
      <c r="F27" s="1" t="s">
        <v>706</v>
      </c>
      <c r="G27" s="1" t="s">
        <v>385</v>
      </c>
      <c r="H27" t="s">
        <v>438</v>
      </c>
      <c r="I27" s="1" t="s">
        <v>707</v>
      </c>
      <c r="J27" s="1" t="s">
        <v>613</v>
      </c>
      <c r="K27" s="1" t="s">
        <v>581</v>
      </c>
      <c r="L27" s="1" t="s">
        <v>708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329</v>
      </c>
      <c r="D28" s="1" t="s">
        <v>496</v>
      </c>
      <c r="E28" s="1" t="s">
        <v>551</v>
      </c>
      <c r="F28" s="1" t="s">
        <v>706</v>
      </c>
      <c r="G28" s="1" t="s">
        <v>386</v>
      </c>
      <c r="H28" t="s">
        <v>439</v>
      </c>
      <c r="I28" s="1" t="s">
        <v>707</v>
      </c>
      <c r="J28" s="1" t="s">
        <v>614</v>
      </c>
      <c r="K28" s="1" t="s">
        <v>582</v>
      </c>
      <c r="L28" s="1" t="s">
        <v>708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330</v>
      </c>
      <c r="D29" s="1" t="s">
        <v>497</v>
      </c>
      <c r="E29" s="1" t="s">
        <v>552</v>
      </c>
      <c r="F29" s="1" t="s">
        <v>706</v>
      </c>
      <c r="G29" s="1" t="s">
        <v>387</v>
      </c>
      <c r="H29" t="s">
        <v>440</v>
      </c>
      <c r="I29" s="1" t="s">
        <v>707</v>
      </c>
      <c r="J29" s="1" t="s">
        <v>615</v>
      </c>
      <c r="K29" s="1" t="s">
        <v>583</v>
      </c>
      <c r="L29" s="1" t="s">
        <v>708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331</v>
      </c>
      <c r="D30" s="1" t="s">
        <v>498</v>
      </c>
      <c r="E30" s="1" t="s">
        <v>553</v>
      </c>
      <c r="F30" s="1" t="s">
        <v>706</v>
      </c>
      <c r="G30" s="1" t="s">
        <v>388</v>
      </c>
      <c r="H30" t="s">
        <v>441</v>
      </c>
      <c r="I30" s="1" t="s">
        <v>707</v>
      </c>
      <c r="J30" s="1" t="s">
        <v>616</v>
      </c>
      <c r="K30" s="1" t="s">
        <v>584</v>
      </c>
      <c r="L30" s="1" t="s">
        <v>708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332</v>
      </c>
      <c r="D31" s="1" t="s">
        <v>499</v>
      </c>
      <c r="E31" s="1" t="s">
        <v>554</v>
      </c>
      <c r="F31" s="1" t="s">
        <v>706</v>
      </c>
      <c r="G31" s="1" t="s">
        <v>389</v>
      </c>
      <c r="H31" t="s">
        <v>442</v>
      </c>
      <c r="I31" s="1" t="s">
        <v>707</v>
      </c>
      <c r="J31" s="1" t="s">
        <v>617</v>
      </c>
      <c r="K31" s="1" t="s">
        <v>585</v>
      </c>
      <c r="L31" s="1" t="s">
        <v>708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333</v>
      </c>
      <c r="D32" s="1" t="s">
        <v>500</v>
      </c>
      <c r="E32" s="1" t="s">
        <v>555</v>
      </c>
      <c r="F32" s="1" t="s">
        <v>706</v>
      </c>
      <c r="G32" s="1" t="s">
        <v>390</v>
      </c>
      <c r="H32" t="s">
        <v>443</v>
      </c>
      <c r="I32" s="1" t="s">
        <v>707</v>
      </c>
      <c r="J32" s="1" t="s">
        <v>618</v>
      </c>
      <c r="K32" s="1" t="s">
        <v>586</v>
      </c>
      <c r="L32" s="1" t="s">
        <v>708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334</v>
      </c>
      <c r="D33" s="1" t="s">
        <v>501</v>
      </c>
      <c r="E33" s="1" t="s">
        <v>556</v>
      </c>
      <c r="F33" s="1" t="s">
        <v>706</v>
      </c>
      <c r="G33" s="1" t="s">
        <v>391</v>
      </c>
      <c r="H33" t="s">
        <v>444</v>
      </c>
      <c r="I33" s="1" t="s">
        <v>707</v>
      </c>
      <c r="J33" s="1" t="s">
        <v>619</v>
      </c>
      <c r="K33" s="1" t="s">
        <v>587</v>
      </c>
      <c r="L33" s="1" t="s">
        <v>708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335</v>
      </c>
      <c r="D34" s="1" t="s">
        <v>502</v>
      </c>
      <c r="E34" s="1" t="s">
        <v>557</v>
      </c>
      <c r="F34" s="1" t="s">
        <v>706</v>
      </c>
      <c r="G34" s="1" t="s">
        <v>392</v>
      </c>
      <c r="H34" t="s">
        <v>445</v>
      </c>
      <c r="I34" s="1" t="s">
        <v>707</v>
      </c>
      <c r="J34" s="1" t="s">
        <v>620</v>
      </c>
      <c r="K34" s="1" t="s">
        <v>588</v>
      </c>
      <c r="L34" s="1" t="s">
        <v>708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336</v>
      </c>
      <c r="D35" s="1" t="s">
        <v>503</v>
      </c>
      <c r="E35" s="1" t="s">
        <v>558</v>
      </c>
      <c r="F35" s="1" t="s">
        <v>706</v>
      </c>
      <c r="G35" s="1" t="s">
        <v>393</v>
      </c>
      <c r="H35" t="s">
        <v>446</v>
      </c>
      <c r="I35" s="1" t="s">
        <v>707</v>
      </c>
      <c r="J35" s="1" t="s">
        <v>621</v>
      </c>
      <c r="K35" s="1" t="s">
        <v>589</v>
      </c>
      <c r="L35" s="1" t="s">
        <v>708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337</v>
      </c>
      <c r="D36" s="1" t="s">
        <v>504</v>
      </c>
      <c r="E36" s="1" t="s">
        <v>645</v>
      </c>
      <c r="F36" s="1" t="s">
        <v>706</v>
      </c>
      <c r="G36" s="1" t="s">
        <v>394</v>
      </c>
      <c r="H36" t="s">
        <v>447</v>
      </c>
      <c r="I36" s="1" t="s">
        <v>707</v>
      </c>
      <c r="J36" s="1" t="s">
        <v>622</v>
      </c>
      <c r="K36" s="1" t="s">
        <v>670</v>
      </c>
      <c r="L36" s="1" t="s">
        <v>708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338</v>
      </c>
      <c r="D37" s="1" t="s">
        <v>505</v>
      </c>
      <c r="E37" s="1" t="s">
        <v>646</v>
      </c>
      <c r="F37" s="1" t="s">
        <v>706</v>
      </c>
      <c r="G37" s="1" t="s">
        <v>395</v>
      </c>
      <c r="H37" t="s">
        <v>448</v>
      </c>
      <c r="I37" s="1" t="s">
        <v>707</v>
      </c>
      <c r="J37" s="1" t="s">
        <v>623</v>
      </c>
      <c r="K37" s="1" t="s">
        <v>671</v>
      </c>
      <c r="L37" s="1" t="s">
        <v>708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339</v>
      </c>
      <c r="D38" s="1" t="s">
        <v>506</v>
      </c>
      <c r="E38" s="1" t="s">
        <v>647</v>
      </c>
      <c r="F38" s="1" t="s">
        <v>706</v>
      </c>
      <c r="G38" s="1" t="s">
        <v>396</v>
      </c>
      <c r="H38" t="s">
        <v>449</v>
      </c>
      <c r="I38" s="1" t="s">
        <v>707</v>
      </c>
      <c r="J38" s="1" t="s">
        <v>624</v>
      </c>
      <c r="K38" s="1" t="s">
        <v>672</v>
      </c>
      <c r="L38" s="1" t="s">
        <v>708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340</v>
      </c>
      <c r="D39" s="1" t="s">
        <v>507</v>
      </c>
      <c r="E39" s="1" t="s">
        <v>648</v>
      </c>
      <c r="F39" s="1" t="s">
        <v>706</v>
      </c>
      <c r="G39" s="1" t="s">
        <v>397</v>
      </c>
      <c r="H39" t="s">
        <v>450</v>
      </c>
      <c r="I39" s="1" t="s">
        <v>707</v>
      </c>
      <c r="J39" s="1" t="s">
        <v>625</v>
      </c>
      <c r="K39" s="1" t="s">
        <v>673</v>
      </c>
      <c r="L39" s="1" t="s">
        <v>708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341</v>
      </c>
      <c r="D40" s="1" t="s">
        <v>508</v>
      </c>
      <c r="E40" s="1" t="s">
        <v>649</v>
      </c>
      <c r="F40" s="1" t="s">
        <v>706</v>
      </c>
      <c r="G40" s="1" t="s">
        <v>398</v>
      </c>
      <c r="H40" t="s">
        <v>451</v>
      </c>
      <c r="I40" s="1" t="s">
        <v>707</v>
      </c>
      <c r="J40" s="1" t="s">
        <v>626</v>
      </c>
      <c r="K40" s="1" t="s">
        <v>674</v>
      </c>
      <c r="L40" s="1" t="s">
        <v>708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342</v>
      </c>
      <c r="D41" s="1" t="s">
        <v>509</v>
      </c>
      <c r="E41" s="1" t="s">
        <v>650</v>
      </c>
      <c r="F41" s="1" t="s">
        <v>706</v>
      </c>
      <c r="G41" s="1" t="s">
        <v>399</v>
      </c>
      <c r="H41" t="s">
        <v>452</v>
      </c>
      <c r="I41" s="1" t="s">
        <v>707</v>
      </c>
      <c r="J41" s="1" t="s">
        <v>627</v>
      </c>
      <c r="K41" s="1" t="s">
        <v>675</v>
      </c>
      <c r="L41" s="1" t="s">
        <v>708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343</v>
      </c>
      <c r="D42" s="1" t="s">
        <v>510</v>
      </c>
      <c r="E42" s="1" t="s">
        <v>651</v>
      </c>
      <c r="F42" s="1" t="s">
        <v>706</v>
      </c>
      <c r="G42" s="1" t="s">
        <v>400</v>
      </c>
      <c r="H42" t="s">
        <v>453</v>
      </c>
      <c r="I42" s="1" t="s">
        <v>707</v>
      </c>
      <c r="J42" s="1" t="s">
        <v>628</v>
      </c>
      <c r="K42" s="1" t="s">
        <v>676</v>
      </c>
      <c r="L42" s="1" t="s">
        <v>708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344</v>
      </c>
      <c r="D43" s="1" t="s">
        <v>511</v>
      </c>
      <c r="E43" s="1" t="s">
        <v>652</v>
      </c>
      <c r="F43" s="1" t="s">
        <v>706</v>
      </c>
      <c r="G43" s="1" t="s">
        <v>401</v>
      </c>
      <c r="H43" t="s">
        <v>454</v>
      </c>
      <c r="I43" s="1" t="s">
        <v>707</v>
      </c>
      <c r="J43" s="1" t="s">
        <v>629</v>
      </c>
      <c r="K43" s="1" t="s">
        <v>677</v>
      </c>
      <c r="L43" s="1" t="s">
        <v>708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345</v>
      </c>
      <c r="D44" s="1" t="s">
        <v>512</v>
      </c>
      <c r="E44" s="1" t="s">
        <v>653</v>
      </c>
      <c r="F44" s="1" t="s">
        <v>706</v>
      </c>
      <c r="G44" s="1" t="s">
        <v>402</v>
      </c>
      <c r="H44" t="s">
        <v>455</v>
      </c>
      <c r="I44" s="1" t="s">
        <v>707</v>
      </c>
      <c r="J44" s="1" t="s">
        <v>630</v>
      </c>
      <c r="K44" s="1" t="s">
        <v>678</v>
      </c>
      <c r="L44" s="1" t="s">
        <v>708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346</v>
      </c>
      <c r="D45" s="1" t="s">
        <v>513</v>
      </c>
      <c r="E45" s="1" t="s">
        <v>654</v>
      </c>
      <c r="F45" s="1" t="s">
        <v>706</v>
      </c>
      <c r="G45" s="1" t="s">
        <v>403</v>
      </c>
      <c r="H45" t="s">
        <v>456</v>
      </c>
      <c r="I45" s="1" t="s">
        <v>707</v>
      </c>
      <c r="J45" s="1" t="s">
        <v>631</v>
      </c>
      <c r="K45" s="1" t="s">
        <v>679</v>
      </c>
      <c r="L45" s="1" t="s">
        <v>708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347</v>
      </c>
      <c r="D46" s="1" t="s">
        <v>514</v>
      </c>
      <c r="E46" s="1" t="s">
        <v>655</v>
      </c>
      <c r="F46" s="1" t="s">
        <v>706</v>
      </c>
      <c r="G46" s="1" t="s">
        <v>404</v>
      </c>
      <c r="H46" t="s">
        <v>457</v>
      </c>
      <c r="I46" s="1" t="s">
        <v>707</v>
      </c>
      <c r="J46" s="1" t="s">
        <v>514</v>
      </c>
      <c r="K46" s="1" t="s">
        <v>680</v>
      </c>
      <c r="L46" s="1" t="s">
        <v>708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348</v>
      </c>
      <c r="D47" s="1" t="s">
        <v>515</v>
      </c>
      <c r="E47" s="1" t="s">
        <v>656</v>
      </c>
      <c r="F47" s="1" t="s">
        <v>706</v>
      </c>
      <c r="G47" s="1" t="s">
        <v>405</v>
      </c>
      <c r="H47" t="s">
        <v>458</v>
      </c>
      <c r="I47" s="1" t="s">
        <v>707</v>
      </c>
      <c r="J47" s="1" t="s">
        <v>632</v>
      </c>
      <c r="K47" s="1" t="s">
        <v>681</v>
      </c>
      <c r="L47" s="1" t="s">
        <v>708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349</v>
      </c>
      <c r="D48" s="1" t="s">
        <v>516</v>
      </c>
      <c r="E48" s="1" t="s">
        <v>657</v>
      </c>
      <c r="F48" s="1" t="s">
        <v>706</v>
      </c>
      <c r="G48" s="1" t="s">
        <v>406</v>
      </c>
      <c r="H48" t="s">
        <v>459</v>
      </c>
      <c r="I48" s="1" t="s">
        <v>707</v>
      </c>
      <c r="J48" s="1" t="s">
        <v>633</v>
      </c>
      <c r="K48" s="1" t="s">
        <v>682</v>
      </c>
      <c r="L48" s="1" t="s">
        <v>708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350</v>
      </c>
      <c r="D49" s="1" t="s">
        <v>517</v>
      </c>
      <c r="E49" s="1" t="s">
        <v>658</v>
      </c>
      <c r="F49" s="1" t="s">
        <v>706</v>
      </c>
      <c r="G49" s="1" t="s">
        <v>407</v>
      </c>
      <c r="H49" t="s">
        <v>460</v>
      </c>
      <c r="I49" s="1" t="s">
        <v>707</v>
      </c>
      <c r="J49" s="1" t="s">
        <v>634</v>
      </c>
      <c r="K49" s="1" t="s">
        <v>683</v>
      </c>
      <c r="L49" s="1" t="s">
        <v>708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351</v>
      </c>
      <c r="D50" s="1" t="s">
        <v>518</v>
      </c>
      <c r="E50" s="1" t="s">
        <v>659</v>
      </c>
      <c r="F50" s="1" t="s">
        <v>706</v>
      </c>
      <c r="G50" s="1" t="s">
        <v>408</v>
      </c>
      <c r="H50" t="s">
        <v>461</v>
      </c>
      <c r="I50" s="1" t="s">
        <v>707</v>
      </c>
      <c r="J50" s="1" t="s">
        <v>635</v>
      </c>
      <c r="K50" s="1" t="s">
        <v>684</v>
      </c>
      <c r="L50" s="1" t="s">
        <v>708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352</v>
      </c>
      <c r="D51" s="1" t="s">
        <v>519</v>
      </c>
      <c r="E51" s="1" t="s">
        <v>660</v>
      </c>
      <c r="F51" s="1" t="s">
        <v>706</v>
      </c>
      <c r="G51" s="1" t="s">
        <v>409</v>
      </c>
      <c r="H51" t="s">
        <v>462</v>
      </c>
      <c r="I51" s="1" t="s">
        <v>707</v>
      </c>
      <c r="J51" s="1" t="s">
        <v>636</v>
      </c>
      <c r="K51" s="1" t="s">
        <v>685</v>
      </c>
      <c r="L51" s="1" t="s">
        <v>708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353</v>
      </c>
      <c r="D52" s="1" t="s">
        <v>520</v>
      </c>
      <c r="E52" s="1" t="s">
        <v>661</v>
      </c>
      <c r="F52" s="1" t="s">
        <v>706</v>
      </c>
      <c r="G52" s="1" t="s">
        <v>410</v>
      </c>
      <c r="H52" t="s">
        <v>463</v>
      </c>
      <c r="I52" s="1" t="s">
        <v>707</v>
      </c>
      <c r="J52" s="1" t="s">
        <v>637</v>
      </c>
      <c r="K52" s="1" t="s">
        <v>686</v>
      </c>
      <c r="L52" s="1" t="s">
        <v>708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354</v>
      </c>
      <c r="D53" s="1" t="s">
        <v>521</v>
      </c>
      <c r="E53" s="1" t="s">
        <v>662</v>
      </c>
      <c r="F53" s="1" t="s">
        <v>706</v>
      </c>
      <c r="G53" s="1" t="s">
        <v>411</v>
      </c>
      <c r="H53" t="s">
        <v>464</v>
      </c>
      <c r="I53" s="1" t="s">
        <v>707</v>
      </c>
      <c r="J53" s="1" t="s">
        <v>638</v>
      </c>
      <c r="K53" s="1" t="s">
        <v>687</v>
      </c>
      <c r="L53" s="1" t="s">
        <v>708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355</v>
      </c>
      <c r="D54" s="1" t="s">
        <v>512</v>
      </c>
      <c r="E54" s="1" t="s">
        <v>663</v>
      </c>
      <c r="F54" s="1" t="s">
        <v>706</v>
      </c>
      <c r="G54" s="1" t="s">
        <v>412</v>
      </c>
      <c r="H54" t="s">
        <v>465</v>
      </c>
      <c r="I54" s="1" t="s">
        <v>707</v>
      </c>
      <c r="J54" s="1" t="s">
        <v>630</v>
      </c>
      <c r="K54" s="1" t="s">
        <v>688</v>
      </c>
      <c r="L54" s="1" t="s">
        <v>708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356</v>
      </c>
      <c r="D55" s="1" t="s">
        <v>522</v>
      </c>
      <c r="E55" s="1" t="s">
        <v>664</v>
      </c>
      <c r="F55" s="1" t="s">
        <v>706</v>
      </c>
      <c r="G55" s="1" t="s">
        <v>413</v>
      </c>
      <c r="H55" t="s">
        <v>466</v>
      </c>
      <c r="I55" s="1" t="s">
        <v>707</v>
      </c>
      <c r="J55" s="1" t="s">
        <v>639</v>
      </c>
      <c r="K55" s="1" t="s">
        <v>689</v>
      </c>
      <c r="L55" s="1" t="s">
        <v>708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357</v>
      </c>
      <c r="D56" s="1" t="s">
        <v>523</v>
      </c>
      <c r="E56" s="1" t="s">
        <v>665</v>
      </c>
      <c r="F56" s="1" t="s">
        <v>706</v>
      </c>
      <c r="G56" s="1" t="s">
        <v>414</v>
      </c>
      <c r="H56" t="s">
        <v>467</v>
      </c>
      <c r="I56" s="1" t="s">
        <v>707</v>
      </c>
      <c r="J56" s="1" t="s">
        <v>640</v>
      </c>
      <c r="K56" s="1" t="s">
        <v>690</v>
      </c>
      <c r="L56" s="1" t="s">
        <v>708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358</v>
      </c>
      <c r="D57" s="1" t="s">
        <v>524</v>
      </c>
      <c r="E57" s="1" t="s">
        <v>666</v>
      </c>
      <c r="F57" s="1" t="s">
        <v>706</v>
      </c>
      <c r="G57" s="1" t="s">
        <v>415</v>
      </c>
      <c r="H57" t="s">
        <v>468</v>
      </c>
      <c r="I57" s="1" t="s">
        <v>707</v>
      </c>
      <c r="J57" s="1" t="s">
        <v>641</v>
      </c>
      <c r="K57" s="1" t="s">
        <v>691</v>
      </c>
      <c r="L57" s="1" t="s">
        <v>708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359</v>
      </c>
      <c r="D58" s="1" t="s">
        <v>525</v>
      </c>
      <c r="E58" s="1" t="s">
        <v>667</v>
      </c>
      <c r="F58" s="1" t="s">
        <v>706</v>
      </c>
      <c r="G58" s="1" t="s">
        <v>416</v>
      </c>
      <c r="H58" t="s">
        <v>469</v>
      </c>
      <c r="I58" s="1" t="s">
        <v>707</v>
      </c>
      <c r="J58" s="1" t="s">
        <v>642</v>
      </c>
      <c r="K58" s="1" t="s">
        <v>692</v>
      </c>
      <c r="L58" s="1" t="s">
        <v>708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360</v>
      </c>
      <c r="D59" s="1" t="s">
        <v>526</v>
      </c>
      <c r="E59" s="1" t="s">
        <v>668</v>
      </c>
      <c r="F59" s="1" t="s">
        <v>706</v>
      </c>
      <c r="G59" s="1" t="s">
        <v>417</v>
      </c>
      <c r="H59" t="s">
        <v>470</v>
      </c>
      <c r="I59" s="1" t="s">
        <v>707</v>
      </c>
      <c r="J59" s="1" t="s">
        <v>643</v>
      </c>
      <c r="K59" s="1" t="s">
        <v>693</v>
      </c>
      <c r="L59" s="1" t="s">
        <v>708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361</v>
      </c>
      <c r="D60" s="1" t="s">
        <v>527</v>
      </c>
      <c r="E60" s="1" t="s">
        <v>669</v>
      </c>
      <c r="F60" s="1" t="s">
        <v>706</v>
      </c>
      <c r="G60" s="1" t="s">
        <v>418</v>
      </c>
      <c r="H60" t="s">
        <v>471</v>
      </c>
      <c r="I60" s="1" t="s">
        <v>707</v>
      </c>
      <c r="J60" s="1" t="s">
        <v>644</v>
      </c>
      <c r="K60" s="1" t="s">
        <v>694</v>
      </c>
      <c r="L60" s="1" t="s">
        <v>708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GeneratePages</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2020-08-14T23:26:43Z</dcterms:modified>
</cp:coreProperties>
</file>