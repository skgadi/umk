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yamak\internet\"/>
    </mc:Choice>
  </mc:AlternateContent>
  <xr:revisionPtr revIDLastSave="0" documentId="13_ncr:1_{5DA55880-8DD7-4515-99F7-DE80A98FC767}" xr6:coauthVersionLast="45" xr6:coauthVersionMax="45" xr10:uidLastSave="{00000000-0000-0000-0000-000000000000}"/>
  <bookViews>
    <workbookView xWindow="-108" yWindow="-108" windowWidth="23256" windowHeight="12576" activeTab="3" xr2:uid="{8467AF14-AB62-4EB9-86FA-B8B9AA9C4E04}"/>
  </bookViews>
  <sheets>
    <sheet name="GeneratePages" sheetId="2" r:id="rId1"/>
    <sheet name="privacy-policy" sheetId="22" r:id="rId2"/>
    <sheet name="404" sheetId="20" r:id="rId3"/>
    <sheet name="_index" sheetId="3" r:id="rId4"/>
    <sheet name="about" sheetId="10" r:id="rId5"/>
    <sheet name="medical-procedures" sheetId="11" r:id="rId6"/>
    <sheet name="members" sheetId="13" r:id="rId7"/>
    <sheet name="packages" sheetId="14" r:id="rId8"/>
    <sheet name="contact" sheetId="15" r:id="rId9"/>
    <sheet name="sign-in" sheetId="18" r:id="rId10"/>
    <sheet name="verify-email" sheetId="19" r:id="rId11"/>
    <sheet name="MainSlider" sheetId="1" r:id="rId12"/>
    <sheet name="MainHighlights" sheetId="5" r:id="rId13"/>
    <sheet name="WhyUs" sheetId="6" r:id="rId14"/>
    <sheet name="MembersList" sheetId="8" r:id="rId15"/>
    <sheet name="MembersList (2)" sheetId="17" r:id="rId16"/>
    <sheet name="MedicalSpecialities" sheetId="9" r:id="rId17"/>
    <sheet name="Procedures" sheetId="12"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1" i="22" l="1"/>
  <c r="F81" i="22"/>
  <c r="E81" i="22"/>
  <c r="G80" i="22"/>
  <c r="F80" i="22"/>
  <c r="E80" i="22"/>
  <c r="G79" i="22"/>
  <c r="F79" i="22"/>
  <c r="E79" i="22"/>
  <c r="G78" i="22"/>
  <c r="F78" i="22"/>
  <c r="E78" i="22"/>
  <c r="G77" i="22"/>
  <c r="F77" i="22"/>
  <c r="E77" i="22"/>
  <c r="G76" i="22"/>
  <c r="F76" i="22"/>
  <c r="E76" i="22"/>
  <c r="G75" i="22"/>
  <c r="F75" i="22"/>
  <c r="E75" i="22"/>
  <c r="G74" i="22"/>
  <c r="F74" i="22"/>
  <c r="E74" i="22"/>
  <c r="G73" i="22"/>
  <c r="F73" i="22"/>
  <c r="E73" i="22"/>
  <c r="G72" i="22"/>
  <c r="F72" i="22"/>
  <c r="E72" i="22"/>
  <c r="G71" i="22"/>
  <c r="F71" i="22"/>
  <c r="E71" i="22"/>
  <c r="G70" i="22"/>
  <c r="F70" i="22"/>
  <c r="E70" i="22"/>
  <c r="G69" i="22"/>
  <c r="F69" i="22"/>
  <c r="E69" i="22"/>
  <c r="G68" i="22"/>
  <c r="F68" i="22"/>
  <c r="E68" i="22"/>
  <c r="G67" i="22"/>
  <c r="F67" i="22"/>
  <c r="E67" i="22"/>
  <c r="G66" i="22"/>
  <c r="F66" i="22"/>
  <c r="E66" i="22"/>
  <c r="G65" i="22"/>
  <c r="F65" i="22"/>
  <c r="E65" i="22"/>
  <c r="G64" i="22"/>
  <c r="F64" i="22"/>
  <c r="E64" i="22"/>
  <c r="G63" i="22"/>
  <c r="F63" i="22"/>
  <c r="E63" i="22"/>
  <c r="G62" i="22"/>
  <c r="F62" i="22"/>
  <c r="E62" i="22"/>
  <c r="G61" i="22"/>
  <c r="F61" i="22"/>
  <c r="E61" i="22"/>
  <c r="G60" i="22"/>
  <c r="F60" i="22"/>
  <c r="E60" i="22"/>
  <c r="G59" i="22"/>
  <c r="F59" i="22"/>
  <c r="E59" i="22"/>
  <c r="G58" i="22"/>
  <c r="F58" i="22"/>
  <c r="E58" i="22"/>
  <c r="G57" i="22"/>
  <c r="F57" i="22"/>
  <c r="E57" i="22"/>
  <c r="G56" i="22"/>
  <c r="F56" i="22"/>
  <c r="E56" i="22"/>
  <c r="G55" i="22"/>
  <c r="F55" i="22"/>
  <c r="E55" i="22"/>
  <c r="G54" i="22"/>
  <c r="F54" i="22"/>
  <c r="E54" i="22"/>
  <c r="G53" i="22"/>
  <c r="F53" i="22"/>
  <c r="E53" i="22"/>
  <c r="G52" i="22"/>
  <c r="F52" i="22"/>
  <c r="E52" i="22"/>
  <c r="G51" i="22"/>
  <c r="F51" i="22"/>
  <c r="E51" i="22"/>
  <c r="G50" i="22"/>
  <c r="F50" i="22"/>
  <c r="E50" i="22"/>
  <c r="G49" i="22"/>
  <c r="F49" i="22"/>
  <c r="E49" i="22"/>
  <c r="G48" i="22"/>
  <c r="F48" i="22"/>
  <c r="E48" i="22"/>
  <c r="G47" i="22"/>
  <c r="F47" i="22"/>
  <c r="E47" i="22"/>
  <c r="G46" i="22"/>
  <c r="F46" i="22"/>
  <c r="E46" i="22"/>
  <c r="G45" i="22"/>
  <c r="F45" i="22"/>
  <c r="E45" i="22"/>
  <c r="G44" i="22"/>
  <c r="F44" i="22"/>
  <c r="E44" i="22"/>
  <c r="G43" i="22"/>
  <c r="F43" i="22"/>
  <c r="E43" i="22"/>
  <c r="G42" i="22"/>
  <c r="F42" i="22"/>
  <c r="E42" i="22"/>
  <c r="G41" i="22"/>
  <c r="F41" i="22"/>
  <c r="E41" i="22"/>
  <c r="G40" i="22"/>
  <c r="F40" i="22"/>
  <c r="E40" i="22"/>
  <c r="G39" i="22"/>
  <c r="F39" i="22"/>
  <c r="E39" i="22"/>
  <c r="G38" i="22"/>
  <c r="F38" i="22"/>
  <c r="E38" i="22"/>
  <c r="G37" i="22"/>
  <c r="F37" i="22"/>
  <c r="E37" i="22"/>
  <c r="G36" i="22"/>
  <c r="F36" i="22"/>
  <c r="E36" i="22"/>
  <c r="G35" i="22"/>
  <c r="F35" i="22"/>
  <c r="E35" i="22"/>
  <c r="G34" i="22"/>
  <c r="F34" i="22"/>
  <c r="E34" i="22"/>
  <c r="G33" i="22"/>
  <c r="F33" i="22"/>
  <c r="E33" i="22"/>
  <c r="G32" i="22"/>
  <c r="F32" i="22"/>
  <c r="E32" i="22"/>
  <c r="G31" i="22"/>
  <c r="F31" i="22"/>
  <c r="E31" i="22"/>
  <c r="G30" i="22"/>
  <c r="F30" i="22"/>
  <c r="E30" i="22"/>
  <c r="G29" i="22"/>
  <c r="F29" i="22"/>
  <c r="E29" i="22"/>
  <c r="G28" i="22"/>
  <c r="F28" i="22"/>
  <c r="E28" i="22"/>
  <c r="G27" i="22"/>
  <c r="F27" i="22"/>
  <c r="E27" i="22"/>
  <c r="G26" i="22"/>
  <c r="F26" i="22"/>
  <c r="E26" i="22"/>
  <c r="G25" i="22"/>
  <c r="F25" i="22"/>
  <c r="E25" i="22"/>
  <c r="G24" i="22"/>
  <c r="F24" i="22"/>
  <c r="E24" i="22"/>
  <c r="F23" i="22"/>
  <c r="F22" i="22"/>
  <c r="E22" i="22"/>
  <c r="F21" i="22"/>
  <c r="E21" i="22"/>
  <c r="C20" i="22"/>
  <c r="E19" i="22"/>
  <c r="F19" i="22" s="1"/>
  <c r="C19" i="22"/>
  <c r="C18" i="22"/>
  <c r="C17" i="22"/>
  <c r="C16" i="22"/>
  <c r="C15" i="22"/>
  <c r="C14" i="22"/>
  <c r="E13" i="22"/>
  <c r="F13" i="22" s="1"/>
  <c r="C13" i="22"/>
  <c r="G12" i="22"/>
  <c r="E12" i="22"/>
  <c r="C12" i="22"/>
  <c r="F12" i="22" s="1"/>
  <c r="G11" i="22"/>
  <c r="F11" i="22"/>
  <c r="E11" i="22"/>
  <c r="C11" i="22"/>
  <c r="G10" i="22"/>
  <c r="E10" i="22"/>
  <c r="C10" i="22"/>
  <c r="F10" i="22" s="1"/>
  <c r="G9" i="22"/>
  <c r="F9" i="22"/>
  <c r="E9" i="22"/>
  <c r="C9" i="22"/>
  <c r="G8" i="22"/>
  <c r="F8" i="22"/>
  <c r="E8" i="22"/>
  <c r="G7" i="22"/>
  <c r="F7" i="22"/>
  <c r="E7" i="22"/>
  <c r="G6" i="22"/>
  <c r="F6" i="22"/>
  <c r="E6" i="22"/>
  <c r="G5" i="22"/>
  <c r="F5" i="22"/>
  <c r="E5" i="22"/>
  <c r="G4" i="22"/>
  <c r="F4" i="22"/>
  <c r="E4" i="22"/>
  <c r="G3" i="22"/>
  <c r="F3" i="22"/>
  <c r="E3" i="22"/>
  <c r="G2" i="22"/>
  <c r="F2" i="22"/>
  <c r="E2" i="22"/>
  <c r="G1" i="22" l="1"/>
  <c r="E1" i="22"/>
  <c r="F1" i="22"/>
  <c r="F1" i="3"/>
  <c r="G1" i="3"/>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4" i="3"/>
  <c r="F54" i="3"/>
  <c r="G54" i="3"/>
  <c r="E55" i="3"/>
  <c r="F55" i="3"/>
  <c r="G55" i="3"/>
  <c r="E56" i="3"/>
  <c r="F56" i="3"/>
  <c r="G56" i="3"/>
  <c r="E57" i="3"/>
  <c r="F57" i="3"/>
  <c r="G57" i="3"/>
  <c r="E58" i="3"/>
  <c r="F58" i="3"/>
  <c r="G58" i="3"/>
  <c r="E59" i="3"/>
  <c r="F59" i="3"/>
  <c r="G59" i="3"/>
  <c r="E60" i="3"/>
  <c r="F60" i="3"/>
  <c r="G60" i="3"/>
  <c r="E61" i="3"/>
  <c r="F61" i="3"/>
  <c r="G61" i="3"/>
  <c r="E62" i="3"/>
  <c r="F62" i="3"/>
  <c r="G62" i="3"/>
  <c r="E63" i="3"/>
  <c r="F63" i="3"/>
  <c r="G63" i="3"/>
  <c r="E64" i="3"/>
  <c r="F64" i="3"/>
  <c r="G64"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E80" i="3"/>
  <c r="F80" i="3"/>
  <c r="G80" i="3"/>
  <c r="E81" i="3"/>
  <c r="F81" i="3"/>
  <c r="G81" i="3"/>
  <c r="E82" i="3"/>
  <c r="F82" i="3"/>
  <c r="G82" i="3"/>
  <c r="E83" i="3"/>
  <c r="F83" i="3"/>
  <c r="G83" i="3"/>
  <c r="E84" i="3"/>
  <c r="F84" i="3"/>
  <c r="G84" i="3"/>
  <c r="E85" i="3"/>
  <c r="F85" i="3"/>
  <c r="G85" i="3"/>
  <c r="C20" i="3"/>
  <c r="C19" i="3"/>
  <c r="C18" i="3"/>
  <c r="C17" i="3"/>
  <c r="C16" i="3"/>
  <c r="C15" i="3"/>
  <c r="C14" i="3"/>
  <c r="C13" i="3"/>
  <c r="C12" i="3"/>
  <c r="C11" i="3"/>
  <c r="C10" i="3"/>
  <c r="C9" i="3"/>
  <c r="E1" i="3" l="1"/>
  <c r="E21" i="3"/>
  <c r="F21" i="3"/>
  <c r="E22" i="3"/>
  <c r="F22" i="3"/>
  <c r="E23" i="3"/>
  <c r="F23" i="3"/>
  <c r="E24" i="3"/>
  <c r="F24" i="3"/>
  <c r="E26" i="3"/>
  <c r="F26" i="3"/>
  <c r="F27" i="3"/>
  <c r="E28" i="3"/>
  <c r="F28" i="3"/>
  <c r="E29" i="3"/>
  <c r="F29" i="3"/>
  <c r="E30" i="3"/>
  <c r="F30" i="3"/>
  <c r="E31" i="3"/>
  <c r="F31" i="3"/>
  <c r="E19" i="3" l="1"/>
  <c r="F19" i="3" s="1"/>
  <c r="E13" i="3"/>
  <c r="F13" i="3" s="1"/>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3" i="3"/>
  <c r="G52" i="3"/>
  <c r="G51" i="3"/>
  <c r="G50" i="3"/>
  <c r="G49" i="3"/>
  <c r="G48" i="3"/>
  <c r="G47" i="3"/>
  <c r="G46" i="3"/>
  <c r="G45" i="3"/>
  <c r="G44" i="3"/>
  <c r="G43" i="3"/>
  <c r="G42" i="3"/>
  <c r="G41" i="3"/>
  <c r="G40" i="3"/>
  <c r="G39" i="3"/>
  <c r="G38" i="3"/>
  <c r="G37" i="3"/>
  <c r="G36" i="3"/>
  <c r="G35" i="3"/>
  <c r="G34" i="3"/>
  <c r="G33" i="3"/>
  <c r="G32" i="3"/>
  <c r="G31" i="3"/>
  <c r="G30" i="3"/>
  <c r="G29" i="3"/>
  <c r="G28"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12" i="3"/>
  <c r="F12" i="3"/>
  <c r="G9" i="3"/>
  <c r="F9" i="3"/>
  <c r="G11" i="3"/>
  <c r="F11" i="3"/>
</calcChain>
</file>

<file path=xl/sharedStrings.xml><?xml version="1.0" encoding="utf-8"?>
<sst xmlns="http://schemas.openxmlformats.org/spreadsheetml/2006/main" count="1786" uniqueCount="1040">
  <si>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</si>
  <si>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</si>
  <si>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</si>
  <si>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</si>
  <si>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</si>
  <si>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</si>
  <si>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</si>
  <si>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</si>
  <si>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</si>
  <si>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</si>
  <si>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</si>
  <si>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</si>
  <si>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</si>
  <si>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</si>
  <si>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</si>
  <si>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</si>
  <si>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</si>
  <si>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</si>
  <si>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</si>
  <si>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</si>
  <si>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</si>
  <si>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</si>
  <si>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</si>
  <si>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</si>
  <si>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</si>
  <si>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</si>
  <si>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</si>
  <si>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</si>
  <si>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</si>
  <si>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</si>
  <si>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</si>
  <si>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</si>
  <si>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</si>
  <si>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</si>
  <si>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</si>
  <si>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</si>
  <si>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</si>
  <si>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</si>
  <si>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</si>
  <si>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</si>
  <si>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</si>
  <si>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</si>
  <si>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</si>
  <si>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</si>
  <si>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</si>
  <si>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</si>
  <si>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</si>
  <si>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</si>
  <si>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</si>
  <si>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</si>
  <si>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</si>
  <si>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</si>
  <si>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</si>
  <si>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</si>
  <si>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</si>
  <si>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</si>
  <si>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</si>
  <si>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</si>
  <si>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</si>
  <si>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</si>
  <si>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</si>
  <si>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</si>
  <si>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</si>
  <si>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</si>
  <si>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</si>
  <si>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</si>
  <si>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</si>
  <si>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</si>
  <si>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</si>
  <si>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</si>
  <si>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</si>
  <si>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</si>
  <si>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</si>
  <si>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</si>
  <si>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</si>
  <si>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</si>
  <si>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</si>
  <si>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</si>
  <si>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</si>
  <si>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</si>
  <si>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</si>
  <si>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</si>
  <si>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</si>
  <si>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</si>
  <si>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</si>
  <si>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</si>
  <si>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</si>
  <si>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</si>
  <si>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</si>
  <si>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</si>
  <si>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</si>
  <si>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</si>
  <si>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</si>
  <si>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</si>
  <si>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</si>
  <si>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</si>
  <si>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</si>
  <si>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</si>
  <si>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</si>
  <si>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</si>
  <si>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</si>
  <si>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</si>
  <si>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</si>
  <si>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</si>
  <si>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</si>
  <si>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</si>
  <si>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</si>
  <si>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</si>
  <si>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</si>
  <si>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</si>
  <si>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</si>
  <si>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</si>
  <si>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</si>
  <si>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</si>
  <si>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</si>
  <si>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</si>
  <si>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</si>
  <si>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</si>
  <si>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</si>
  <si>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</si>
  <si>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</si>
  <si>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</si>
  <si>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</si>
  <si>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</si>
  <si>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</si>
  <si>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</si>
  <si>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</si>
  <si>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</si>
  <si>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</si>
  <si>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</si>
  <si>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</si>
  <si>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</si>
  <si>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</si>
  <si>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</si>
  <si>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</si>
  <si>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</si>
  <si>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</si>
  <si>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</si>
  <si>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</si>
  <si>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</si>
  <si>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</si>
  <si>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</si>
  <si>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</si>
  <si>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</si>
  <si>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</si>
  <si>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</si>
  <si>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</si>
  <si>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</si>
  <si>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</si>
  <si>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</si>
  <si>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</si>
  <si>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</si>
  <si>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</si>
  <si>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</si>
  <si>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</si>
  <si>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</si>
  <si>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</si>
  <si>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</si>
  <si>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</si>
  <si>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</si>
  <si>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</si>
  <si>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</si>
  <si>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</si>
  <si>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</si>
  <si>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</si>
  <si>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</si>
  <si>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</si>
  <si>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</si>
  <si>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</si>
  <si>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</si>
  <si>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</si>
  <si>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</si>
  <si>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</si>
  <si>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</si>
  <si>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</si>
  <si>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</si>
  <si>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</si>
  <si>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</si>
  <si>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</si>
  <si>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</si>
  <si>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</si>
  <si>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</si>
  <si>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</si>
  <si>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</si>
  <si>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</si>
  <si>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</si>
  <si>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</si>
  <si>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</si>
  <si>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</si>
  <si>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</si>
  <si>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</si>
  <si>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</si>
  <si>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</si>
  <si>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</si>
  <si>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</si>
  <si>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</si>
  <si>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</si>
  <si>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</si>
  <si>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</si>
  <si>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</si>
  <si>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</si>
  <si>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</si>
  <si>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</si>
  <si>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</si>
  <si>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</si>
  <si>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</si>
  <si>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</si>
  <si>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</si>
  <si>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</si>
  <si>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</si>
  <si>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</si>
  <si>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</si>
  <si>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</si>
  <si>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</si>
  <si>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</si>
  <si>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</si>
  <si>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</si>
  <si>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</si>
  <si>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</si>
  <si>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</si>
  <si>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</si>
  <si>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</si>
  <si>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</si>
  <si>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</si>
  <si>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</si>
  <si>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</si>
  <si>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</si>
  <si>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</si>
  <si>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</si>
  <si>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</si>
  <si>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</si>
  <si>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</si>
  <si>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</si>
  <si>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</si>
  <si>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</si>
  <si>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</si>
  <si>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</si>
  <si>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</si>
  <si>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</si>
  <si>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</si>
  <si>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</si>
  <si>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</si>
  <si>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</si>
  <si>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</si>
  <si>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</si>
  <si>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</si>
  <si>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</si>
  <si>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</si>
  <si>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</si>
  <si>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</si>
  <si>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</si>
  <si>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</si>
  <si>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</si>
  <si>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</si>
  <si>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</si>
  <si>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</si>
  <si>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</si>
  <si>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</si>
  <si>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</si>
  <si>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</si>
  <si>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</si>
  <si>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</si>
  <si>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</si>
  <si>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</si>
  <si>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</si>
  <si>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</si>
  <si>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</si>
  <si>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</si>
  <si>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</si>
  <si>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</si>
  <si>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</si>
  <si>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</si>
  <si>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</si>
  <si>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</si>
  <si>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</si>
  <si>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</si>
  <si>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</si>
  <si>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</si>
  <si>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</si>
  <si>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</si>
  <si>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</si>
  <si>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</si>
  <si>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</si>
  <si>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</si>
  <si>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</si>
  <si>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</si>
  <si>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</si>
  <si>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</si>
  <si>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</si>
  <si>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</si>
  <si>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</si>
  <si>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</si>
  <si>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</si>
  <si>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</si>
  <si>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</si>
  <si>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</si>
  <si>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</si>
  <si>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</si>
  <si>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</si>
  <si>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</si>
  <si>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</si>
  <si>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</si>
  <si>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</si>
  <si>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</si>
  <si>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</si>
  <si>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</si>
  <si>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</si>
  <si>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</si>
  <si>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</si>
  <si>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</si>
  <si>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</si>
  <si>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</si>
  <si>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</si>
  <si>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</si>
  <si>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</si>
  <si>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</si>
  <si>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</si>
  <si>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</si>
  <si>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</si>
  <si>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</si>
  <si>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</si>
  <si>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</si>
  <si>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</si>
  <si>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</si>
  <si>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</si>
  <si>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</si>
  <si>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</si>
  <si>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</si>
  <si>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</si>
  <si>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</si>
  <si>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</si>
  <si>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</si>
  <si>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</si>
  <si>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</si>
  <si>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</si>
  <si>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</si>
  <si>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</si>
  <si>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</si>
  <si>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</si>
  <si>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</si>
  <si>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</si>
  <si>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</si>
  <si>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</si>
  <si>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</si>
  <si>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</si>
  <si>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</si>
  <si>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</si>
  <si>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</si>
  <si>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</si>
  <si>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</si>
  <si>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</si>
  <si>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</si>
  <si>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</si>
  <si>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</si>
  <si>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</si>
  <si>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</si>
  <si>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</si>
  <si>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</si>
  <si>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</si>
  <si>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</si>
  <si>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</si>
  <si>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</si>
  <si>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</si>
  <si>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</si>
  <si>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</si>
  <si>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</si>
  <si>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</si>
  <si>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</si>
  <si>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</si>
  <si>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</si>
  <si>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</si>
  <si>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</si>
  <si>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</si>
  <si>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</si>
  <si>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</si>
  <si>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</si>
  <si>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</si>
  <si>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</si>
  <si>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</si>
  <si>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</si>
  <si>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</si>
  <si>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</si>
  <si>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</si>
  <si>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</si>
  <si>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</si>
  <si>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</si>
  <si>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</si>
  <si>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</si>
  <si>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</si>
  <si>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</si>
  <si>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</si>
  <si>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</si>
  <si>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</si>
  <si>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</si>
  <si>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</si>
  <si>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</si>
  <si>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</si>
  <si>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</si>
  <si>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</si>
  <si>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</si>
  <si>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</si>
  <si>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</si>
  <si>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</si>
  <si>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</si>
  <si>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</si>
  <si>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</si>
  <si>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</si>
  <si>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</si>
  <si>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</si>
  <si>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</si>
  <si>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</si>
  <si>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</si>
  <si>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</si>
  <si>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</si>
  <si>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</si>
  <si>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</si>
  <si>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</si>
  <si>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</si>
  <si>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</si>
  <si>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</si>
  <si>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</si>
  <si>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</si>
  <si>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</si>
  <si>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</si>
  <si>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</si>
  <si>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</si>
  <si>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</si>
  <si>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</si>
  <si>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</si>
  <si>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</si>
  <si>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</si>
  <si>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</si>
  <si>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</si>
  <si>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</si>
  <si>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</si>
  <si>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</si>
  <si>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</si>
  <si>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</si>
  <si>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</si>
  <si>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</si>
  <si>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</si>
  <si>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</si>
  <si>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</si>
  <si>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</si>
  <si>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</si>
  <si>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</si>
  <si>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</si>
  <si>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</si>
  <si>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</si>
  <si>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</si>
  <si>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</si>
  <si>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</si>
  <si>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</si>
  <si>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</si>
  <si>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</si>
  <si>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</si>
  <si>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</si>
  <si>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</si>
  <si>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</si>
  <si>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</si>
  <si>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</si>
  <si>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</si>
  <si>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</si>
  <si>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</si>
  <si>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</si>
  <si>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</si>
  <si>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</si>
  <si>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</si>
  <si>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</si>
  <si>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</si>
  <si>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</si>
  <si>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</si>
  <si>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</si>
  <si>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</si>
  <si>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</si>
  <si>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</si>
  <si>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</si>
  <si>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</si>
  <si>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</si>
  <si>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</si>
  <si>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</si>
  <si>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</si>
  <si>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</si>
  <si>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</si>
  <si>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</si>
  <si>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</si>
  <si>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</si>
  <si>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</si>
  <si>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</si>
  <si>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</si>
  <si>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</si>
  <si>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</si>
  <si>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</si>
  <si>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</si>
  <si>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</si>
  <si>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</si>
  <si>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</si>
  <si>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</si>
  <si>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</si>
  <si>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</si>
  <si>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</si>
  <si>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</si>
  <si>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</si>
  <si>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</si>
  <si>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</si>
  <si>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</si>
  <si>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</si>
  <si>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</si>
  <si>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</si>
  <si>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</si>
  <si>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</si>
  <si>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</si>
  <si>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</si>
  <si>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</si>
  <si>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</si>
  <si>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</si>
  <si>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</si>
  <si>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</si>
  <si>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</si>
  <si>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</si>
  <si>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</si>
  <si>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</si>
  <si>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</si>
  <si>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</si>
  <si>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</si>
  <si>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</si>
  <si>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</si>
  <si>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</si>
  <si>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</si>
  <si>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</si>
  <si>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</si>
  <si>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</si>
  <si>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</si>
  <si>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</si>
  <si>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</si>
  <si>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</si>
  <si>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</si>
  <si>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</si>
  <si>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</si>
  <si>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</si>
  <si>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</si>
  <si>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</si>
  <si>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</si>
  <si>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</si>
  <si>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</si>
  <si>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</si>
  <si>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</si>
  <si>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</si>
  <si>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</si>
  <si>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</si>
  <si>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</si>
  <si>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</si>
  <si>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</si>
  <si>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</si>
  <si>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</si>
  <si>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</si>
  <si>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</si>
  <si>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</si>
  <si>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</si>
  <si>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</si>
  <si>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</si>
  <si>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</si>
  <si>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</si>
  <si>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</si>
  <si>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</si>
  <si>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</si>
  <si>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</si>
  <si>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</si>
  <si>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</si>
  <si>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</si>
  <si>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</si>
  <si>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</si>
  <si>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</si>
  <si>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</si>
  <si>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</si>
  <si>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</si>
  <si>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</si>
  <si>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</si>
  <si>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</si>
  <si>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</si>
  <si>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</si>
  <si>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</si>
  <si>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</si>
  <si>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</si>
  <si>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</si>
  <si>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</si>
  <si>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</si>
  <si>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</si>
  <si>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</si>
  <si>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</si>
  <si>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</si>
  <si>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</si>
  <si>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</si>
  <si>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</si>
  <si>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</si>
  <si>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</si>
  <si>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</si>
  <si>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</si>
  <si>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</si>
  <si>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</si>
  <si>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</si>
  <si>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</si>
  <si>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</si>
  <si>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</si>
  <si>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</si>
  <si>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</si>
  <si>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</si>
  <si>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</si>
  <si>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</si>
  <si>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</si>
  <si>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</si>
  <si>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</si>
  <si>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</si>
  <si>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</si>
  <si>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</si>
  <si>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</si>
  <si>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</si>
  <si>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</si>
  <si>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</si>
  <si>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</si>
  <si>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</si>
  <si>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</si>
  <si>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</si>
  <si>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</si>
  <si>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</si>
  <si>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</si>
  <si>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</si>
  <si>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</si>
  <si>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</si>
  <si>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</si>
  <si>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</si>
  <si>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</si>
  <si>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</si>
  <si>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</si>
  <si>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</si>
  <si>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</si>
  <si>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</si>
  <si>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</si>
  <si>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</si>
  <si>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</si>
  <si>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</si>
  <si>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</si>
  <si>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</si>
  <si>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</si>
  <si>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</si>
  <si>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</si>
  <si>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</si>
  <si>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</si>
  <si>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</si>
  <si>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</si>
  <si>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</si>
  <si>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</si>
  <si>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</si>
  <si>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</si>
  <si>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</si>
  <si>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</si>
  <si>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</si>
  <si>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</si>
  <si>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</si>
  <si>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</si>
  <si>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</si>
  <si>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</si>
  <si>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</si>
  <si>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</si>
  <si>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</si>
  <si>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</si>
  <si>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</si>
  <si>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</si>
  <si>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</si>
  <si>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</si>
  <si>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</si>
  <si>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</si>
  <si>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</si>
  <si>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</si>
  <si>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</si>
  <si>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</si>
  <si>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</si>
  <si>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</si>
  <si>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</si>
  <si>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</si>
  <si>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</si>
  <si>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</si>
  <si>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</si>
  <si>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</si>
  <si>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</si>
  <si>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</si>
  <si>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</si>
  <si>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</si>
  <si>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</si>
  <si>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</si>
  <si>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</si>
  <si>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</si>
  <si>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</si>
  <si>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</si>
  <si>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</si>
  <si>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</si>
  <si>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</si>
  <si>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</si>
  <si>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</si>
  <si>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</si>
  <si>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</si>
  <si>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</si>
  <si>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</si>
  <si>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</si>
  <si>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</si>
  <si>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</si>
  <si>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</si>
  <si>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</si>
  <si>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</si>
  <si>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</si>
  <si>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</si>
  <si>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</si>
  <si>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</si>
  <si>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</si>
  <si>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</si>
  <si>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</si>
  <si>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</si>
  <si>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</si>
  <si>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</si>
  <si>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</si>
  <si>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</si>
  <si>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</si>
  <si>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</si>
  <si>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</si>
  <si>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</si>
  <si>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</si>
  <si>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</si>
  <si>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</si>
  <si>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</si>
  <si>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</si>
  <si>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</si>
  <si>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</si>
  <si>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</si>
  <si>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</si>
  <si>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</si>
  <si>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</si>
  <si>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</si>
  <si>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</si>
  <si>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</si>
  <si>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</si>
  <si>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</si>
  <si>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</si>
  <si>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</si>
  <si>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</si>
  <si>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</si>
  <si>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</si>
  <si>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</si>
  <si>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</si>
  <si>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</si>
  <si>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</si>
  <si>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</si>
  <si>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</si>
  <si>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</si>
  <si>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</si>
  <si>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</si>
  <si>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</si>
  <si>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</si>
  <si>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</si>
  <si>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</si>
  <si>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</si>
  <si>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</si>
  <si>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</si>
  <si>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</si>
  <si>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</si>
  <si>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</si>
  <si>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</si>
  <si>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</si>
  <si>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</si>
  <si>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</si>
  <si>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</si>
  <si>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</si>
  <si>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</si>
  <si>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</si>
  <si>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</si>
  <si>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</si>
  <si>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</si>
  <si>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</si>
  <si>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</si>
  <si>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</si>
  <si>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</si>
  <si>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</si>
  <si>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</si>
  <si>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</si>
  <si>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</si>
  <si>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</si>
  <si>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</si>
  <si>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</si>
  <si>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</si>
  <si>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</si>
  <si>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</si>
  <si>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</si>
  <si>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</si>
  <si>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</si>
  <si>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</si>
  <si>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</si>
  <si>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</si>
  <si>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</si>
  <si>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</si>
  <si>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</si>
  <si>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</si>
  <si>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</si>
  <si>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</si>
  <si>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</si>
  <si>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</si>
  <si>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</si>
  <si>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</si>
  <si>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</si>
  <si>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</si>
  <si>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</si>
  <si>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</si>
  <si>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</si>
  <si>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</si>
  <si>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</si>
  <si>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</si>
  <si>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</si>
  <si>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</si>
  <si>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</si>
  <si>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</si>
  <si>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</si>
  <si>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</si>
  <si>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</si>
  <si>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</si>
  <si>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</si>
  <si>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</si>
  <si>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</si>
  <si>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</si>
  <si>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</si>
  <si>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</si>
  <si>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</si>
  <si>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</si>
  <si>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</si>
  <si>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</si>
  <si>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</si>
  <si>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</si>
  <si>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</si>
  <si>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</si>
  <si>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</si>
  <si>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</si>
  <si>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</si>
  <si>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</si>
  <si>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</si>
  <si>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</si>
  <si>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</si>
  <si>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</si>
  <si>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</si>
  <si>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Es útil para estudiantes de todos los niveles e investigadores. Estamos desarrollando activamente esta aplicación para mejorar su funcionalidad. Algunas partes del sitio web están incompletas, pero vaya a la aplicación para probarla usted mismo.</t>
  </si>
  <si>
    <t>It is useful for students of all levels and researchers. We are actively developing this application to improve its functionality. Some parts of the website are incomplete, but please proceed to the app to try it yourself.</t>
  </si>
  <si>
    <t>head_1_subhead</t>
  </si>
  <si>
    <t>Learning mathematics is made fun</t>
  </si>
  <si>
    <t>Aprender matemáticas es divertido.</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</si>
  <si>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</si>
  <si>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</si>
  <si>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</si>
  <si>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</si>
  <si>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</si>
  <si>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</si>
  <si>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</si>
  <si>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</si>
  <si>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</si>
  <si>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</si>
  <si>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</si>
  <si>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</si>
  <si>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</si>
  <si>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</si>
  <si>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En las escuelas, los estudiantes pueden aprender a realizar operaciones matemáticas básicas y funciones trigonométricas.</t>
  </si>
  <si>
    <t>At schools, students can learn to perform basic mathematical operations and trigonometric functions.</t>
  </si>
  <si>
    <t>head_1_card_1_desc_1</t>
  </si>
  <si>
    <t>head_1_card_1_desc_2</t>
  </si>
  <si>
    <t>head_1_card_1_desc_3</t>
  </si>
  <si>
    <t>head_1_card_1_desc_4</t>
  </si>
  <si>
    <t>Resolver ecuaciones diferenciales, visualizar modelos matemáticos complejos es fácil con el Uyamak para los estudiantes universitarios.</t>
  </si>
  <si>
    <t>Solving differential equations, visualizing complex mathematical model is made easy with the Uyamak for the university students.</t>
  </si>
  <si>
    <t>Los investigadores pueden probar sus algoritmos aplicando diferentes métodos de integración.</t>
  </si>
  <si>
    <t>Researchers can test their algorithms by applying different integration methods.</t>
  </si>
  <si>
    <t>Uyamak editor allows you to design and simulate a mathematical model. It uses a pictorial way of design. Prepare your algorithm by connecting different blocks with the wires.</t>
  </si>
  <si>
    <t>El editor de Uyamak le permite diseñar y simular un modelo matemático. Utiliza una forma pictórica de diseño. Prepare su algoritmo conectando diferentes bloques con los cables.</t>
  </si>
  <si>
    <t>College students can practice their newly acquired knowledge in topics such as complex numbers, matrices, calculus, etc.</t>
  </si>
  <si>
    <t>Los estudiantes universitarios pueden practicar sus conocimientos recién adquiridos en temas como números complejos, matrices, cálculo, etc.</t>
  </si>
  <si>
    <t>head_2</t>
  </si>
  <si>
    <t>head_2_subhead</t>
  </si>
  <si>
    <t>Sneak peek under the hood</t>
  </si>
  <si>
    <t>Echa un vistazo debajo del capó</t>
  </si>
  <si>
    <t>Uyamak uses javascript to identify the algorithm, which is the block diagram created by the user. It then prepares an execution-order and passes it to the simulation engine. The simulation engine then executes one block at a time.</t>
  </si>
  <si>
    <t>Web workers are used for multi-threading to make sure the GUI is responsive during the execution of the simulation.</t>
  </si>
  <si>
    <t>We are drafting a scientific article to present a detailed explanation of the working of the Uyamak. Once published, we would make it available here.</t>
  </si>
  <si>
    <t>Uyamak usa javascript para identificar el algoritmo, que es el diagrama de bloques creado por el usuario. Luego prepara una orden de ejecución y la pasa al motor de simulación. El motor de simulación luego ejecuta un bloque a la vez.</t>
  </si>
  <si>
    <t>Los trabajadores web se utilizan para subprocesos múltiples para asegurarse de que la GUI responda durante la ejecución de la simulación.</t>
  </si>
  <si>
    <t>Estamos redactando un artículo científico para presentar una explicación detallada del funcionamiento del Uyamak. Una vez publicado, lo pondríamos a disposición aquí.</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</si>
  <si>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</si>
  <si>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</si>
  <si>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</si>
  <si>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</si>
  <si>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</si>
  <si>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</si>
  <si>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</si>
  <si>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</si>
  <si>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</si>
  <si>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</si>
  <si>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</si>
  <si>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</si>
  <si>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</si>
  <si>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</si>
  <si>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</si>
  <si>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</si>
  <si>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</si>
  <si>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Monitor</t>
  </si>
  <si>
    <t>Actualizar</t>
  </si>
  <si>
    <t>Uyamak interprets the user flowchart to prepare an execution order.</t>
  </si>
  <si>
    <t>Uyamak interpreta el diagrama de flujo del usuario para preparar una orden de ejecución.</t>
  </si>
  <si>
    <t>The simulation engine numerically evaluates each block and sends the results to the main window.</t>
  </si>
  <si>
    <t>El motor de simulación evalúa numéricamente cada bloque y envía los resultados a la ventana principal.</t>
  </si>
  <si>
    <t>The main window thread displays the results at certain intervals to keep the GUI interactive.</t>
  </si>
  <si>
    <t>El hilo de la ventana principal muestra los resultados a ciertos intervalos para mantener interactiva la GUI.</t>
  </si>
  <si>
    <t>In Uyamak, you can update the models on the fly. However, the changes to the connections won't affect the simulation.</t>
  </si>
  <si>
    <t>En Uyamak, puede actualizar los modelos sobre la marcha. Sin embargo, los cambios en las conexiones no afectarán la simulación.</t>
  </si>
  <si>
    <t>head_3</t>
  </si>
  <si>
    <t>head_3_subhead</t>
  </si>
  <si>
    <t>head_3_para_1</t>
  </si>
  <si>
    <t>head_3_card_1_title_1</t>
  </si>
  <si>
    <t>OS independent</t>
  </si>
  <si>
    <t>Independiente del SO</t>
  </si>
  <si>
    <t>head_3_card_1_title_2</t>
  </si>
  <si>
    <t>Instant access</t>
  </si>
  <si>
    <t>Acceso instantáneo</t>
  </si>
  <si>
    <t>head_3_card_1_title_3</t>
  </si>
  <si>
    <t>No coding</t>
  </si>
  <si>
    <t>Sin codificación</t>
  </si>
  <si>
    <t>head_3_card_1_title_4</t>
  </si>
  <si>
    <t>Sharing</t>
  </si>
  <si>
    <t>Compartiendo</t>
  </si>
  <si>
    <t>head_3_card_1_desc_1</t>
  </si>
  <si>
    <t>Uyamak runs on a browser, so no matter which operating system you are in, Uyamak comes in handy.</t>
  </si>
  <si>
    <t>Uyamak se ejecuta en un navegador, por lo que no importa en qué sistema operativo se encuentre, Uyamak es útil.</t>
  </si>
  <si>
    <t>head_3_card_1_desc_2</t>
  </si>
  <si>
    <t>You can instantly start it working without any need for downloading, installing, and doesn't need admin rights to run.</t>
  </si>
  <si>
    <t>Puede comenzar a funcionar instantáneamente sin necesidad de descargar, instalar y no necesita derechos de administrador para ejecutarse.</t>
  </si>
  <si>
    <t>head_3_card_1_desc_3</t>
  </si>
  <si>
    <t>You don't have to code anything. It is all visual programming, which is as simple as drawing a block diagram.</t>
  </si>
  <si>
    <t>No tienes que codificar nada. Todo es programación visual, que es tan simple como dibujar un diagrama de bloques.</t>
  </si>
  <si>
    <t>head_3_card_1_desc_4</t>
  </si>
  <si>
    <t xml:space="preserve">You can download your program to your computer or save and share it on your Google Drive storage. </t>
  </si>
  <si>
    <t>Puede descargar su programa a su computadora o guardarlo y compartirlo en su almacenamiento de Google Drive.</t>
  </si>
  <si>
    <t>support</t>
  </si>
  <si>
    <t>What makes ఉ special</t>
  </si>
  <si>
    <t>Que hace a ఉ especial</t>
  </si>
  <si>
    <t>We need your help to improve</t>
  </si>
  <si>
    <t>Necesitamos tu ayuda para mejorar</t>
  </si>
  <si>
    <t>head_4</t>
  </si>
  <si>
    <t>head_4_subhead</t>
  </si>
  <si>
    <t>head_4_para_1</t>
  </si>
  <si>
    <t>Support Uyamak</t>
  </si>
  <si>
    <t>Apoya a Uyamak</t>
  </si>
  <si>
    <t>We do not use advertisements because it interferes with the app performance. Also, we don't want to charge a subscription fee because we want it to be freely available to all the students. We need support from generous users to spend more time to complete this project and improve it.</t>
  </si>
  <si>
    <t>We plan to create a complete Uyamak ecosystem by including hardware support that is capable of running the algorithm in the realtime. We will update more details shortly.</t>
  </si>
  <si>
    <t>head_4_para_2</t>
  </si>
  <si>
    <t>head_4_para_3</t>
  </si>
  <si>
    <t>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t>
  </si>
  <si>
    <t>Planeamos crear un ecosistema Uyamak completo al incluir soporte de hardware que sea capaz de ejecutar el algoritmo en tiempo real. Actualizaremos más detalles en breve.</t>
  </si>
  <si>
    <t>Puede apoyarnos seleccionando cualquiera de las siguientes opciones. Le recomendamos encarecidamente que utilice Patreon porque hace públicos los fondos recaudados al instante. Sin embargo, actualizamos esto aquí mensualmente.</t>
  </si>
  <si>
    <t>Patreon</t>
  </si>
  <si>
    <t>Our first preference</t>
  </si>
  <si>
    <t>Nuestra primera preferencia</t>
  </si>
  <si>
    <t>PayPal</t>
  </si>
  <si>
    <t>Our second preference</t>
  </si>
  <si>
    <t>Nuestra segunda preferencia</t>
  </si>
  <si>
    <t>Mercancías</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</si>
  <si>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</si>
  <si>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</si>
  <si>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</si>
  <si>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</si>
  <si>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</si>
  <si>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</si>
  <si>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</si>
  <si>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</si>
  <si>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</si>
  <si>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</si>
  <si>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</si>
  <si>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</si>
  <si>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</si>
  <si>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</si>
  <si>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</si>
  <si>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</si>
  <si>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</si>
  <si>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We want to hear from you</t>
  </si>
  <si>
    <t>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t>
  </si>
  <si>
    <t>The following button to take you to the contact page of SKGadi. Please mention the word Uyamak in the subject to identify your area of interest.</t>
  </si>
  <si>
    <t>head_5</t>
  </si>
  <si>
    <t>head_5_subhead</t>
  </si>
  <si>
    <t>head_5_para_1</t>
  </si>
  <si>
    <t>head_5_para_2</t>
  </si>
  <si>
    <t>SKGadi's contact page</t>
  </si>
  <si>
    <t>Go to</t>
  </si>
  <si>
    <t>Queremos escuchar de ti</t>
  </si>
  <si>
    <t>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t>
  </si>
  <si>
    <t>El siguiente botón le llevará a la página de contacto de SKGadi. Por favor mencione la palabra Uyamak en el tema para identificar su área de interés.</t>
  </si>
  <si>
    <t>Página de contacto de SKGadi</t>
  </si>
  <si>
    <t>Ir a</t>
  </si>
  <si>
    <t>button_contact</t>
  </si>
  <si>
    <t>button_goto</t>
  </si>
  <si>
    <t>button_goto_app</t>
  </si>
  <si>
    <t>Go to the application</t>
  </si>
  <si>
    <t>Ir a la aplicación</t>
  </si>
  <si>
    <t>Uyamak is unique because you can use it on your school computer, laptop, or any other computer with internet access. All your code runs on your computer, so it doesn't require a fast internet connection.</t>
  </si>
  <si>
    <t>Uyamak es único porque puede usarlo en la computadora de su escuela, computadora portátil o cualquier otra computadora con acceso a Internet. Todo su código se ejecuta en su computadora, por lo que no requiere una conexión rápida a Internet.</t>
  </si>
  <si>
    <t>head_1</t>
  </si>
  <si>
    <t>Error</t>
  </si>
  <si>
    <t>Privacy policy for the Uyamak</t>
  </si>
  <si>
    <t>Privacy policy</t>
  </si>
  <si>
    <t>Privacy Policy - Uyamak</t>
  </si>
  <si>
    <t>eff_date</t>
  </si>
  <si>
    <t>Effective Date: 11-11-2020</t>
  </si>
  <si>
    <t>Your privacy is important to us</t>
  </si>
  <si>
    <t>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t>
  </si>
  <si>
    <t>This Privacy Policy, together with the Terms of service posted on our Website, set forth the general rules and policies governing your use of our Website. Depending on your activities when visiting our Website, you may be required to agree to additional terms of service.</t>
  </si>
  <si>
    <t>head_2_para_4</t>
  </si>
  <si>
    <t>head_2_para_5</t>
  </si>
  <si>
    <t>Contents</t>
  </si>
  <si>
    <t>Click below to jump to any section of this privacy policy</t>
  </si>
  <si>
    <t>Website Visitors</t>
  </si>
  <si>
    <t>Cookies</t>
  </si>
  <si>
    <t>Privacy Policy Changes</t>
  </si>
  <si>
    <t>Contact Information &amp; Credit</t>
  </si>
  <si>
    <t>1. Website Visitors</t>
  </si>
  <si>
    <t>head_3_para_2</t>
  </si>
  <si>
    <t xml:space="preserve">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t>
  </si>
  <si>
    <t>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t>
  </si>
  <si>
    <t>return_to_top</t>
  </si>
  <si>
    <t>Back to table of contents</t>
  </si>
  <si>
    <t>2. Cookies</t>
  </si>
  <si>
    <t xml:space="preserve">
To enrich and perfect your online experience, Uyamak uses "Cookies", similar technologies and services provided by others to display personalized content, appropriate advertising and store your preferences on your computer.</t>
  </si>
  <si>
    <t>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t>
  </si>
  <si>
    <t>By continuing to navigate our website without changing your cookie settings, you hereby acknowledge and agree to Uyamak's use of cookies.</t>
  </si>
  <si>
    <t xml:space="preserve">
3. Privacy Policy Changes</t>
  </si>
  <si>
    <t xml:space="preserve">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t>
  </si>
  <si>
    <t>head_6</t>
  </si>
  <si>
    <t>head_6_para_1</t>
  </si>
  <si>
    <t xml:space="preserve">
4. Contact Information &amp; Credit</t>
  </si>
  <si>
    <t xml:space="preserve">
This privacy policy was created at privacyterms.io privacy policy generator. If you have any questions about our Privacy Policy, please contact us via email or phone.</t>
  </si>
  <si>
    <t>GitHub Sponsors</t>
  </si>
  <si>
    <t>You can support us by selecting any of the following options. We strongly recommend you to use GitHub Sponsors or Pateron because it makes the funds collected public instantly. However, once in a month, we will update the information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</si>
</sst>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xf numFmtId="0" fontId="0" fillId="0" borderId="0" xfId="0" applyAlignment="1"/>
    <xf numFmtId="0" fontId="1" fillId="0" borderId="0" xfId="1" applyAlignment="1"/>
    <xf numFmtId="0" fontId="0" fillId="0" borderId="0" xfId="0" quotePrefix="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BBA6-D29B-44F5-ACF0-476138D419F1}">
  <sheetPr codeName="Sheet18"/>
  <dimension ref="A1:G81"/>
  <sheetViews>
    <sheetView topLeftCell="A42" workbookViewId="0">
      <selection activeCell="A46" sqref="A46"/>
    </sheetView>
  </sheetViews>
  <sheetFormatPr defaultRowHeight="14.4" x14ac:dyDescent="0.3"/>
  <cols>
    <col min="1" max="1" width="25.109375" style="6" customWidth="1"/>
    <col min="2" max="16384" width="8.88671875" style="6"/>
  </cols>
  <sheetData>
    <row r="1" spans="1:7" x14ac:dyDescent="0.3">
      <c r="A1" s="6" t="s">
        <v>3</v>
      </c>
      <c r="B1" s="6" t="s">
        <v>0</v>
      </c>
      <c r="C1" s="6" t="s">
        <v>1</v>
      </c>
      <c r="D1" s="6" t="s">
        <v>2</v>
      </c>
      <c r="E1" s="6" t="str">
        <f>"{"&amp;_xlfn.CONCAT(E2:E506)&amp;"}"</f>
        <v>{"title":"Privacy Policy - Uyamak","description":"Privacy policy for the Uyamak","keywords":["Uyamak","mathematics","block diagram","simulation","Privacy policy"],"author":"Suresh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"URL":"../script/index.min.js"}],"Anchors":[{"id":"home","value":"Top"}],"eff_date":"Effective Date: 11-11-2020","head_1":"Your privacy is important to us","head_1_para_1":"It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sources.","head_1_para_2":"This Privacy Policy, together with the Terms of service posted on our Website, set forth the general rules and policies governing your use of our Website. Depending on your activities when visiting our Website, you may be required to agree to additional terms of service.","head_2":"Contents","head_2_para_1":"Click below to jump to any section of this privacy policy","head_2_para_2":"Website Visitors","head_2_para_3":"Cookies","head_2_para_4":"Privacy Policy Changes","head_2_para_5":"Contact Information &amp; Credit","head_3":"1. Website Visitors","head_3_para_1":"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below.","return_to_top":"Back to table of contents","head_4":"2. Cookies","head_4_para_1":"
To enrich and perfect your online experience, Uyamak uses "Cookies", similar technologies and services provided by others to display personalized content, appropriate advertising and store your preferences on your computer.","head_4_para_2":"A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cookies.","head_4_para_3":"By continuing to navigate our website without changing your cookie settings, you hereby acknowledge and agree to Uyamak's use of cookies.","head_5":"
3. Privacy Policy Changes","head_5_para_1":"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change.","head_6":"
4. Contact Information &amp; Credit","head_6_para_1":"
This privacy policy was created at privacyterms.io privacy policy generator. If you have any questions about our Privacy Policy, please contact us via email or phone."}</v>
      </c>
      <c r="F1" s="6" t="str">
        <f t="shared" ref="F1:G1" si="0">"{"&amp;_xlfn.CONCAT(F2:F506)&amp;"}"</f>
        <v>{"title":"Privacy Policy - 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eff_date":"Error","head_1":"","head_1_para_1":"","head_1_para_2":"","head_2":"","head_2_para_1":"","head_2_para_2":"","head_2_para_3":"","head_2_para_4":"","head_2_para_5":"","head_3":"","head_3_para_1":"","head_3_para_2":"","return_to_top":"","head_4":"","head_4_para_1":"","head_4_para_2":"","head_4_para_3":"","head_5":"","head_5_para_1":"","head_6":"","head_6_para_1":""}</v>
      </c>
      <c r="G1" s="6" t="str">
        <f t="shared" si="0"/>
        <v>{"title":"","description":"","keywords":["","","","",""],"author":"","publisher":"","image":"","twitter_creator":"","eff_date":"","head_1":"","head_1_para_1":"","head_1_para_2":"","head_2":"","head_2_para_1":"","head_2_para_2":"","head_2_para_3":"","head_2_para_4":"","head_2_para_5":"","head_3":"","head_3_para_1":"","head_3_para_2":"","return_to_top":"","head_4":"","head_4_para_1":"","head_4_para_2":"","head_4_para_3":"","head_5":"","head_5_para_1":"","head_6":"","head_6_para_1":""}</v>
      </c>
    </row>
    <row r="2" spans="1:7" x14ac:dyDescent="0.3">
      <c r="A2" s="6" t="s">
        <v>7</v>
      </c>
      <c r="B2" s="6" t="s">
        <v>1008</v>
      </c>
      <c r="C2" s="6" t="s">
        <v>1008</v>
      </c>
      <c r="E2" s="6" t="str">
        <f t="shared" ref="E2:G3" si="1">CHAR(34)&amp;$A2&amp;CHAR(34)&amp;":"&amp;CHAR(34)&amp;B2&amp;CHAR(34)&amp;","</f>
        <v>"title":"Privacy Policy - Uyamak",</v>
      </c>
      <c r="F2" s="6" t="str">
        <f t="shared" si="1"/>
        <v>"title":"Privacy Policy - Uyamak",</v>
      </c>
      <c r="G2" s="6" t="str">
        <f t="shared" si="1"/>
        <v>"title":"",</v>
      </c>
    </row>
    <row r="3" spans="1:7" x14ac:dyDescent="0.3">
      <c r="A3" s="6" t="s">
        <v>9</v>
      </c>
      <c r="B3" s="6" t="s">
        <v>1006</v>
      </c>
      <c r="C3" s="6" t="s">
        <v>842</v>
      </c>
      <c r="E3" s="6" t="str">
        <f t="shared" si="1"/>
        <v>"description":"Privacy policy for the Uyamak",</v>
      </c>
      <c r="F3" s="6" t="str">
        <f t="shared" si="1"/>
        <v>"description":"El aprendizaje de las matemáticas se hace divertido con Uyamak.",</v>
      </c>
      <c r="G3" s="6" t="str">
        <f t="shared" si="1"/>
        <v>"description":"",</v>
      </c>
    </row>
    <row r="4" spans="1:7" x14ac:dyDescent="0.3">
      <c r="A4" s="6" t="s">
        <v>10</v>
      </c>
      <c r="B4" s="6" t="s">
        <v>811</v>
      </c>
      <c r="C4" s="6" t="s">
        <v>811</v>
      </c>
      <c r="E4" s="6" t="str">
        <f>CHAR(34)&amp;$A4&amp;CHAR(34)&amp;":["&amp;CHAR(34)&amp;B4&amp;CHAR(34)&amp;","</f>
        <v>"keywords":["Uyamak",</v>
      </c>
      <c r="F4" s="6" t="str">
        <f>CHAR(34)&amp;$A4&amp;CHAR(34)&amp;":["&amp;CHAR(34)&amp;C4&amp;CHAR(34)&amp;","</f>
        <v>"keywords":["Uyamak",</v>
      </c>
      <c r="G4" s="6" t="str">
        <f>CHAR(34)&amp;$A4&amp;CHAR(34)&amp;":["&amp;CHAR(34)&amp;D4&amp;CHAR(34)&amp;","</f>
        <v>"keywords":["",</v>
      </c>
    </row>
    <row r="5" spans="1:7" x14ac:dyDescent="0.3">
      <c r="A5" s="6" t="s">
        <v>10</v>
      </c>
      <c r="B5" s="6" t="s">
        <v>833</v>
      </c>
      <c r="C5" s="6" t="s">
        <v>837</v>
      </c>
      <c r="E5" s="6" t="str">
        <f>CHAR(34)&amp;B5&amp;CHAR(34)&amp;","</f>
        <v>"mathematics",</v>
      </c>
      <c r="F5" s="6" t="str">
        <f>CHAR(34)&amp;C5&amp;CHAR(34)&amp;","</f>
        <v>"matemáticas",</v>
      </c>
      <c r="G5" s="6" t="str">
        <f>CHAR(34)&amp;D5&amp;CHAR(34)&amp;","</f>
        <v>"",</v>
      </c>
    </row>
    <row r="6" spans="1:7" x14ac:dyDescent="0.3">
      <c r="A6" s="6" t="s">
        <v>10</v>
      </c>
      <c r="B6" s="6" t="s">
        <v>834</v>
      </c>
      <c r="C6" s="6" t="s">
        <v>838</v>
      </c>
      <c r="E6" s="6" t="str">
        <f t="shared" ref="E6:G7" si="2">CHAR(34)&amp;B6&amp;CHAR(34)&amp;","</f>
        <v>"block diagram",</v>
      </c>
      <c r="F6" s="6" t="str">
        <f t="shared" si="2"/>
        <v>"diagrama de bloques",</v>
      </c>
      <c r="G6" s="6" t="str">
        <f t="shared" si="2"/>
        <v>"",</v>
      </c>
    </row>
    <row r="7" spans="1:7" x14ac:dyDescent="0.3">
      <c r="A7" s="6" t="s">
        <v>10</v>
      </c>
      <c r="B7" s="6" t="s">
        <v>835</v>
      </c>
      <c r="C7" s="6" t="s">
        <v>839</v>
      </c>
      <c r="E7" s="6" t="str">
        <f t="shared" si="2"/>
        <v>"simulation",</v>
      </c>
      <c r="F7" s="6" t="str">
        <f t="shared" si="2"/>
        <v>"simulación",</v>
      </c>
      <c r="G7" s="6" t="str">
        <f t="shared" si="2"/>
        <v>"",</v>
      </c>
    </row>
    <row r="8" spans="1:7" x14ac:dyDescent="0.3">
      <c r="A8" s="6" t="s">
        <v>10</v>
      </c>
      <c r="B8" s="6" t="s">
        <v>1007</v>
      </c>
      <c r="C8" s="6" t="s">
        <v>840</v>
      </c>
      <c r="E8" s="6" t="str">
        <f>CHAR(34)&amp;B8&amp;CHAR(34)&amp;"],"</f>
        <v>"Privacy policy"],</v>
      </c>
      <c r="F8" s="6" t="str">
        <f>CHAR(34)&amp;C8&amp;CHAR(34)&amp;"],"</f>
        <v>"aplicación"],</v>
      </c>
      <c r="G8" s="6" t="str">
        <f>CHAR(34)&amp;D8&amp;CHAR(34)&amp;"],"</f>
        <v>""],</v>
      </c>
    </row>
    <row r="9" spans="1:7" x14ac:dyDescent="0.3">
      <c r="A9" s="6" t="s">
        <v>11</v>
      </c>
      <c r="B9" s="6" t="s">
        <v>19</v>
      </c>
      <c r="C9" s="6" t="str">
        <f>IF(ISBLANK(B9),"",B9)</f>
        <v>Suresh Kumar Gadi</v>
      </c>
      <c r="E9" s="6" t="str">
        <f>IF(ISBLANK($A9),"",CHAR(34)&amp;$A9&amp;CHAR(34)&amp;":"&amp;CHAR(34)&amp;B9&amp;CHAR(34)&amp;IF(ISBLANK($A10),"",","))</f>
        <v>"author":"Suresh Kumar Gadi",</v>
      </c>
      <c r="F9" s="6" t="str">
        <f t="shared" ref="F9:G30" si="3">IF(ISBLANK($A9),"",CHAR(34)&amp;$A9&amp;CHAR(34)&amp;":"&amp;CHAR(34)&amp;C9&amp;CHAR(34)&amp;IF(ISBLANK($A10),"",","))</f>
        <v>"author":"Suresh Kumar Gadi",</v>
      </c>
      <c r="G9" s="6" t="str">
        <f t="shared" si="3"/>
        <v>"author":"",</v>
      </c>
    </row>
    <row r="10" spans="1:7" x14ac:dyDescent="0.3">
      <c r="A10" s="6" t="s">
        <v>12</v>
      </c>
      <c r="B10" s="7" t="s">
        <v>20</v>
      </c>
      <c r="C10" s="6" t="str">
        <f t="shared" ref="C10:C11" si="4">IF(ISBLANK(B10),"",B10)</f>
        <v>https://plus.google.com/+SureshKumarGadi/posts</v>
      </c>
      <c r="E10" s="6" t="str">
        <f t="shared" ref="E10:G49" si="5">IF(ISBLANK($A10),"",CHAR(34)&amp;$A10&amp;CHAR(34)&amp;":"&amp;CHAR(34)&amp;B10&amp;CHAR(34)&amp;IF(ISBLANK($A11),"",","))</f>
        <v>"publisher":"https://plus.google.com/+SureshKumarGadi/posts",</v>
      </c>
      <c r="F10" s="6" t="str">
        <f t="shared" si="3"/>
        <v>"publisher":"https://plus.google.com/+SureshKumarGadi/posts",</v>
      </c>
      <c r="G10" s="6" t="str">
        <f t="shared" si="3"/>
        <v>"publisher":"",</v>
      </c>
    </row>
    <row r="11" spans="1:7" x14ac:dyDescent="0.3">
      <c r="A11" s="6" t="s">
        <v>5</v>
      </c>
      <c r="B11" s="7" t="s">
        <v>21</v>
      </c>
      <c r="C11" s="6" t="str">
        <f t="shared" si="4"/>
        <v>https://lagunamedicalcenter.com/images/logo.jpg</v>
      </c>
      <c r="E11" s="6" t="str">
        <f t="shared" si="5"/>
        <v>"image":"https://lagunamedicalcenter.com/images/logo.jpg",</v>
      </c>
      <c r="F11" s="6" t="str">
        <f t="shared" si="3"/>
        <v>"image":"https://lagunamedicalcenter.com/images/logo.jpg",</v>
      </c>
      <c r="G11" s="6" t="str">
        <f t="shared" si="3"/>
        <v>"image":"",</v>
      </c>
    </row>
    <row r="12" spans="1:7" x14ac:dyDescent="0.3">
      <c r="A12" s="6" t="s">
        <v>13</v>
      </c>
      <c r="B12" s="8" t="s">
        <v>22</v>
      </c>
      <c r="C12" s="6" t="str">
        <f>IF(ISBLANK(B12),"",B12)</f>
        <v>@SureshKumarGadi</v>
      </c>
      <c r="E12" s="6" t="str">
        <f>IF(ISBLANK($A12),"",CHAR(34)&amp;$A12&amp;CHAR(34)&amp;":"&amp;CHAR(34)&amp;B12&amp;CHAR(34)&amp;IF(ISBLANK(#REF!),"",","))</f>
        <v>"twitter_creator":"@SureshKumarGadi",</v>
      </c>
      <c r="F12" s="6" t="str">
        <f>IF(ISBLANK($A12),"",CHAR(34)&amp;$A12&amp;CHAR(34)&amp;":"&amp;CHAR(34)&amp;C12&amp;CHAR(34)&amp;IF(ISBLANK(#REF!),"",","))</f>
        <v>"twitter_creator":"@SureshKumarGadi",</v>
      </c>
      <c r="G12" s="6" t="str">
        <f>IF(ISBLANK($A12),"",CHAR(34)&amp;$A12&amp;CHAR(34)&amp;":"&amp;CHAR(34)&amp;D12&amp;CHAR(34)&amp;IF(ISBLANK(#REF!),"",","))</f>
        <v>"twitter_creator":"",</v>
      </c>
    </row>
    <row r="13" spans="1:7" x14ac:dyDescent="0.3">
      <c r="A13" s="6" t="s">
        <v>812</v>
      </c>
      <c r="B13" s="8" t="s">
        <v>813</v>
      </c>
      <c r="C13" s="6" t="str">
        <f t="shared" ref="C13:C20" si="6">IF(ISBLANK(B13),"",B13)</f>
        <v>{"Local":true, "URL":"w3css/w3.css"},</v>
      </c>
      <c r="E13" s="6" t="str">
        <f>IF(ISBLANK($A13),"",CHAR(34)&amp;$A13&amp;CHAR(34)&amp;":"&amp;"["&amp;_xlfn.CONCAT($B$13:$B$18)&amp;"]"&amp;IF(ISBLANK(#REF!),"",","))</f>
        <v>"CSSPlugIn":[{"Local":true, "URL":"w3css/w3.css"},{"Local":true, "URL":"w3css/w3-theme-teal.css"},{"Local":true, "URL":"../css/w3css-ext.min.css"},{"Local":true, "URL":"../css/fonts/u57c.min.css"},{"Local":true, "URL":"../css/index.min.css"},{"Local":true, "URL":"fa/css/all.min.css"}],</v>
      </c>
      <c r="F13" s="6" t="str">
        <f>E13</f>
        <v>"CSSPlugIn":[{"Local":true, "URL":"w3css/w3.css"},{"Local":true, "URL":"w3css/w3-theme-teal.css"},{"Local":true, "URL":"../css/w3css-ext.min.css"},{"Local":true, "URL":"../css/fonts/u57c.min.css"},{"Local":true, "URL":"../css/index.min.css"},{"Local":true, "URL":"fa/css/all.min.css"}],</v>
      </c>
    </row>
    <row r="14" spans="1:7" x14ac:dyDescent="0.3">
      <c r="A14" s="6" t="s">
        <v>812</v>
      </c>
      <c r="B14" s="8" t="s">
        <v>817</v>
      </c>
      <c r="C14" s="6" t="str">
        <f t="shared" si="6"/>
        <v>{"Local":true, "URL":"w3css/w3-theme-teal.css"},</v>
      </c>
    </row>
    <row r="15" spans="1:7" x14ac:dyDescent="0.3">
      <c r="A15" s="6" t="s">
        <v>812</v>
      </c>
      <c r="B15" s="8" t="s">
        <v>819</v>
      </c>
      <c r="C15" s="6" t="str">
        <f t="shared" si="6"/>
        <v>{"Local":true, "URL":"../css/w3css-ext.min.css"},</v>
      </c>
    </row>
    <row r="16" spans="1:7" x14ac:dyDescent="0.3">
      <c r="A16" s="6" t="s">
        <v>812</v>
      </c>
      <c r="B16" s="8" t="s">
        <v>821</v>
      </c>
      <c r="C16" s="6" t="str">
        <f t="shared" si="6"/>
        <v>{"Local":true, "URL":"../css/fonts/u57c.min.css"},</v>
      </c>
    </row>
    <row r="17" spans="1:7" x14ac:dyDescent="0.3">
      <c r="A17" s="6" t="s">
        <v>812</v>
      </c>
      <c r="B17" s="8" t="s">
        <v>820</v>
      </c>
      <c r="C17" s="6" t="str">
        <f t="shared" si="6"/>
        <v>{"Local":true, "URL":"../css/index.min.css"},</v>
      </c>
    </row>
    <row r="18" spans="1:7" x14ac:dyDescent="0.3">
      <c r="A18" s="6" t="s">
        <v>812</v>
      </c>
      <c r="B18" s="8" t="s">
        <v>818</v>
      </c>
      <c r="C18" s="6" t="str">
        <f t="shared" si="6"/>
        <v>{"Local":true, "URL":"fa/css/all.min.css"}</v>
      </c>
    </row>
    <row r="19" spans="1:7" x14ac:dyDescent="0.3">
      <c r="A19" s="6" t="s">
        <v>814</v>
      </c>
      <c r="B19" s="8" t="s">
        <v>832</v>
      </c>
      <c r="C19" s="6" t="str">
        <f t="shared" si="6"/>
        <v>{"Local":true, "URL":"jquery/jquery.min.js"},</v>
      </c>
      <c r="E19" s="6" t="str">
        <f>IF(ISBLANK($A19),"",CHAR(34)&amp;$A19&amp;CHAR(34)&amp;":"&amp;"["&amp;_xlfn.CONCAT($B$19:$B$20)&amp;"],")</f>
        <v>"JSPlugInEnd":[{"Local":true, "URL":"jquery/jquery.min.js"},{"Local":true, "URL":"../script/index.min.js"}],</v>
      </c>
      <c r="F19" s="6" t="str">
        <f>E19</f>
        <v>"JSPlugInEnd":[{"Local":true, "URL":"jquery/jquery.min.js"},{"Local":true, "URL":"../script/index.min.js"}],</v>
      </c>
    </row>
    <row r="20" spans="1:7" x14ac:dyDescent="0.3">
      <c r="A20" s="6" t="s">
        <v>814</v>
      </c>
      <c r="B20" s="8" t="s">
        <v>831</v>
      </c>
      <c r="C20" s="6" t="str">
        <f t="shared" si="6"/>
        <v>{"Local":true, "URL":"../script/index.min.js"}</v>
      </c>
    </row>
    <row r="21" spans="1:7" x14ac:dyDescent="0.3">
      <c r="A21" s="6" t="s">
        <v>822</v>
      </c>
      <c r="B21" s="8"/>
      <c r="E21" s="6" t="str">
        <f>CHAR(34)&amp;A21&amp;CHAR(34)&amp;":"&amp;"["</f>
        <v>"Anchors":[</v>
      </c>
      <c r="F21" s="6" t="str">
        <f>E21</f>
        <v>"Anchors":[</v>
      </c>
    </row>
    <row r="22" spans="1:7" x14ac:dyDescent="0.3">
      <c r="A22" s="6" t="s">
        <v>828</v>
      </c>
      <c r="B22" s="8" t="s">
        <v>824</v>
      </c>
      <c r="C22" s="6" t="s">
        <v>826</v>
      </c>
      <c r="E22" s="6" t="str">
        <f>"{"&amp;CHAR(34)&amp;"id"&amp;CHAR(34)&amp;":"&amp;CHAR(34)&amp;$A22&amp;CHAR(34)&amp;","&amp;CHAR(34)&amp;"value"&amp;CHAR(34)&amp;":"&amp;CHAR(34)&amp;B22&amp;CHAR(34)&amp;"}"&amp;IF(ISBLANK(A23),"",",")</f>
        <v>{"id":"home","value":"Top"}</v>
      </c>
      <c r="F22" s="6" t="str">
        <f>"{"&amp;CHAR(34)&amp;"id"&amp;CHAR(34)&amp;":"&amp;CHAR(34)&amp;$A22&amp;CHAR(34)&amp;","&amp;CHAR(34)&amp;"value"&amp;CHAR(34)&amp;":"&amp;CHAR(34)&amp;C22&amp;CHAR(34)&amp;"}"&amp;IF(ISBLANK(B23),"",",")</f>
        <v>{"id":"home","value":"Parte superior"}</v>
      </c>
    </row>
    <row r="23" spans="1:7" x14ac:dyDescent="0.3">
      <c r="B23" s="8"/>
      <c r="E23" s="6" t="s">
        <v>823</v>
      </c>
      <c r="F23" s="6" t="str">
        <f>E23</f>
        <v>],</v>
      </c>
    </row>
    <row r="24" spans="1:7" x14ac:dyDescent="0.3">
      <c r="A24" s="6" t="s">
        <v>1009</v>
      </c>
      <c r="B24" s="8" t="s">
        <v>1010</v>
      </c>
      <c r="C24" s="6" t="s">
        <v>1005</v>
      </c>
      <c r="E24" s="6" t="str">
        <f t="shared" ref="E24:F49" si="7">IF(ISBLANK($A24),"",CHAR(34)&amp;$A24&amp;CHAR(34)&amp;":"&amp;CHAR(34)&amp;B24&amp;CHAR(34)&amp;IF(ISBLANK($A25),"",","))</f>
        <v>"eff_date":"Effective Date: 11-11-2020",</v>
      </c>
      <c r="F24" s="6" t="str">
        <f t="shared" si="7"/>
        <v>"eff_date":"Error",</v>
      </c>
      <c r="G24" s="6" t="str">
        <f t="shared" si="3"/>
        <v>"eff_date":"",</v>
      </c>
    </row>
    <row r="25" spans="1:7" x14ac:dyDescent="0.3">
      <c r="A25" s="6" t="s">
        <v>1004</v>
      </c>
      <c r="B25" s="8" t="s">
        <v>1011</v>
      </c>
      <c r="E25" s="6" t="str">
        <f t="shared" si="7"/>
        <v>"head_1":"Your privacy is important to us",</v>
      </c>
      <c r="F25" s="6" t="str">
        <f t="shared" si="7"/>
        <v>"head_1":"",</v>
      </c>
      <c r="G25" s="6" t="str">
        <f t="shared" si="3"/>
        <v>"head_1":"",</v>
      </c>
    </row>
    <row r="26" spans="1:7" x14ac:dyDescent="0.3">
      <c r="A26" s="6" t="s">
        <v>843</v>
      </c>
      <c r="B26" s="8" t="s">
        <v>1012</v>
      </c>
      <c r="E26" s="6" t="str">
        <f t="shared" si="7"/>
        <v>"head_1_para_1":"It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v>
      </c>
      <c r="F26" s="6" t="str">
        <f t="shared" si="7"/>
        <v>"head_1_para_1":"",</v>
      </c>
      <c r="G26" s="6" t="str">
        <f t="shared" si="3"/>
        <v>"head_1_para_1":"",</v>
      </c>
    </row>
    <row r="27" spans="1:7" x14ac:dyDescent="0.3">
      <c r="A27" s="6" t="s">
        <v>844</v>
      </c>
      <c r="B27" s="8" t="s">
        <v>1013</v>
      </c>
      <c r="E27" s="6" t="str">
        <f t="shared" si="7"/>
        <v>"head_1_para_2":"This Privacy Policy, together with the Terms of service posted on our Website, set forth the general rules and policies governing your use of our Website. Depending on your activities when visiting our Website, you may be required to agree to additional terms of service.",</v>
      </c>
      <c r="F27" s="6" t="str">
        <f t="shared" si="7"/>
        <v>"head_1_para_2":"",</v>
      </c>
      <c r="G27" s="6" t="str">
        <f t="shared" si="3"/>
        <v>"head_1_para_2":"",</v>
      </c>
    </row>
    <row r="28" spans="1:7" x14ac:dyDescent="0.3">
      <c r="A28" s="6" t="s">
        <v>878</v>
      </c>
      <c r="B28" s="8" t="s">
        <v>1016</v>
      </c>
      <c r="E28" s="6" t="str">
        <f t="shared" si="7"/>
        <v>"head_2":"Contents",</v>
      </c>
      <c r="F28" s="6" t="str">
        <f t="shared" si="7"/>
        <v>"head_2":"",</v>
      </c>
      <c r="G28" s="6" t="str">
        <f t="shared" si="3"/>
        <v>"head_2":"",</v>
      </c>
    </row>
    <row r="29" spans="1:7" x14ac:dyDescent="0.3">
      <c r="A29" s="6" t="s">
        <v>888</v>
      </c>
      <c r="B29" s="8" t="s">
        <v>1017</v>
      </c>
      <c r="E29" s="6" t="str">
        <f t="shared" si="7"/>
        <v>"head_2_para_1":"Click below to jump to any section of this privacy policy",</v>
      </c>
      <c r="F29" s="6" t="str">
        <f t="shared" si="7"/>
        <v>"head_2_para_1":"",</v>
      </c>
      <c r="G29" s="6" t="str">
        <f t="shared" si="3"/>
        <v>"head_2_para_1":"",</v>
      </c>
    </row>
    <row r="30" spans="1:7" x14ac:dyDescent="0.3">
      <c r="A30" s="6" t="s">
        <v>889</v>
      </c>
      <c r="B30" s="8" t="s">
        <v>1018</v>
      </c>
      <c r="E30" s="6" t="str">
        <f t="shared" si="7"/>
        <v>"head_2_para_2":"Website Visitors",</v>
      </c>
      <c r="F30" s="6" t="str">
        <f t="shared" si="7"/>
        <v>"head_2_para_2":"",</v>
      </c>
      <c r="G30" s="6" t="str">
        <f t="shared" si="3"/>
        <v>"head_2_para_2":"",</v>
      </c>
    </row>
    <row r="31" spans="1:7" x14ac:dyDescent="0.3">
      <c r="A31" s="6" t="s">
        <v>890</v>
      </c>
      <c r="B31" s="8" t="s">
        <v>1019</v>
      </c>
      <c r="E31" s="6" t="str">
        <f t="shared" si="7"/>
        <v>"head_2_para_3":"Cookies",</v>
      </c>
      <c r="F31" s="6" t="str">
        <f t="shared" si="7"/>
        <v>"head_2_para_3":"",</v>
      </c>
      <c r="G31" s="6" t="str">
        <f t="shared" si="5"/>
        <v>"head_2_para_3":"",</v>
      </c>
    </row>
    <row r="32" spans="1:7" x14ac:dyDescent="0.3">
      <c r="A32" s="6" t="s">
        <v>1014</v>
      </c>
      <c r="B32" s="6" t="s">
        <v>1020</v>
      </c>
      <c r="E32" s="6" t="str">
        <f t="shared" si="7"/>
        <v>"head_2_para_4":"Privacy Policy Changes",</v>
      </c>
      <c r="F32" s="6" t="str">
        <f t="shared" si="7"/>
        <v>"head_2_para_4":"",</v>
      </c>
      <c r="G32" s="6" t="str">
        <f t="shared" si="5"/>
        <v>"head_2_para_4":"",</v>
      </c>
    </row>
    <row r="33" spans="1:7" x14ac:dyDescent="0.3">
      <c r="A33" s="6" t="s">
        <v>1015</v>
      </c>
      <c r="B33" s="6" t="s">
        <v>1021</v>
      </c>
      <c r="E33" s="6" t="str">
        <f t="shared" si="7"/>
        <v>"head_2_para_5":"Contact Information &amp; Credit",</v>
      </c>
      <c r="F33" s="6" t="str">
        <f t="shared" si="7"/>
        <v>"head_2_para_5":"",</v>
      </c>
      <c r="G33" s="6" t="str">
        <f t="shared" si="5"/>
        <v>"head_2_para_5":"",</v>
      </c>
    </row>
    <row r="34" spans="1:7" x14ac:dyDescent="0.3">
      <c r="A34" s="6" t="s">
        <v>915</v>
      </c>
      <c r="B34" s="6" t="s">
        <v>1022</v>
      </c>
      <c r="E34" s="6" t="str">
        <f t="shared" si="7"/>
        <v>"head_3":"1. Website Visitors",</v>
      </c>
      <c r="F34" s="6" t="str">
        <f t="shared" si="7"/>
        <v>"head_3":"",</v>
      </c>
      <c r="G34" s="6" t="str">
        <f t="shared" si="5"/>
        <v>"head_3":"",</v>
      </c>
    </row>
    <row r="35" spans="1:7" x14ac:dyDescent="0.3">
      <c r="A35" s="6" t="s">
        <v>917</v>
      </c>
      <c r="B35" s="6" t="s">
        <v>1024</v>
      </c>
      <c r="E35" s="6" t="str">
        <f t="shared" si="7"/>
        <v>"head_3_para_1":"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v>
      </c>
      <c r="F35" s="6" t="str">
        <f t="shared" si="7"/>
        <v>"head_3_para_1":"",</v>
      </c>
      <c r="G35" s="6" t="str">
        <f t="shared" si="5"/>
        <v>"head_3_para_1":"",</v>
      </c>
    </row>
    <row r="36" spans="1:7" x14ac:dyDescent="0.3">
      <c r="A36" s="6" t="s">
        <v>1023</v>
      </c>
      <c r="B36" s="6" t="s">
        <v>1025</v>
      </c>
      <c r="E36" s="6" t="str">
        <f t="shared" si="7"/>
        <v>"head_3_para_2":"Uyamak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v>
      </c>
      <c r="F36" s="6" t="str">
        <f t="shared" si="7"/>
        <v>"head_3_para_2":"",</v>
      </c>
      <c r="G36" s="6" t="str">
        <f t="shared" si="5"/>
        <v>"head_3_para_2":"",</v>
      </c>
    </row>
    <row r="37" spans="1:7" x14ac:dyDescent="0.3">
      <c r="A37" s="6" t="s">
        <v>1026</v>
      </c>
      <c r="B37" s="6" t="s">
        <v>1027</v>
      </c>
      <c r="E37" s="6" t="str">
        <f t="shared" si="7"/>
        <v>"return_to_top":"Back to table of contents",</v>
      </c>
      <c r="F37" s="6" t="str">
        <f t="shared" si="7"/>
        <v>"return_to_top":"",</v>
      </c>
      <c r="G37" s="6" t="str">
        <f t="shared" si="5"/>
        <v>"return_to_top":"",</v>
      </c>
    </row>
    <row r="38" spans="1:7" x14ac:dyDescent="0.3">
      <c r="A38" s="6" t="s">
        <v>947</v>
      </c>
      <c r="B38" s="6" t="s">
        <v>1028</v>
      </c>
      <c r="E38" s="6" t="str">
        <f t="shared" si="7"/>
        <v>"head_4":"2. Cookies",</v>
      </c>
      <c r="F38" s="6" t="str">
        <f t="shared" si="7"/>
        <v>"head_4":"",</v>
      </c>
      <c r="G38" s="6" t="str">
        <f t="shared" si="5"/>
        <v>"head_4":"",</v>
      </c>
    </row>
    <row r="39" spans="1:7" x14ac:dyDescent="0.3">
      <c r="A39" s="6" t="s">
        <v>949</v>
      </c>
      <c r="B39" s="6" t="s">
        <v>1029</v>
      </c>
      <c r="E39" s="6" t="str">
        <f t="shared" si="7"/>
        <v>"head_4_para_1":"
To enrich and perfect your online experience, Uyamak uses "Cookies", similar technologies and services provided by others to display personalized content, appropriate advertising and store your preferences on your computer.",</v>
      </c>
      <c r="F39" s="6" t="str">
        <f t="shared" si="7"/>
        <v>"head_4_para_1":"",</v>
      </c>
      <c r="G39" s="6" t="str">
        <f t="shared" si="5"/>
        <v>"head_4_para_1":"",</v>
      </c>
    </row>
    <row r="40" spans="1:7" x14ac:dyDescent="0.3">
      <c r="A40" s="6" t="s">
        <v>954</v>
      </c>
      <c r="B40" s="6" t="s">
        <v>1030</v>
      </c>
      <c r="E40" s="6" t="str">
        <f t="shared" si="7"/>
        <v>"head_4_para_2":"A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v>
      </c>
      <c r="F40" s="6" t="str">
        <f t="shared" si="7"/>
        <v>"head_4_para_2":"",</v>
      </c>
      <c r="G40" s="6" t="str">
        <f t="shared" si="5"/>
        <v>"head_4_para_2":"",</v>
      </c>
    </row>
    <row r="41" spans="1:7" x14ac:dyDescent="0.3">
      <c r="A41" s="6" t="s">
        <v>955</v>
      </c>
      <c r="B41" s="6" t="s">
        <v>1031</v>
      </c>
      <c r="E41" s="6" t="str">
        <f t="shared" si="7"/>
        <v>"head_4_para_3":"By continuing to navigate our website without changing your cookie settings, you hereby acknowledge and agree to Uyamak's use of cookies.",</v>
      </c>
      <c r="F41" s="6" t="str">
        <f t="shared" si="7"/>
        <v>"head_4_para_3":"",</v>
      </c>
      <c r="G41" s="6" t="str">
        <f t="shared" si="5"/>
        <v>"head_4_para_3":"",</v>
      </c>
    </row>
    <row r="42" spans="1:7" x14ac:dyDescent="0.3">
      <c r="A42" s="6" t="s">
        <v>986</v>
      </c>
      <c r="B42" s="6" t="s">
        <v>1032</v>
      </c>
      <c r="E42" s="6" t="str">
        <f t="shared" si="7"/>
        <v>"head_5":"
3. Privacy Policy Changes",</v>
      </c>
      <c r="F42" s="6" t="str">
        <f t="shared" si="7"/>
        <v>"head_5":"",</v>
      </c>
      <c r="G42" s="6" t="str">
        <f t="shared" si="5"/>
        <v>"head_5":"",</v>
      </c>
    </row>
    <row r="43" spans="1:7" x14ac:dyDescent="0.3">
      <c r="A43" s="6" t="s">
        <v>988</v>
      </c>
      <c r="B43" s="6" t="s">
        <v>1033</v>
      </c>
      <c r="E43" s="6" t="str">
        <f t="shared" si="7"/>
        <v>"head_5_para_1":"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v>
      </c>
      <c r="F43" s="6" t="str">
        <f t="shared" si="7"/>
        <v>"head_5_para_1":"",</v>
      </c>
      <c r="G43" s="6" t="str">
        <f t="shared" si="5"/>
        <v>"head_5_para_1":"",</v>
      </c>
    </row>
    <row r="44" spans="1:7" x14ac:dyDescent="0.3">
      <c r="A44" s="6" t="s">
        <v>1034</v>
      </c>
      <c r="B44" s="6" t="s">
        <v>1036</v>
      </c>
      <c r="E44" s="6" t="str">
        <f t="shared" si="7"/>
        <v>"head_6":"
4. Contact Information &amp; Credit",</v>
      </c>
      <c r="F44" s="6" t="str">
        <f t="shared" si="7"/>
        <v>"head_6":"",</v>
      </c>
      <c r="G44" s="6" t="str">
        <f t="shared" si="5"/>
        <v>"head_6":"",</v>
      </c>
    </row>
    <row r="45" spans="1:7" x14ac:dyDescent="0.3">
      <c r="A45" s="6" t="s">
        <v>1035</v>
      </c>
      <c r="B45" s="6" t="s">
        <v>1037</v>
      </c>
      <c r="E45" s="6" t="str">
        <f t="shared" si="7"/>
        <v>"head_6_para_1":"
This privacy policy was created at privacyterms.io privacy policy generator. If you have any questions about our Privacy Policy, please contact us via email or phone."</v>
      </c>
      <c r="F45" s="6" t="str">
        <f t="shared" si="7"/>
        <v>"head_6_para_1":""</v>
      </c>
      <c r="G45" s="6" t="str">
        <f t="shared" si="5"/>
        <v>"head_6_para_1":""</v>
      </c>
    </row>
    <row r="46" spans="1:7" x14ac:dyDescent="0.3">
      <c r="E46" s="6" t="str">
        <f t="shared" si="7"/>
        <v/>
      </c>
      <c r="F46" s="6" t="str">
        <f t="shared" si="7"/>
        <v/>
      </c>
      <c r="G46" s="6" t="str">
        <f t="shared" si="5"/>
        <v/>
      </c>
    </row>
    <row r="47" spans="1:7" x14ac:dyDescent="0.3">
      <c r="E47" s="6" t="str">
        <f t="shared" si="7"/>
        <v/>
      </c>
      <c r="F47" s="6" t="str">
        <f t="shared" si="7"/>
        <v/>
      </c>
      <c r="G47" s="6" t="str">
        <f t="shared" si="5"/>
        <v/>
      </c>
    </row>
    <row r="48" spans="1:7" x14ac:dyDescent="0.3">
      <c r="E48" s="6" t="str">
        <f t="shared" si="7"/>
        <v/>
      </c>
      <c r="F48" s="6" t="str">
        <f t="shared" si="7"/>
        <v/>
      </c>
      <c r="G48" s="6" t="str">
        <f t="shared" si="5"/>
        <v/>
      </c>
    </row>
    <row r="49" spans="5:7" x14ac:dyDescent="0.3">
      <c r="E49" s="6" t="str">
        <f t="shared" si="7"/>
        <v/>
      </c>
      <c r="F49" s="6" t="str">
        <f t="shared" si="7"/>
        <v/>
      </c>
      <c r="G49" s="6" t="str">
        <f t="shared" si="5"/>
        <v/>
      </c>
    </row>
    <row r="50" spans="5:7" x14ac:dyDescent="0.3">
      <c r="E50" s="6" t="str">
        <f t="shared" ref="E50:G81" si="8">IF(ISBLANK($A50),"",CHAR(34)&amp;$A50&amp;CHAR(34)&amp;":"&amp;CHAR(34)&amp;B50&amp;CHAR(34)&amp;IF(ISBLANK($A51),"",","))</f>
        <v/>
      </c>
      <c r="F50" s="6" t="str">
        <f t="shared" si="8"/>
        <v/>
      </c>
      <c r="G50" s="6" t="str">
        <f t="shared" si="8"/>
        <v/>
      </c>
    </row>
    <row r="51" spans="5:7" x14ac:dyDescent="0.3">
      <c r="E51" s="6" t="str">
        <f t="shared" si="8"/>
        <v/>
      </c>
      <c r="F51" s="6" t="str">
        <f t="shared" si="8"/>
        <v/>
      </c>
      <c r="G51" s="6" t="str">
        <f t="shared" si="8"/>
        <v/>
      </c>
    </row>
    <row r="52" spans="5:7" x14ac:dyDescent="0.3">
      <c r="E52" s="6" t="str">
        <f t="shared" si="8"/>
        <v/>
      </c>
      <c r="F52" s="6" t="str">
        <f t="shared" si="8"/>
        <v/>
      </c>
      <c r="G52" s="6" t="str">
        <f t="shared" si="8"/>
        <v/>
      </c>
    </row>
    <row r="53" spans="5:7" x14ac:dyDescent="0.3">
      <c r="E53" s="6" t="str">
        <f t="shared" si="8"/>
        <v/>
      </c>
      <c r="F53" s="6" t="str">
        <f t="shared" si="8"/>
        <v/>
      </c>
      <c r="G53" s="6" t="str">
        <f t="shared" si="8"/>
        <v/>
      </c>
    </row>
    <row r="54" spans="5:7" x14ac:dyDescent="0.3">
      <c r="E54" s="6" t="str">
        <f t="shared" si="8"/>
        <v/>
      </c>
      <c r="F54" s="6" t="str">
        <f t="shared" si="8"/>
        <v/>
      </c>
      <c r="G54" s="6" t="str">
        <f t="shared" si="8"/>
        <v/>
      </c>
    </row>
    <row r="55" spans="5:7" x14ac:dyDescent="0.3">
      <c r="E55" s="6" t="str">
        <f t="shared" si="8"/>
        <v/>
      </c>
      <c r="F55" s="6" t="str">
        <f t="shared" si="8"/>
        <v/>
      </c>
      <c r="G55" s="6" t="str">
        <f t="shared" si="8"/>
        <v/>
      </c>
    </row>
    <row r="56" spans="5:7" x14ac:dyDescent="0.3">
      <c r="E56" s="6" t="str">
        <f t="shared" si="8"/>
        <v/>
      </c>
      <c r="F56" s="6" t="str">
        <f t="shared" si="8"/>
        <v/>
      </c>
      <c r="G56" s="6" t="str">
        <f t="shared" si="8"/>
        <v/>
      </c>
    </row>
    <row r="57" spans="5:7" x14ac:dyDescent="0.3">
      <c r="E57" s="6" t="str">
        <f t="shared" si="8"/>
        <v/>
      </c>
      <c r="F57" s="6" t="str">
        <f t="shared" si="8"/>
        <v/>
      </c>
      <c r="G57" s="6" t="str">
        <f t="shared" si="8"/>
        <v/>
      </c>
    </row>
    <row r="58" spans="5:7" x14ac:dyDescent="0.3">
      <c r="E58" s="6" t="str">
        <f t="shared" si="8"/>
        <v/>
      </c>
      <c r="F58" s="6" t="str">
        <f t="shared" si="8"/>
        <v/>
      </c>
      <c r="G58" s="6" t="str">
        <f t="shared" si="8"/>
        <v/>
      </c>
    </row>
    <row r="59" spans="5:7" x14ac:dyDescent="0.3">
      <c r="E59" s="6" t="str">
        <f t="shared" si="8"/>
        <v/>
      </c>
      <c r="F59" s="6" t="str">
        <f t="shared" si="8"/>
        <v/>
      </c>
      <c r="G59" s="6" t="str">
        <f t="shared" si="8"/>
        <v/>
      </c>
    </row>
    <row r="60" spans="5:7" x14ac:dyDescent="0.3">
      <c r="E60" s="6" t="str">
        <f t="shared" si="8"/>
        <v/>
      </c>
      <c r="F60" s="6" t="str">
        <f t="shared" si="8"/>
        <v/>
      </c>
      <c r="G60" s="6" t="str">
        <f t="shared" si="8"/>
        <v/>
      </c>
    </row>
    <row r="61" spans="5:7" x14ac:dyDescent="0.3">
      <c r="E61" s="6" t="str">
        <f t="shared" si="8"/>
        <v/>
      </c>
      <c r="F61" s="6" t="str">
        <f t="shared" si="8"/>
        <v/>
      </c>
      <c r="G61" s="6" t="str">
        <f t="shared" si="8"/>
        <v/>
      </c>
    </row>
    <row r="62" spans="5:7" x14ac:dyDescent="0.3">
      <c r="E62" s="6" t="str">
        <f t="shared" si="8"/>
        <v/>
      </c>
      <c r="F62" s="6" t="str">
        <f t="shared" si="8"/>
        <v/>
      </c>
      <c r="G62" s="6" t="str">
        <f t="shared" si="8"/>
        <v/>
      </c>
    </row>
    <row r="63" spans="5:7" x14ac:dyDescent="0.3">
      <c r="E63" s="6" t="str">
        <f t="shared" si="8"/>
        <v/>
      </c>
      <c r="F63" s="6" t="str">
        <f t="shared" si="8"/>
        <v/>
      </c>
      <c r="G63" s="6" t="str">
        <f t="shared" si="8"/>
        <v/>
      </c>
    </row>
    <row r="64" spans="5:7" x14ac:dyDescent="0.3">
      <c r="E64" s="6" t="str">
        <f t="shared" si="8"/>
        <v/>
      </c>
      <c r="F64" s="6" t="str">
        <f t="shared" si="8"/>
        <v/>
      </c>
      <c r="G64" s="6" t="str">
        <f t="shared" si="8"/>
        <v/>
      </c>
    </row>
    <row r="65" spans="5:7" x14ac:dyDescent="0.3">
      <c r="E65" s="6" t="str">
        <f t="shared" si="8"/>
        <v/>
      </c>
      <c r="F65" s="6" t="str">
        <f t="shared" si="8"/>
        <v/>
      </c>
      <c r="G65" s="6" t="str">
        <f t="shared" si="8"/>
        <v/>
      </c>
    </row>
    <row r="66" spans="5:7" x14ac:dyDescent="0.3">
      <c r="E66" s="6" t="str">
        <f t="shared" si="8"/>
        <v/>
      </c>
      <c r="F66" s="6" t="str">
        <f t="shared" si="8"/>
        <v/>
      </c>
      <c r="G66" s="6" t="str">
        <f t="shared" si="8"/>
        <v/>
      </c>
    </row>
    <row r="67" spans="5:7" x14ac:dyDescent="0.3">
      <c r="E67" s="6" t="str">
        <f t="shared" si="8"/>
        <v/>
      </c>
      <c r="F67" s="6" t="str">
        <f t="shared" si="8"/>
        <v/>
      </c>
      <c r="G67" s="6" t="str">
        <f t="shared" si="8"/>
        <v/>
      </c>
    </row>
    <row r="68" spans="5:7" x14ac:dyDescent="0.3">
      <c r="E68" s="6" t="str">
        <f t="shared" si="8"/>
        <v/>
      </c>
      <c r="F68" s="6" t="str">
        <f t="shared" si="8"/>
        <v/>
      </c>
      <c r="G68" s="6" t="str">
        <f t="shared" si="8"/>
        <v/>
      </c>
    </row>
    <row r="69" spans="5:7" x14ac:dyDescent="0.3">
      <c r="E69" s="6" t="str">
        <f t="shared" si="8"/>
        <v/>
      </c>
      <c r="F69" s="6" t="str">
        <f t="shared" si="8"/>
        <v/>
      </c>
      <c r="G69" s="6" t="str">
        <f t="shared" si="8"/>
        <v/>
      </c>
    </row>
    <row r="70" spans="5:7" x14ac:dyDescent="0.3">
      <c r="E70" s="6" t="str">
        <f t="shared" si="8"/>
        <v/>
      </c>
      <c r="F70" s="6" t="str">
        <f t="shared" si="8"/>
        <v/>
      </c>
      <c r="G70" s="6" t="str">
        <f t="shared" si="8"/>
        <v/>
      </c>
    </row>
    <row r="71" spans="5:7" x14ac:dyDescent="0.3">
      <c r="E71" s="6" t="str">
        <f t="shared" si="8"/>
        <v/>
      </c>
      <c r="F71" s="6" t="str">
        <f t="shared" si="8"/>
        <v/>
      </c>
      <c r="G71" s="6" t="str">
        <f t="shared" si="8"/>
        <v/>
      </c>
    </row>
    <row r="72" spans="5:7" x14ac:dyDescent="0.3">
      <c r="E72" s="6" t="str">
        <f t="shared" si="8"/>
        <v/>
      </c>
      <c r="F72" s="6" t="str">
        <f t="shared" si="8"/>
        <v/>
      </c>
      <c r="G72" s="6" t="str">
        <f t="shared" si="8"/>
        <v/>
      </c>
    </row>
    <row r="73" spans="5:7" x14ac:dyDescent="0.3">
      <c r="E73" s="6" t="str">
        <f t="shared" si="8"/>
        <v/>
      </c>
      <c r="F73" s="6" t="str">
        <f t="shared" si="8"/>
        <v/>
      </c>
      <c r="G73" s="6" t="str">
        <f t="shared" si="8"/>
        <v/>
      </c>
    </row>
    <row r="74" spans="5:7" x14ac:dyDescent="0.3">
      <c r="E74" s="6" t="str">
        <f t="shared" si="8"/>
        <v/>
      </c>
      <c r="F74" s="6" t="str">
        <f t="shared" si="8"/>
        <v/>
      </c>
      <c r="G74" s="6" t="str">
        <f t="shared" si="8"/>
        <v/>
      </c>
    </row>
    <row r="75" spans="5:7" x14ac:dyDescent="0.3">
      <c r="E75" s="6" t="str">
        <f t="shared" si="8"/>
        <v/>
      </c>
      <c r="F75" s="6" t="str">
        <f t="shared" si="8"/>
        <v/>
      </c>
      <c r="G75" s="6" t="str">
        <f t="shared" si="8"/>
        <v/>
      </c>
    </row>
    <row r="76" spans="5:7" x14ac:dyDescent="0.3">
      <c r="E76" s="6" t="str">
        <f t="shared" si="8"/>
        <v/>
      </c>
      <c r="F76" s="6" t="str">
        <f t="shared" si="8"/>
        <v/>
      </c>
      <c r="G76" s="6" t="str">
        <f t="shared" si="8"/>
        <v/>
      </c>
    </row>
    <row r="77" spans="5:7" x14ac:dyDescent="0.3">
      <c r="E77" s="6" t="str">
        <f t="shared" si="8"/>
        <v/>
      </c>
      <c r="F77" s="6" t="str">
        <f t="shared" si="8"/>
        <v/>
      </c>
      <c r="G77" s="6" t="str">
        <f t="shared" si="8"/>
        <v/>
      </c>
    </row>
    <row r="78" spans="5:7" x14ac:dyDescent="0.3">
      <c r="E78" s="6" t="str">
        <f t="shared" si="8"/>
        <v/>
      </c>
      <c r="F78" s="6" t="str">
        <f t="shared" si="8"/>
        <v/>
      </c>
      <c r="G78" s="6" t="str">
        <f t="shared" si="8"/>
        <v/>
      </c>
    </row>
    <row r="79" spans="5:7" x14ac:dyDescent="0.3">
      <c r="E79" s="6" t="str">
        <f t="shared" si="8"/>
        <v/>
      </c>
      <c r="F79" s="6" t="str">
        <f t="shared" si="8"/>
        <v/>
      </c>
      <c r="G79" s="6" t="str">
        <f t="shared" si="8"/>
        <v/>
      </c>
    </row>
    <row r="80" spans="5:7" x14ac:dyDescent="0.3">
      <c r="E80" s="6" t="str">
        <f t="shared" si="8"/>
        <v/>
      </c>
      <c r="F80" s="6" t="str">
        <f t="shared" si="8"/>
        <v/>
      </c>
      <c r="G80" s="6" t="str">
        <f t="shared" si="8"/>
        <v/>
      </c>
    </row>
    <row r="81" spans="5:7" x14ac:dyDescent="0.3">
      <c r="E81" s="6" t="str">
        <f t="shared" si="8"/>
        <v/>
      </c>
      <c r="F81" s="6" t="str">
        <f t="shared" si="8"/>
        <v/>
      </c>
      <c r="G81" s="6" t="str">
        <f t="shared" si="8"/>
        <v/>
      </c>
    </row>
  </sheetData>
  <phoneticPr fontId="2" type="noConversion"/>
  <hyperlinks>
    <hyperlink ref="B10" r:id="rId1" xr:uid="{66A381BD-143A-4707-850F-36305B737884}"/>
    <hyperlink ref="B11" r:id="rId2" xr:uid="{CD7ABDD6-DD5A-4C98-9EDA-06239FA5C7B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1004</v>
      </c>
      <c r="B24" s="4" t="s">
        <v>1005</v>
      </c>
      <c r="C24" t="s">
        <v>1005</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85"/>
  <sheetViews>
    <sheetView tabSelected="1" topLeftCell="A60" workbookViewId="0">
      <selection activeCell="B75" sqref="B75"/>
    </sheetView>
  </sheetViews>
  <sheetFormatPr defaultRowHeight="14.4" x14ac:dyDescent="0.3"/>
  <cols>
    <col min="1" max="1" width="25.109375" customWidth="1"/>
    <col min="2" max="2" width="26.44140625" customWidth="1"/>
  </cols>
  <sheetData>
    <row r="1" spans="1:7" x14ac:dyDescent="0.3">
      <c r="A1" t="s">
        <v>3</v>
      </c>
      <c r="B1" t="s">
        <v>0</v>
      </c>
      <c r="C1" t="s">
        <v>1</v>
      </c>
      <c r="D1" t="s">
        <v>2</v>
      </c>
      <c r="E1" t="str">
        <f>"{"&amp;_xlfn.CONCAT(E2:E510)&amp;"}"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us"}],"head_1_para_1":"Uyamak editor allows you to design and simulate a mathematical model. It uses a pictorial way of design. Prepare your algorithm by connecting different blocks with the wires.","head_1_para_2":"It is useful for students of all levels and researchers. We are actively developing this application to improve its functionality. Some parts of the website are incomplete, but please proceed to the app to try it yourself.","head_1_subhead":"Learning mathematics is made fun","head_1_card_1_title_1":"Schools","head_1_card_1_title_2":"Colleges","head_1_card_1_title_3":"Universities","head_1_card_1_title_4":"Researchers","learn_more":"Learn more","head_1_card_1_desc_1":"At schools, students can learn to perform basic mathematical operations and trigonometric functions.","head_1_card_1_desc_2":"College students can practice their newly acquired knowledge in topics such as complex numbers, matrices, calculus, etc.","head_1_card_1_desc_3":"Solving differential equations, visualizing complex mathematical model is made easy with the Uyamak for the university students.","head_1_card_1_desc_4":"Researchers can test their algorithms by applying different integration methods.","head_2":"How does it work?","head_2_subhead":"Sneak peek under the hood","head_2_para_1":"Uyamak uses javascript to identify the algorithm, which is the block diagram created by the user. It then prepares an execution-order and passes it to the simulation engine. The simulation engine then executes one block at a time.","head_2_para_2":"Web workers are used for multi-threading to make sure the GUI is responsive during the execution of the simulation.","head_2_para_3":"We are drafting a scientific article to present a detailed explanation of the working of the Uyamak. Once published, we would make it available here.","head_2_card_1_title_1":"Interpret","head_2_card_1_title_2":"Simulate","head_2_card_1_title_3":"Display","head_2_card_1_title_4":"Update","head_2_card_1_desc_1":"Uyamak interprets the user flowchart to prepare an execution order.","head_2_card_1_desc_2":"The simulation engine numerically evaluates each block and sends the results to the main window.","head_2_card_1_desc_3":"The main window thread displays the results at certain intervals to keep the GUI interactive.","head_2_card_1_desc_4":"In Uyamak, you can update the models on the fly. However, the changes to the connections won't affect the simulation.","head_3":"Features","head_3_subhead":"What makes ఉ special","head_3_para_1":"Uyamak is unique because you can use it on your school computer, laptop, or any other computer with internet access. All your code runs on your computer, so it doesn't require a fast internet connection.","head_3_card_1_title_1":"OS independent","head_3_card_1_title_2":"Instant access","head_3_card_1_title_3":"No coding","head_3_card_1_title_4":"Sharing","head_3_card_1_desc_1":"Uyamak runs on a browser, so no matter which operating system you are in, Uyamak comes in handy.","head_3_card_1_desc_2":"You can instantly start it working without any need for downloading, installing, and doesn't need admin rights to run.","head_3_card_1_desc_3":"You don't have to code anything. It is all visual programming, which is as simple as drawing a block diagram.","head_3_card_1_desc_4":"You can download your program to your computer or save and share it on your Google Drive storage. ","head_4":"Support Uyamak","head_4_subhead":"We need your help to improve","head_4_para_1":"We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it.","head_4_para_2":"We plan to create a complete Uyamak ecosystem by including hardware support that is capable of running the algorithm in the realtime. We will update more details shortly.","head_4_para_3":"You can support us by selecting any of the following options. We strongly recommend you to use GitHub Sponsors or Pateron because it makes the funds collected public instantly. However, once in a month, we will update the information here.","head_4_card_1_title":"GitHub Sponsors","head_4_card_1_desc_1":"Our first preference","head_4_card_2_title":"Patreon","head_4_card_2_desc_1":"Our second preference","head_4_card_3_title":"PayPal","head_4_card_3_desc_1":"Our last preference","support_generated":"Generated","last_month":"in the last month","this_month":"in the present month","head_5":"Contact us","head_5_subhead":"We want to hear from you","head_5_para_1":"We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concerns.","head_5_para_2":"The following button to take you to the contact page of SKGadi. Please mention the word Uyamak in the subject to identify your area of interest.","button_contact":"SKGadi's contact page","button_goto":"Go to","button_goto_app":"Go to the application"}</v>
      </c>
      <c r="F1" t="str">
        <f t="shared" ref="F1:G1" si="0">"{"&amp;_xlfn.CONCAT(F2:F510)&amp;"}"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Uyamak"},{"id":"contact","value":"Contáctenos"}],"head_1_para_1":"El editor de Uyamak le permite diseñar y simular un modelo matemático. Utiliza una forma pictórica de diseño. Prepare su algoritmo conectando diferentes bloques con los cables.","head_1_para_2":"Es útil para estudiantes de todos los niveles e investigadores. Estamos desarrollando activamente esta aplicación para mejorar su funcionalidad. Algunas partes del sitio web están incompletas, pero vaya a la aplicación para probarla usted mismo.","head_1_subhead":"Aprender matemáticas es divertido.","head_1_card_1_title_1":"Escuelas","head_1_card_1_title_2":"Colegios","head_1_card_1_title_3":"Universidades","head_1_card_1_title_4":"Investigadores","learn_more":"Más información","head_1_card_1_desc_1":"En las escuelas, los estudiantes pueden aprender a realizar operaciones matemáticas básicas y funciones trigonométricas.","head_1_card_1_desc_2":"Los estudiantes universitarios pueden practicar sus conocimientos recién adquiridos en temas como números complejos, matrices, cálculo, etc.","head_1_card_1_desc_3":"Resolver ecuaciones diferenciales, visualizar modelos matemáticos complejos es fácil con el Uyamak para los estudiantes universitarios.","head_1_card_1_desc_4":"Los investigadores pueden probar sus algoritmos aplicando diferentes métodos de integración.","head_2":"¿Como funciona?","head_2_subhead":"Echa un vistazo debajo del capó","head_2_para_1":"Uyamak usa javascript para identificar el algoritmo, que es el diagrama de bloques creado por el usuario. Luego prepara una orden de ejecución y la pasa al motor de simulación. El motor de simulación luego ejecuta un bloque a la vez.","head_2_para_2":"Los trabajadores web se utilizan para subprocesos múltiples para asegurarse de que la GUI responda durante la ejecución de la simulación.","head_2_para_3":"Estamos redactando un artículo científico para presentar una explicación detallada del funcionamiento del Uyamak. Una vez publicado, lo pondríamos a disposición aquí.","head_2_card_1_title_1":"Interpretar","head_2_card_1_title_2":"Simular","head_2_card_1_title_3":"Monitor","head_2_card_1_title_4":"Actualizar","head_2_card_1_desc_1":"Uyamak interpreta el diagrama de flujo del usuario para preparar una orden de ejecución.","head_2_card_1_desc_2":"El motor de simulación evalúa numéricamente cada bloque y envía los resultados a la ventana principal.","head_2_card_1_desc_3":"El hilo de la ventana principal muestra los resultados a ciertos intervalos para mantener interactiva la GUI.","head_2_card_1_desc_4":"En Uyamak, puede actualizar los modelos sobre la marcha. Sin embargo, los cambios en las conexiones no afectarán la simulación.","head_3":"Caracteristicas","head_3_subhead":"Que hace a ఉ especial","head_3_para_1":"Uyamak es único porque puede usarlo en la computadora de su escuela, computadora portátil o cualquier otra computadora con acceso a Internet. Todo su código se ejecuta en su computadora, por lo que no requiere una conexión rápida a Internet.","head_3_card_1_title_1":"Independiente del SO","head_3_card_1_title_2":"Acceso instantáneo","head_3_card_1_title_3":"Sin codificación","head_3_card_1_title_4":"Compartiendo","head_3_card_1_desc_1":"Uyamak se ejecuta en un navegador, por lo que no importa en qué sistema operativo se encuentre, Uyamak es útil.","head_3_card_1_desc_2":"Puede comenzar a funcionar instantáneamente sin necesidad de descargar, instalar y no necesita derechos de administrador para ejecutarse.","head_3_card_1_desc_3":"No tienes que codificar nada. Todo es programación visual, que es tan simple como dibujar un diagrama de bloques.","head_3_card_1_desc_4":"Puede descargar su programa a su computadora o guardarlo y compartirlo en su almacenamiento de Google Drive.","head_4":"Apoya a Uyamak","head_4_subhead":"Necesitamos tu ayuda para mejorar","head_4_para_1":"No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mejorarlo.","head_4_para_2":"Planeamos crear un ecosistema Uyamak completo al incluir soporte de hardware que sea capaz de ejecutar el algoritmo en tiempo real. Actualizaremos más detalles en breve.","head_4_para_3":"Puede apoyarnos seleccionando cualquiera de las siguientes opciones. Le recomendamos encarecidamente que utilice Patreon porque hace públicos los fondos recaudados al instante. Sin embargo, actualizamos esto aquí mensualmente.","head_4_card_1_title":"Patreon","head_4_card_1_desc_1":"Nuestra primera preferencia","head_4_card_2_title":"PayPal","head_4_card_2_desc_1":"Nuestra segunda preferencia","head_4_card_3_title":"Mercancías","head_4_card_3_desc_1":"Nuestra ultima preferencia","support_generated":"Generado","last_month":"en el último mes","this_month":"en el mes actual","head_5":"Contáctenos","head_5_subhead":"Queremos escuchar de ti","head_5_para_1":"Agradecemos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inquietudes.","head_5_para_2":"El siguiente botón le llevará a la página de contacto de SKGadi. Por favor mencione la palabra Uyamak en el tema para identificar su área de interés.","button_contact":"Página de contacto de SKGadi","button_goto":"Ir a","button_goto_app":"Ir a la aplicación"}</v>
      </c>
      <c r="G1" t="str">
        <f t="shared" si="0"/>
        <v>{"title":"","description":"","keywords":["","","","",""],"author":"","publisher":"","image":"","twitter_creator":"","head_1_para_1":"","head_1_para_2":"","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card_1_title":"","head_4_card_1_desc_1":"","head_4_card_2_title":"","head_4_card_2_desc_1":"","head_4_card_3_title":"","head_4_card_3_desc_1":"","support_generated":"","last_month":"","this_month":"","head_5":"","head_5_subhead":"","head_5_para_1":"","head_5_para_2":"","button_contact":"","button_goto":"","button_goto_app":""}</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4"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53"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7">"{"&amp;CHAR(34)&amp;"id"&amp;CHAR(34)&amp;":"&amp;CHAR(34)&amp;$A23&amp;CHAR(34)&amp;","&amp;CHAR(34)&amp;"value"&amp;CHAR(34)&amp;":"&amp;CHAR(34)&amp;B23&amp;CHAR(34)&amp;"}"&amp;IF(ISBLANK(A24),"",",")</f>
        <v>{"id":"work","value":"How does it work?"},</v>
      </c>
      <c r="F23" t="str">
        <f t="shared" ref="F23:F26" si="8">"{"&amp;CHAR(34)&amp;"id"&amp;CHAR(34)&amp;":"&amp;CHAR(34)&amp;$A23&amp;CHAR(34)&amp;","&amp;CHAR(34)&amp;"value"&amp;CHAR(34)&amp;":"&amp;CHAR(34)&amp;C23&amp;CHAR(34)&amp;"}"&amp;IF(ISBLANK(B24),"",",")</f>
        <v>{"id":"work","value":"¿Como funciona?"},</v>
      </c>
    </row>
    <row r="24" spans="1:7" x14ac:dyDescent="0.3">
      <c r="A24" t="s">
        <v>830</v>
      </c>
      <c r="B24" s="4" t="s">
        <v>815</v>
      </c>
      <c r="C24" t="s">
        <v>816</v>
      </c>
      <c r="E24" t="str">
        <f t="shared" si="7"/>
        <v>{"id":"features","value":"Features"},</v>
      </c>
      <c r="F24" t="str">
        <f t="shared" si="8"/>
        <v>{"id":"features","value":"Caracteristicas"},</v>
      </c>
    </row>
    <row r="25" spans="1:7" x14ac:dyDescent="0.3">
      <c r="A25" t="s">
        <v>942</v>
      </c>
      <c r="B25" t="s">
        <v>950</v>
      </c>
      <c r="C25" t="s">
        <v>951</v>
      </c>
      <c r="E25" t="str">
        <f t="shared" ref="E25" si="9">"{"&amp;CHAR(34)&amp;"id"&amp;CHAR(34)&amp;":"&amp;CHAR(34)&amp;$A25&amp;CHAR(34)&amp;","&amp;CHAR(34)&amp;"value"&amp;CHAR(34)&amp;":"&amp;CHAR(34)&amp;B25&amp;CHAR(34)&amp;"}"&amp;IF(ISBLANK(A26),"",",")</f>
        <v>{"id":"support","value":"Support Uyamak"},</v>
      </c>
      <c r="F25" t="str">
        <f t="shared" ref="F25" si="10">"{"&amp;CHAR(34)&amp;"id"&amp;CHAR(34)&amp;":"&amp;CHAR(34)&amp;$A25&amp;CHAR(34)&amp;","&amp;CHAR(34)&amp;"value"&amp;CHAR(34)&amp;":"&amp;CHAR(34)&amp;C25&amp;CHAR(34)&amp;"}"&amp;IF(ISBLANK(B26),"",",")</f>
        <v>{"id":"support","value":"Apoya a Uyamak"},</v>
      </c>
    </row>
    <row r="26" spans="1:7" x14ac:dyDescent="0.3">
      <c r="A26" t="s">
        <v>695</v>
      </c>
      <c r="B26" s="4" t="s">
        <v>692</v>
      </c>
      <c r="C26" t="s">
        <v>689</v>
      </c>
      <c r="E26" t="str">
        <f t="shared" si="7"/>
        <v>{"id":"contact","value":"Contact us"}</v>
      </c>
      <c r="F26" t="str">
        <f t="shared" si="8"/>
        <v>{"id":"contact","value":"Contáctenos"}</v>
      </c>
    </row>
    <row r="27" spans="1:7" x14ac:dyDescent="0.3">
      <c r="B27" s="4"/>
      <c r="E27" t="s">
        <v>823</v>
      </c>
      <c r="F27" t="str">
        <f>E27</f>
        <v>],</v>
      </c>
    </row>
    <row r="28" spans="1:7" x14ac:dyDescent="0.3">
      <c r="A28" t="s">
        <v>843</v>
      </c>
      <c r="B28" s="4" t="s">
        <v>874</v>
      </c>
      <c r="C28" t="s">
        <v>875</v>
      </c>
      <c r="E28" t="str">
        <f t="shared" ref="E28:E53" si="11">IF(ISBLANK($A28),"",CHAR(34)&amp;$A28&amp;CHAR(34)&amp;":"&amp;CHAR(34)&amp;B28&amp;CHAR(34)&amp;IF(ISBLANK($A29),"",","))</f>
        <v>"head_1_para_1":"Uyamak editor allows you to design and simulate a mathematical model. It uses a pictorial way of design. Prepare your algorithm by connecting different blocks with the wires.",</v>
      </c>
      <c r="F28" t="str">
        <f t="shared" ref="F28:F53" si="12">IF(ISBLANK($A28),"",CHAR(34)&amp;$A28&amp;CHAR(34)&amp;":"&amp;CHAR(34)&amp;C28&amp;CHAR(34)&amp;IF(ISBLANK($A29),"",","))</f>
        <v>"head_1_para_1":"El editor de Uyamak le permite diseñar y simular un modelo matemático. Utiliza una forma pictórica de diseño. Prepare su algoritmo conectando diferentes bloques con los cables.",</v>
      </c>
      <c r="G28" t="str">
        <f t="shared" si="3"/>
        <v>"head_1_para_1":"",</v>
      </c>
    </row>
    <row r="29" spans="1:7" x14ac:dyDescent="0.3">
      <c r="A29" t="s">
        <v>844</v>
      </c>
      <c r="B29" s="4" t="s">
        <v>846</v>
      </c>
      <c r="C29" t="s">
        <v>845</v>
      </c>
      <c r="E29" t="str">
        <f t="shared" si="11"/>
        <v>"head_1_para_2":"It is useful for students of all levels and researchers. We are actively developing this application to improve its functionality. Some parts of the website are incomplete, but please proceed to the app to try it yourself.",</v>
      </c>
      <c r="F29" t="str">
        <f t="shared" si="12"/>
        <v>"head_1_para_2":"Es útil para estudiantes de todos los niveles e investigadores. Estamos desarrollando activamente esta aplicación para mejorar su funcionalidad. Algunas partes del sitio web están incompletas, pero vaya a la aplicación para probarla usted mismo.",</v>
      </c>
      <c r="G29" t="str">
        <f t="shared" si="3"/>
        <v>"head_1_para_2":"",</v>
      </c>
    </row>
    <row r="30" spans="1:7" x14ac:dyDescent="0.3">
      <c r="A30" t="s">
        <v>847</v>
      </c>
      <c r="B30" s="4" t="s">
        <v>848</v>
      </c>
      <c r="C30" t="s">
        <v>849</v>
      </c>
      <c r="E30" t="str">
        <f t="shared" si="11"/>
        <v>"head_1_subhead":"Learning mathematics is made fun",</v>
      </c>
      <c r="F30" t="str">
        <f t="shared" si="12"/>
        <v>"head_1_subhead":"Aprender matemáticas es divertido.",</v>
      </c>
      <c r="G30" t="str">
        <f t="shared" si="3"/>
        <v>"head_1_subhead":"",</v>
      </c>
    </row>
    <row r="31" spans="1:7" x14ac:dyDescent="0.3">
      <c r="A31" t="s">
        <v>854</v>
      </c>
      <c r="B31" s="4" t="s">
        <v>850</v>
      </c>
      <c r="C31" t="s">
        <v>858</v>
      </c>
      <c r="E31" t="str">
        <f t="shared" si="11"/>
        <v>"head_1_card_1_title_1":"Schools",</v>
      </c>
      <c r="F31" t="str">
        <f t="shared" si="12"/>
        <v>"head_1_card_1_title_1":"Escuelas",</v>
      </c>
      <c r="G31" t="str">
        <f t="shared" si="3"/>
        <v>"head_1_card_1_title_1":"",</v>
      </c>
    </row>
    <row r="32" spans="1:7" x14ac:dyDescent="0.3">
      <c r="A32" t="s">
        <v>855</v>
      </c>
      <c r="B32" s="4" t="s">
        <v>851</v>
      </c>
      <c r="C32" t="s">
        <v>859</v>
      </c>
      <c r="E32" t="str">
        <f t="shared" si="11"/>
        <v>"head_1_card_1_title_2":"Colleges",</v>
      </c>
      <c r="F32" t="str">
        <f t="shared" si="12"/>
        <v>"head_1_card_1_title_2":"Colegios",</v>
      </c>
      <c r="G32" t="str">
        <f t="shared" si="3"/>
        <v>"head_1_card_1_title_2":"",</v>
      </c>
    </row>
    <row r="33" spans="1:7" x14ac:dyDescent="0.3">
      <c r="A33" t="s">
        <v>856</v>
      </c>
      <c r="B33" s="4" t="s">
        <v>852</v>
      </c>
      <c r="C33" t="s">
        <v>860</v>
      </c>
      <c r="E33" t="str">
        <f t="shared" si="11"/>
        <v>"head_1_card_1_title_3":"Universities",</v>
      </c>
      <c r="F33" t="str">
        <f t="shared" si="12"/>
        <v>"head_1_card_1_title_3":"Universidades",</v>
      </c>
      <c r="G33" t="str">
        <f t="shared" si="3"/>
        <v>"head_1_card_1_title_3":"",</v>
      </c>
    </row>
    <row r="34" spans="1:7" x14ac:dyDescent="0.3">
      <c r="A34" t="s">
        <v>857</v>
      </c>
      <c r="B34" s="4" t="s">
        <v>853</v>
      </c>
      <c r="C34" t="s">
        <v>861</v>
      </c>
      <c r="E34" t="str">
        <f t="shared" si="11"/>
        <v>"head_1_card_1_title_4":"Researchers",</v>
      </c>
      <c r="F34" t="str">
        <f t="shared" si="12"/>
        <v>"head_1_card_1_title_4":"Investigadores",</v>
      </c>
      <c r="G34" t="str">
        <f t="shared" si="3"/>
        <v>"head_1_card_1_title_4":"",</v>
      </c>
    </row>
    <row r="35" spans="1:7" x14ac:dyDescent="0.3">
      <c r="A35" t="s">
        <v>862</v>
      </c>
      <c r="B35" s="4" t="s">
        <v>863</v>
      </c>
      <c r="C35" t="s">
        <v>82</v>
      </c>
      <c r="E35" t="str">
        <f t="shared" si="11"/>
        <v>"learn_more":"Learn more",</v>
      </c>
      <c r="F35" t="str">
        <f t="shared" si="12"/>
        <v>"learn_more":"Más información",</v>
      </c>
      <c r="G35" t="str">
        <f t="shared" si="5"/>
        <v>"learn_more":"",</v>
      </c>
    </row>
    <row r="36" spans="1:7" x14ac:dyDescent="0.3">
      <c r="A36" t="s">
        <v>866</v>
      </c>
      <c r="B36" t="s">
        <v>865</v>
      </c>
      <c r="C36" t="s">
        <v>864</v>
      </c>
      <c r="E36" t="str">
        <f t="shared" si="11"/>
        <v>"head_1_card_1_desc_1":"At schools, students can learn to perform basic mathematical operations and trigonometric functions.",</v>
      </c>
      <c r="F36" t="str">
        <f t="shared" si="12"/>
        <v>"head_1_card_1_desc_1":"En las escuelas, los estudiantes pueden aprender a realizar operaciones matemáticas básicas y funciones trigonométricas.",</v>
      </c>
      <c r="G36" t="str">
        <f t="shared" si="5"/>
        <v>"head_1_card_1_desc_1":"",</v>
      </c>
    </row>
    <row r="37" spans="1:7" x14ac:dyDescent="0.3">
      <c r="A37" t="s">
        <v>867</v>
      </c>
      <c r="B37" t="s">
        <v>876</v>
      </c>
      <c r="C37" t="s">
        <v>877</v>
      </c>
      <c r="E37" t="str">
        <f t="shared" si="11"/>
        <v>"head_1_card_1_desc_2":"College students can practice their newly acquired knowledge in topics such as complex numbers, matrices, calculus, etc.",</v>
      </c>
      <c r="F37" t="str">
        <f t="shared" si="12"/>
        <v>"head_1_card_1_desc_2":"Los estudiantes universitarios pueden practicar sus conocimientos recién adquiridos en temas como números complejos, matrices, cálculo, etc.",</v>
      </c>
      <c r="G37" t="str">
        <f t="shared" si="5"/>
        <v>"head_1_card_1_desc_2":"",</v>
      </c>
    </row>
    <row r="38" spans="1:7" x14ac:dyDescent="0.3">
      <c r="A38" t="s">
        <v>868</v>
      </c>
      <c r="B38" t="s">
        <v>871</v>
      </c>
      <c r="C38" t="s">
        <v>870</v>
      </c>
      <c r="E38" t="str">
        <f t="shared" si="11"/>
        <v>"head_1_card_1_desc_3":"Solving differential equations, visualizing complex mathematical model is made easy with the Uyamak for the university students.",</v>
      </c>
      <c r="F38" t="str">
        <f t="shared" si="12"/>
        <v>"head_1_card_1_desc_3":"Resolver ecuaciones diferenciales, visualizar modelos matemáticos complejos es fácil con el Uyamak para los estudiantes universitarios.",</v>
      </c>
      <c r="G38" t="str">
        <f t="shared" si="5"/>
        <v>"head_1_card_1_desc_3":"",</v>
      </c>
    </row>
    <row r="39" spans="1:7" x14ac:dyDescent="0.3">
      <c r="A39" t="s">
        <v>869</v>
      </c>
      <c r="B39" t="s">
        <v>873</v>
      </c>
      <c r="C39" t="s">
        <v>872</v>
      </c>
      <c r="E39" t="str">
        <f t="shared" si="11"/>
        <v>"head_1_card_1_desc_4":"Researchers can test their algorithms by applying different integration methods.",</v>
      </c>
      <c r="F39" t="str">
        <f t="shared" si="12"/>
        <v>"head_1_card_1_desc_4":"Los investigadores pueden probar sus algoritmos aplicando diferentes métodos de integración.",</v>
      </c>
      <c r="G39" t="str">
        <f t="shared" si="5"/>
        <v>"head_1_card_1_desc_4":"",</v>
      </c>
    </row>
    <row r="40" spans="1:7" x14ac:dyDescent="0.3">
      <c r="A40" t="s">
        <v>878</v>
      </c>
      <c r="B40" t="s">
        <v>825</v>
      </c>
      <c r="C40" t="s">
        <v>827</v>
      </c>
      <c r="E40" t="str">
        <f t="shared" si="11"/>
        <v>"head_2":"How does it work?",</v>
      </c>
      <c r="F40" t="str">
        <f t="shared" si="12"/>
        <v>"head_2":"¿Como funciona?",</v>
      </c>
      <c r="G40" t="str">
        <f t="shared" si="5"/>
        <v>"head_2":"",</v>
      </c>
    </row>
    <row r="41" spans="1:7" x14ac:dyDescent="0.3">
      <c r="A41" t="s">
        <v>879</v>
      </c>
      <c r="B41" t="s">
        <v>880</v>
      </c>
      <c r="C41" t="s">
        <v>881</v>
      </c>
      <c r="E41" t="str">
        <f t="shared" si="11"/>
        <v>"head_2_subhead":"Sneak peek under the hood",</v>
      </c>
      <c r="F41" t="str">
        <f t="shared" si="12"/>
        <v>"head_2_subhead":"Echa un vistazo debajo del capó",</v>
      </c>
      <c r="G41" t="str">
        <f t="shared" si="5"/>
        <v>"head_2_subhead":"",</v>
      </c>
    </row>
    <row r="42" spans="1:7" x14ac:dyDescent="0.3">
      <c r="A42" t="s">
        <v>888</v>
      </c>
      <c r="B42" t="s">
        <v>882</v>
      </c>
      <c r="C42" t="s">
        <v>885</v>
      </c>
      <c r="E42" t="str">
        <f t="shared" si="11"/>
        <v>"head_2_para_1":"Uyamak uses javascript to identify the algorithm, which is the block diagram created by the user. It then prepares an execution-order and passes it to the simulation engine. The simulation engine then executes one block at a time.",</v>
      </c>
      <c r="F42" t="str">
        <f t="shared" si="12"/>
        <v>"head_2_para_1":"Uyamak usa javascript para identificar el algoritmo, que es el diagrama de bloques creado por el usuario. Luego prepara una orden de ejecución y la pasa al motor de simulación. El motor de simulación luego ejecuta un bloque a la vez.",</v>
      </c>
      <c r="G42" t="str">
        <f t="shared" si="5"/>
        <v>"head_2_para_1":"",</v>
      </c>
    </row>
    <row r="43" spans="1:7" x14ac:dyDescent="0.3">
      <c r="A43" t="s">
        <v>889</v>
      </c>
      <c r="B43" t="s">
        <v>883</v>
      </c>
      <c r="C43" t="s">
        <v>886</v>
      </c>
      <c r="E43" t="str">
        <f t="shared" si="11"/>
        <v>"head_2_para_2":"Web workers are used for multi-threading to make sure the GUI is responsive during the execution of the simulation.",</v>
      </c>
      <c r="F43" t="str">
        <f t="shared" si="12"/>
        <v>"head_2_para_2":"Los trabajadores web se utilizan para subprocesos múltiples para asegurarse de que la GUI responda durante la ejecución de la simulación.",</v>
      </c>
      <c r="G43" t="str">
        <f t="shared" si="5"/>
        <v>"head_2_para_2":"",</v>
      </c>
    </row>
    <row r="44" spans="1:7" x14ac:dyDescent="0.3">
      <c r="A44" t="s">
        <v>890</v>
      </c>
      <c r="B44" t="s">
        <v>884</v>
      </c>
      <c r="C44" t="s">
        <v>887</v>
      </c>
      <c r="E44" t="str">
        <f t="shared" si="11"/>
        <v>"head_2_para_3":"We are drafting a scientific article to present a detailed explanation of the working of the Uyamak. Once published, we would make it available here.",</v>
      </c>
      <c r="F44" t="str">
        <f t="shared" si="12"/>
        <v>"head_2_para_3":"Estamos redactando un artículo científico para presentar una explicación detallada del funcionamiento del Uyamak. Una vez publicado, lo pondríamos a disposición aquí.",</v>
      </c>
      <c r="G44" t="str">
        <f t="shared" si="5"/>
        <v>"head_2_para_3":"",</v>
      </c>
    </row>
    <row r="45" spans="1:7" x14ac:dyDescent="0.3">
      <c r="A45" t="s">
        <v>891</v>
      </c>
      <c r="B45" t="s">
        <v>899</v>
      </c>
      <c r="C45" t="s">
        <v>903</v>
      </c>
      <c r="E45" t="str">
        <f t="shared" si="11"/>
        <v>"head_2_card_1_title_1":"Interpret",</v>
      </c>
      <c r="F45" t="str">
        <f t="shared" si="12"/>
        <v>"head_2_card_1_title_1":"Interpretar",</v>
      </c>
      <c r="G45" t="str">
        <f t="shared" si="5"/>
        <v>"head_2_card_1_title_1":"",</v>
      </c>
    </row>
    <row r="46" spans="1:7" x14ac:dyDescent="0.3">
      <c r="A46" t="s">
        <v>892</v>
      </c>
      <c r="B46" t="s">
        <v>900</v>
      </c>
      <c r="C46" t="s">
        <v>904</v>
      </c>
      <c r="E46" t="str">
        <f t="shared" si="11"/>
        <v>"head_2_card_1_title_2":"Simulate",</v>
      </c>
      <c r="F46" t="str">
        <f t="shared" si="12"/>
        <v>"head_2_card_1_title_2":"Simular",</v>
      </c>
      <c r="G46" t="str">
        <f t="shared" si="5"/>
        <v>"head_2_card_1_title_2":"",</v>
      </c>
    </row>
    <row r="47" spans="1:7" x14ac:dyDescent="0.3">
      <c r="A47" t="s">
        <v>893</v>
      </c>
      <c r="B47" t="s">
        <v>901</v>
      </c>
      <c r="C47" t="s">
        <v>905</v>
      </c>
      <c r="E47" t="str">
        <f t="shared" si="11"/>
        <v>"head_2_card_1_title_3":"Display",</v>
      </c>
      <c r="F47" t="str">
        <f t="shared" si="12"/>
        <v>"head_2_card_1_title_3":"Monitor",</v>
      </c>
      <c r="G47" t="str">
        <f t="shared" si="5"/>
        <v>"head_2_card_1_title_3":"",</v>
      </c>
    </row>
    <row r="48" spans="1:7" x14ac:dyDescent="0.3">
      <c r="A48" t="s">
        <v>894</v>
      </c>
      <c r="B48" t="s">
        <v>902</v>
      </c>
      <c r="C48" t="s">
        <v>906</v>
      </c>
      <c r="E48" t="str">
        <f t="shared" si="11"/>
        <v>"head_2_card_1_title_4":"Update",</v>
      </c>
      <c r="F48" t="str">
        <f t="shared" si="12"/>
        <v>"head_2_card_1_title_4":"Actualizar",</v>
      </c>
      <c r="G48" t="str">
        <f t="shared" si="5"/>
        <v>"head_2_card_1_title_4":"",</v>
      </c>
    </row>
    <row r="49" spans="1:7" x14ac:dyDescent="0.3">
      <c r="A49" t="s">
        <v>895</v>
      </c>
      <c r="B49" t="s">
        <v>907</v>
      </c>
      <c r="C49" t="s">
        <v>908</v>
      </c>
      <c r="E49" t="str">
        <f t="shared" si="11"/>
        <v>"head_2_card_1_desc_1":"Uyamak interprets the user flowchart to prepare an execution order.",</v>
      </c>
      <c r="F49" t="str">
        <f t="shared" si="12"/>
        <v>"head_2_card_1_desc_1":"Uyamak interpreta el diagrama de flujo del usuario para preparar una orden de ejecución.",</v>
      </c>
      <c r="G49" t="str">
        <f t="shared" si="5"/>
        <v>"head_2_card_1_desc_1":"",</v>
      </c>
    </row>
    <row r="50" spans="1:7" x14ac:dyDescent="0.3">
      <c r="A50" t="s">
        <v>896</v>
      </c>
      <c r="B50" t="s">
        <v>909</v>
      </c>
      <c r="C50" t="s">
        <v>910</v>
      </c>
      <c r="E50" t="str">
        <f t="shared" si="11"/>
        <v>"head_2_card_1_desc_2":"The simulation engine numerically evaluates each block and sends the results to the main window.",</v>
      </c>
      <c r="F50" t="str">
        <f t="shared" si="12"/>
        <v>"head_2_card_1_desc_2":"El motor de simulación evalúa numéricamente cada bloque y envía los resultados a la ventana principal.",</v>
      </c>
      <c r="G50" t="str">
        <f t="shared" si="5"/>
        <v>"head_2_card_1_desc_2":"",</v>
      </c>
    </row>
    <row r="51" spans="1:7" x14ac:dyDescent="0.3">
      <c r="A51" t="s">
        <v>897</v>
      </c>
      <c r="B51" t="s">
        <v>911</v>
      </c>
      <c r="C51" t="s">
        <v>912</v>
      </c>
      <c r="E51" t="str">
        <f t="shared" si="11"/>
        <v>"head_2_card_1_desc_3":"The main window thread displays the results at certain intervals to keep the GUI interactive.",</v>
      </c>
      <c r="F51" t="str">
        <f t="shared" si="12"/>
        <v>"head_2_card_1_desc_3":"El hilo de la ventana principal muestra los resultados a ciertos intervalos para mantener interactiva la GUI.",</v>
      </c>
      <c r="G51" t="str">
        <f t="shared" si="5"/>
        <v>"head_2_card_1_desc_3":"",</v>
      </c>
    </row>
    <row r="52" spans="1:7" x14ac:dyDescent="0.3">
      <c r="A52" t="s">
        <v>898</v>
      </c>
      <c r="B52" t="s">
        <v>913</v>
      </c>
      <c r="C52" t="s">
        <v>914</v>
      </c>
      <c r="E52" t="str">
        <f t="shared" si="11"/>
        <v>"head_2_card_1_desc_4":"In Uyamak, you can update the models on the fly. However, the changes to the connections won't affect the simulation.",</v>
      </c>
      <c r="F52" t="str">
        <f t="shared" si="12"/>
        <v>"head_2_card_1_desc_4":"En Uyamak, puede actualizar los modelos sobre la marcha. Sin embargo, los cambios en las conexiones no afectarán la simulación.",</v>
      </c>
      <c r="G52" t="str">
        <f t="shared" si="5"/>
        <v>"head_2_card_1_desc_4":"",</v>
      </c>
    </row>
    <row r="53" spans="1:7" x14ac:dyDescent="0.3">
      <c r="A53" t="s">
        <v>915</v>
      </c>
      <c r="B53" t="s">
        <v>815</v>
      </c>
      <c r="C53" t="s">
        <v>816</v>
      </c>
      <c r="E53" t="str">
        <f t="shared" si="11"/>
        <v>"head_3":"Features",</v>
      </c>
      <c r="F53" t="str">
        <f t="shared" si="12"/>
        <v>"head_3":"Caracteristicas",</v>
      </c>
      <c r="G53" t="str">
        <f t="shared" si="5"/>
        <v>"head_3":"",</v>
      </c>
    </row>
    <row r="54" spans="1:7" x14ac:dyDescent="0.3">
      <c r="A54" t="s">
        <v>916</v>
      </c>
      <c r="B54" t="s">
        <v>943</v>
      </c>
      <c r="C54" t="s">
        <v>944</v>
      </c>
      <c r="E54" t="str">
        <f t="shared" ref="E54:E85" si="13">IF(ISBLANK($A54),"",CHAR(34)&amp;$A54&amp;CHAR(34)&amp;":"&amp;CHAR(34)&amp;B54&amp;CHAR(34)&amp;IF(ISBLANK($A55),"",","))</f>
        <v>"head_3_subhead":"What makes ఉ special",</v>
      </c>
      <c r="F54" t="str">
        <f t="shared" ref="F54:F85" si="14">IF(ISBLANK($A54),"",CHAR(34)&amp;$A54&amp;CHAR(34)&amp;":"&amp;CHAR(34)&amp;C54&amp;CHAR(34)&amp;IF(ISBLANK($A55),"",","))</f>
        <v>"head_3_subhead":"Que hace a ఉ especial",</v>
      </c>
      <c r="G54" t="str">
        <f t="shared" ref="G54:G85" si="15">IF(ISBLANK($A54),"",CHAR(34)&amp;$A54&amp;CHAR(34)&amp;":"&amp;CHAR(34)&amp;D54&amp;CHAR(34)&amp;IF(ISBLANK($A55),"",","))</f>
        <v>"head_3_subhead":"",</v>
      </c>
    </row>
    <row r="55" spans="1:7" x14ac:dyDescent="0.3">
      <c r="A55" t="s">
        <v>917</v>
      </c>
      <c r="B55" t="s">
        <v>1002</v>
      </c>
      <c r="C55" t="s">
        <v>1003</v>
      </c>
      <c r="E55" t="str">
        <f t="shared" si="13"/>
        <v>"head_3_para_1":"Uyamak is unique because you can use it on your school computer, laptop, or any other computer with internet access. All your code runs on your computer, so it doesn't require a fast internet connection.",</v>
      </c>
      <c r="F55" t="str">
        <f t="shared" si="14"/>
        <v>"head_3_para_1":"Uyamak es único porque puede usarlo en la computadora de su escuela, computadora portátil o cualquier otra computadora con acceso a Internet. Todo su código se ejecuta en su computadora, por lo que no requiere una conexión rápida a Internet.",</v>
      </c>
      <c r="G55" t="str">
        <f t="shared" si="15"/>
        <v>"head_3_para_1":"",</v>
      </c>
    </row>
    <row r="56" spans="1:7" x14ac:dyDescent="0.3">
      <c r="A56" t="s">
        <v>918</v>
      </c>
      <c r="B56" t="s">
        <v>919</v>
      </c>
      <c r="C56" t="s">
        <v>920</v>
      </c>
      <c r="E56" t="str">
        <f t="shared" si="13"/>
        <v>"head_3_card_1_title_1":"OS independent",</v>
      </c>
      <c r="F56" t="str">
        <f t="shared" si="14"/>
        <v>"head_3_card_1_title_1":"Independiente del SO",</v>
      </c>
      <c r="G56" t="str">
        <f t="shared" si="15"/>
        <v>"head_3_card_1_title_1":"",</v>
      </c>
    </row>
    <row r="57" spans="1:7" x14ac:dyDescent="0.3">
      <c r="A57" t="s">
        <v>921</v>
      </c>
      <c r="B57" t="s">
        <v>922</v>
      </c>
      <c r="C57" t="s">
        <v>923</v>
      </c>
      <c r="E57" t="str">
        <f t="shared" si="13"/>
        <v>"head_3_card_1_title_2":"Instant access",</v>
      </c>
      <c r="F57" t="str">
        <f t="shared" si="14"/>
        <v>"head_3_card_1_title_2":"Acceso instantáneo",</v>
      </c>
      <c r="G57" t="str">
        <f t="shared" si="15"/>
        <v>"head_3_card_1_title_2":"",</v>
      </c>
    </row>
    <row r="58" spans="1:7" x14ac:dyDescent="0.3">
      <c r="A58" t="s">
        <v>924</v>
      </c>
      <c r="B58" t="s">
        <v>925</v>
      </c>
      <c r="C58" t="s">
        <v>926</v>
      </c>
      <c r="E58" t="str">
        <f t="shared" si="13"/>
        <v>"head_3_card_1_title_3":"No coding",</v>
      </c>
      <c r="F58" t="str">
        <f t="shared" si="14"/>
        <v>"head_3_card_1_title_3":"Sin codificación",</v>
      </c>
      <c r="G58" t="str">
        <f t="shared" si="15"/>
        <v>"head_3_card_1_title_3":"",</v>
      </c>
    </row>
    <row r="59" spans="1:7" x14ac:dyDescent="0.3">
      <c r="A59" t="s">
        <v>927</v>
      </c>
      <c r="B59" t="s">
        <v>928</v>
      </c>
      <c r="C59" t="s">
        <v>929</v>
      </c>
      <c r="E59" t="str">
        <f t="shared" si="13"/>
        <v>"head_3_card_1_title_4":"Sharing",</v>
      </c>
      <c r="F59" t="str">
        <f t="shared" si="14"/>
        <v>"head_3_card_1_title_4":"Compartiendo",</v>
      </c>
      <c r="G59" t="str">
        <f t="shared" si="15"/>
        <v>"head_3_card_1_title_4":"",</v>
      </c>
    </row>
    <row r="60" spans="1:7" x14ac:dyDescent="0.3">
      <c r="A60" t="s">
        <v>930</v>
      </c>
      <c r="B60" t="s">
        <v>931</v>
      </c>
      <c r="C60" t="s">
        <v>932</v>
      </c>
      <c r="E60" t="str">
        <f t="shared" si="13"/>
        <v>"head_3_card_1_desc_1":"Uyamak runs on a browser, so no matter which operating system you are in, Uyamak comes in handy.",</v>
      </c>
      <c r="F60" t="str">
        <f t="shared" si="14"/>
        <v>"head_3_card_1_desc_1":"Uyamak se ejecuta en un navegador, por lo que no importa en qué sistema operativo se encuentre, Uyamak es útil.",</v>
      </c>
      <c r="G60" t="str">
        <f t="shared" si="15"/>
        <v>"head_3_card_1_desc_1":"",</v>
      </c>
    </row>
    <row r="61" spans="1:7" x14ac:dyDescent="0.3">
      <c r="A61" t="s">
        <v>933</v>
      </c>
      <c r="B61" t="s">
        <v>934</v>
      </c>
      <c r="C61" t="s">
        <v>935</v>
      </c>
      <c r="E61" t="str">
        <f t="shared" si="13"/>
        <v>"head_3_card_1_desc_2":"You can instantly start it working without any need for downloading, installing, and doesn't need admin rights to run.",</v>
      </c>
      <c r="F61" t="str">
        <f t="shared" si="14"/>
        <v>"head_3_card_1_desc_2":"Puede comenzar a funcionar instantáneamente sin necesidad de descargar, instalar y no necesita derechos de administrador para ejecutarse.",</v>
      </c>
      <c r="G61" t="str">
        <f t="shared" si="15"/>
        <v>"head_3_card_1_desc_2":"",</v>
      </c>
    </row>
    <row r="62" spans="1:7" x14ac:dyDescent="0.3">
      <c r="A62" t="s">
        <v>936</v>
      </c>
      <c r="B62" t="s">
        <v>937</v>
      </c>
      <c r="C62" t="s">
        <v>938</v>
      </c>
      <c r="E62" t="str">
        <f t="shared" si="13"/>
        <v>"head_3_card_1_desc_3":"You don't have to code anything. It is all visual programming, which is as simple as drawing a block diagram.",</v>
      </c>
      <c r="F62" t="str">
        <f t="shared" si="14"/>
        <v>"head_3_card_1_desc_3":"No tienes que codificar nada. Todo es programación visual, que es tan simple como dibujar un diagrama de bloques.",</v>
      </c>
      <c r="G62" t="str">
        <f t="shared" si="15"/>
        <v>"head_3_card_1_desc_3":"",</v>
      </c>
    </row>
    <row r="63" spans="1:7" x14ac:dyDescent="0.3">
      <c r="A63" t="s">
        <v>939</v>
      </c>
      <c r="B63" t="s">
        <v>940</v>
      </c>
      <c r="C63" t="s">
        <v>941</v>
      </c>
      <c r="E63" t="str">
        <f t="shared" si="13"/>
        <v>"head_3_card_1_desc_4":"You can download your program to your computer or save and share it on your Google Drive storage. ",</v>
      </c>
      <c r="F63" t="str">
        <f t="shared" si="14"/>
        <v>"head_3_card_1_desc_4":"Puede descargar su programa a su computadora o guardarlo y compartirlo en su almacenamiento de Google Drive.",</v>
      </c>
      <c r="G63" t="str">
        <f t="shared" si="15"/>
        <v>"head_3_card_1_desc_4":"",</v>
      </c>
    </row>
    <row r="64" spans="1:7" x14ac:dyDescent="0.3">
      <c r="A64" t="s">
        <v>947</v>
      </c>
      <c r="B64" t="s">
        <v>950</v>
      </c>
      <c r="C64" t="s">
        <v>951</v>
      </c>
      <c r="E64" t="str">
        <f t="shared" si="13"/>
        <v>"head_4":"Support Uyamak",</v>
      </c>
      <c r="F64" t="str">
        <f t="shared" si="14"/>
        <v>"head_4":"Apoya a Uyamak",</v>
      </c>
      <c r="G64" t="str">
        <f t="shared" si="15"/>
        <v>"head_4":"",</v>
      </c>
    </row>
    <row r="65" spans="1:7" x14ac:dyDescent="0.3">
      <c r="A65" t="s">
        <v>948</v>
      </c>
      <c r="B65" t="s">
        <v>945</v>
      </c>
      <c r="C65" t="s">
        <v>946</v>
      </c>
      <c r="E65" t="str">
        <f t="shared" si="13"/>
        <v>"head_4_subhead":"We need your help to improve",</v>
      </c>
      <c r="F65" t="str">
        <f t="shared" si="14"/>
        <v>"head_4_subhead":"Necesitamos tu ayuda para mejorar",</v>
      </c>
      <c r="G65" t="str">
        <f t="shared" si="15"/>
        <v>"head_4_subhead":"",</v>
      </c>
    </row>
    <row r="66" spans="1:7" x14ac:dyDescent="0.3">
      <c r="A66" t="s">
        <v>949</v>
      </c>
      <c r="B66" t="s">
        <v>952</v>
      </c>
      <c r="C66" t="s">
        <v>956</v>
      </c>
      <c r="E66" t="str">
        <f t="shared" si="13"/>
        <v>"head_4_para_1":"We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v>
      </c>
      <c r="F66" t="str">
        <f t="shared" si="14"/>
        <v>"head_4_para_1":"No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v>
      </c>
      <c r="G66" t="str">
        <f t="shared" si="15"/>
        <v>"head_4_para_1":"",</v>
      </c>
    </row>
    <row r="67" spans="1:7" x14ac:dyDescent="0.3">
      <c r="A67" t="s">
        <v>954</v>
      </c>
      <c r="B67" t="s">
        <v>953</v>
      </c>
      <c r="C67" t="s">
        <v>957</v>
      </c>
      <c r="E67" t="str">
        <f t="shared" si="13"/>
        <v>"head_4_para_2":"We plan to create a complete Uyamak ecosystem by including hardware support that is capable of running the algorithm in the realtime. We will update more details shortly.",</v>
      </c>
      <c r="F67" t="str">
        <f t="shared" si="14"/>
        <v>"head_4_para_2":"Planeamos crear un ecosistema Uyamak completo al incluir soporte de hardware que sea capaz de ejecutar el algoritmo en tiempo real. Actualizaremos más detalles en breve.",</v>
      </c>
      <c r="G67" t="str">
        <f t="shared" si="15"/>
        <v>"head_4_para_2":"",</v>
      </c>
    </row>
    <row r="68" spans="1:7" x14ac:dyDescent="0.3">
      <c r="A68" t="s">
        <v>955</v>
      </c>
      <c r="B68" t="s">
        <v>1039</v>
      </c>
      <c r="C68" t="s">
        <v>958</v>
      </c>
      <c r="E68" t="str">
        <f t="shared" si="13"/>
        <v>"head_4_para_3":"You can support us by selecting any of the following options. We strongly recommend you to use GitHub Sponsors or Pateron because it makes the funds collected public instantly. However, once in a month, we will update the information here.",</v>
      </c>
      <c r="F68" t="str">
        <f t="shared" si="14"/>
        <v>"head_4_para_3":"Puede apoyarnos seleccionando cualquiera de las siguientes opciones. Le recomendamos encarecidamente que utilice Patreon porque hace públicos los fondos recaudados al instante. Sin embargo, actualizamos esto aquí mensualmente.",</v>
      </c>
      <c r="G68" t="str">
        <f t="shared" si="15"/>
        <v>"head_4_para_3":"",</v>
      </c>
    </row>
    <row r="69" spans="1:7" x14ac:dyDescent="0.3">
      <c r="A69" t="s">
        <v>972</v>
      </c>
      <c r="B69" t="s">
        <v>1038</v>
      </c>
      <c r="C69" t="s">
        <v>959</v>
      </c>
      <c r="E69" t="str">
        <f t="shared" si="13"/>
        <v>"head_4_card_1_title":"GitHub Sponsors",</v>
      </c>
      <c r="F69" t="str">
        <f t="shared" si="14"/>
        <v>"head_4_card_1_title":"Patreon",</v>
      </c>
      <c r="G69" t="str">
        <f t="shared" si="15"/>
        <v>"head_4_card_1_title":"",</v>
      </c>
    </row>
    <row r="70" spans="1:7" x14ac:dyDescent="0.3">
      <c r="A70" t="s">
        <v>975</v>
      </c>
      <c r="B70" t="s">
        <v>960</v>
      </c>
      <c r="C70" t="s">
        <v>961</v>
      </c>
      <c r="E70" t="str">
        <f t="shared" si="13"/>
        <v>"head_4_card_1_desc_1":"Our first preference",</v>
      </c>
      <c r="F70" t="str">
        <f t="shared" si="14"/>
        <v>"head_4_card_1_desc_1":"Nuestra primera preferencia",</v>
      </c>
      <c r="G70" t="str">
        <f t="shared" si="15"/>
        <v>"head_4_card_1_desc_1":"",</v>
      </c>
    </row>
    <row r="71" spans="1:7" x14ac:dyDescent="0.3">
      <c r="A71" t="s">
        <v>973</v>
      </c>
      <c r="B71" t="s">
        <v>959</v>
      </c>
      <c r="C71" t="s">
        <v>962</v>
      </c>
      <c r="E71" t="str">
        <f t="shared" si="13"/>
        <v>"head_4_card_2_title":"Patreon",</v>
      </c>
      <c r="F71" t="str">
        <f t="shared" si="14"/>
        <v>"head_4_card_2_title":"PayPal",</v>
      </c>
      <c r="G71" t="str">
        <f t="shared" si="15"/>
        <v>"head_4_card_2_title":"",</v>
      </c>
    </row>
    <row r="72" spans="1:7" x14ac:dyDescent="0.3">
      <c r="A72" t="s">
        <v>976</v>
      </c>
      <c r="B72" t="s">
        <v>963</v>
      </c>
      <c r="C72" t="s">
        <v>964</v>
      </c>
      <c r="E72" t="str">
        <f t="shared" si="13"/>
        <v>"head_4_card_2_desc_1":"Our second preference",</v>
      </c>
      <c r="F72" t="str">
        <f t="shared" si="14"/>
        <v>"head_4_card_2_desc_1":"Nuestra segunda preferencia",</v>
      </c>
      <c r="G72" t="str">
        <f t="shared" si="15"/>
        <v>"head_4_card_2_desc_1":"",</v>
      </c>
    </row>
    <row r="73" spans="1:7" x14ac:dyDescent="0.3">
      <c r="A73" t="s">
        <v>974</v>
      </c>
      <c r="B73" t="s">
        <v>962</v>
      </c>
      <c r="C73" t="s">
        <v>965</v>
      </c>
      <c r="E73" t="str">
        <f t="shared" si="13"/>
        <v>"head_4_card_3_title":"PayPal",</v>
      </c>
      <c r="F73" t="str">
        <f t="shared" si="14"/>
        <v>"head_4_card_3_title":"Mercancías",</v>
      </c>
      <c r="G73" t="str">
        <f t="shared" si="15"/>
        <v>"head_4_card_3_title":"",</v>
      </c>
    </row>
    <row r="74" spans="1:7" x14ac:dyDescent="0.3">
      <c r="A74" t="s">
        <v>977</v>
      </c>
      <c r="B74" t="s">
        <v>966</v>
      </c>
      <c r="C74" t="s">
        <v>967</v>
      </c>
      <c r="E74" t="str">
        <f t="shared" si="13"/>
        <v>"head_4_card_3_desc_1":"Our last preference",</v>
      </c>
      <c r="F74" t="str">
        <f t="shared" si="14"/>
        <v>"head_4_card_3_desc_1":"Nuestra ultima preferencia",</v>
      </c>
      <c r="G74" t="str">
        <f t="shared" si="15"/>
        <v>"head_4_card_3_desc_1":"",</v>
      </c>
    </row>
    <row r="75" spans="1:7" x14ac:dyDescent="0.3">
      <c r="A75" t="s">
        <v>978</v>
      </c>
      <c r="B75" t="s">
        <v>968</v>
      </c>
      <c r="C75" t="s">
        <v>969</v>
      </c>
      <c r="E75" t="str">
        <f t="shared" si="13"/>
        <v>"support_generated":"Generated",</v>
      </c>
      <c r="F75" t="str">
        <f t="shared" si="14"/>
        <v>"support_generated":"Generado",</v>
      </c>
      <c r="G75" t="str">
        <f t="shared" si="15"/>
        <v>"support_generated":"",</v>
      </c>
    </row>
    <row r="76" spans="1:7" x14ac:dyDescent="0.3">
      <c r="A76" t="s">
        <v>979</v>
      </c>
      <c r="B76" t="s">
        <v>970</v>
      </c>
      <c r="C76" t="s">
        <v>971</v>
      </c>
      <c r="E76" t="str">
        <f t="shared" si="13"/>
        <v>"last_month":"in the last month",</v>
      </c>
      <c r="F76" t="str">
        <f t="shared" si="14"/>
        <v>"last_month":"en el último mes",</v>
      </c>
      <c r="G76" t="str">
        <f t="shared" si="15"/>
        <v>"last_month":"",</v>
      </c>
    </row>
    <row r="77" spans="1:7" x14ac:dyDescent="0.3">
      <c r="A77" t="s">
        <v>980</v>
      </c>
      <c r="B77" t="s">
        <v>981</v>
      </c>
      <c r="C77" t="s">
        <v>982</v>
      </c>
      <c r="E77" t="str">
        <f t="shared" si="13"/>
        <v>"this_month":"in the present month",</v>
      </c>
      <c r="F77" t="str">
        <f t="shared" si="14"/>
        <v>"this_month":"en el mes actual",</v>
      </c>
      <c r="G77" t="str">
        <f t="shared" si="15"/>
        <v>"this_month":"",</v>
      </c>
    </row>
    <row r="78" spans="1:7" x14ac:dyDescent="0.3">
      <c r="A78" t="s">
        <v>986</v>
      </c>
      <c r="B78" t="s">
        <v>692</v>
      </c>
      <c r="C78" t="s">
        <v>689</v>
      </c>
      <c r="E78" t="str">
        <f t="shared" si="13"/>
        <v>"head_5":"Contact us",</v>
      </c>
      <c r="F78" t="str">
        <f t="shared" si="14"/>
        <v>"head_5":"Contáctenos",</v>
      </c>
      <c r="G78" t="str">
        <f t="shared" si="15"/>
        <v>"head_5":"",</v>
      </c>
    </row>
    <row r="79" spans="1:7" x14ac:dyDescent="0.3">
      <c r="A79" t="s">
        <v>987</v>
      </c>
      <c r="B79" t="s">
        <v>983</v>
      </c>
      <c r="C79" t="s">
        <v>992</v>
      </c>
      <c r="E79" t="str">
        <f t="shared" si="13"/>
        <v>"head_5_subhead":"We want to hear from you",</v>
      </c>
      <c r="F79" t="str">
        <f t="shared" si="14"/>
        <v>"head_5_subhead":"Queremos escuchar de ti",</v>
      </c>
      <c r="G79" t="str">
        <f t="shared" si="15"/>
        <v>"head_5_subhead":"",</v>
      </c>
    </row>
    <row r="80" spans="1:7" x14ac:dyDescent="0.3">
      <c r="A80" t="s">
        <v>988</v>
      </c>
      <c r="B80" t="s">
        <v>984</v>
      </c>
      <c r="C80" t="s">
        <v>993</v>
      </c>
      <c r="E80" t="str">
        <f t="shared" si="13"/>
        <v>"head_5_para_1":"We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v>
      </c>
      <c r="F80" t="str">
        <f t="shared" si="14"/>
        <v>"head_5_para_1":"Agradecemos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v>
      </c>
      <c r="G80" t="str">
        <f t="shared" si="15"/>
        <v>"head_5_para_1":"",</v>
      </c>
    </row>
    <row r="81" spans="1:7" x14ac:dyDescent="0.3">
      <c r="A81" t="s">
        <v>989</v>
      </c>
      <c r="B81" t="s">
        <v>985</v>
      </c>
      <c r="C81" t="s">
        <v>994</v>
      </c>
      <c r="E81" t="str">
        <f t="shared" si="13"/>
        <v>"head_5_para_2":"The following button to take you to the contact page of SKGadi. Please mention the word Uyamak in the subject to identify your area of interest.",</v>
      </c>
      <c r="F81" t="str">
        <f t="shared" si="14"/>
        <v>"head_5_para_2":"El siguiente botón le llevará a la página de contacto de SKGadi. Por favor mencione la palabra Uyamak en el tema para identificar su área de interés.",</v>
      </c>
      <c r="G81" t="str">
        <f t="shared" si="15"/>
        <v>"head_5_para_2":"",</v>
      </c>
    </row>
    <row r="82" spans="1:7" x14ac:dyDescent="0.3">
      <c r="A82" t="s">
        <v>997</v>
      </c>
      <c r="B82" t="s">
        <v>990</v>
      </c>
      <c r="C82" t="s">
        <v>995</v>
      </c>
      <c r="E82" t="str">
        <f t="shared" si="13"/>
        <v>"button_contact":"SKGadi's contact page",</v>
      </c>
      <c r="F82" t="str">
        <f t="shared" si="14"/>
        <v>"button_contact":"Página de contacto de SKGadi",</v>
      </c>
      <c r="G82" t="str">
        <f t="shared" si="15"/>
        <v>"button_contact":"",</v>
      </c>
    </row>
    <row r="83" spans="1:7" x14ac:dyDescent="0.3">
      <c r="A83" t="s">
        <v>998</v>
      </c>
      <c r="B83" t="s">
        <v>991</v>
      </c>
      <c r="C83" t="s">
        <v>996</v>
      </c>
      <c r="E83" t="str">
        <f t="shared" si="13"/>
        <v>"button_goto":"Go to",</v>
      </c>
      <c r="F83" t="str">
        <f t="shared" si="14"/>
        <v>"button_goto":"Ir a",</v>
      </c>
      <c r="G83" t="str">
        <f t="shared" si="15"/>
        <v>"button_goto":"",</v>
      </c>
    </row>
    <row r="84" spans="1:7" x14ac:dyDescent="0.3">
      <c r="A84" t="s">
        <v>999</v>
      </c>
      <c r="B84" t="s">
        <v>1000</v>
      </c>
      <c r="C84" t="s">
        <v>1001</v>
      </c>
      <c r="E84" t="str">
        <f t="shared" si="13"/>
        <v>"button_goto_app":"Go to the application"</v>
      </c>
      <c r="F84" t="str">
        <f t="shared" si="14"/>
        <v>"button_goto_app":"Ir a la aplicación"</v>
      </c>
      <c r="G84" t="str">
        <f t="shared" si="15"/>
        <v>"button_goto_app":""</v>
      </c>
    </row>
    <row r="85" spans="1:7" x14ac:dyDescent="0.3">
      <c r="E85" t="str">
        <f t="shared" si="13"/>
        <v/>
      </c>
      <c r="F85" t="str">
        <f t="shared" si="14"/>
        <v/>
      </c>
      <c r="G85" t="str">
        <f t="shared" si="15"/>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GeneratePages</vt:lpstr>
      <vt:lpstr>privacy-policy</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2020-11-12T14:36:16Z</dcterms:modified>
</cp:coreProperties>
</file>